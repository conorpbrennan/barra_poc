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Exposures" sheetId="2" state="visible" r:id="rId2"/>
    <sheet name="FactorReturns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00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10" customWidth="1" min="4" max="4"/>
    <col width="12" customWidth="1" min="5" max="5"/>
    <col width="12" customWidth="1" min="6" max="6"/>
  </cols>
  <sheetData>
    <row r="1">
      <c r="A1" t="inlineStr">
        <is>
          <t>As-of date</t>
        </is>
      </c>
      <c r="B1" s="1" t="n">
        <v>45657</v>
      </c>
    </row>
    <row r="3">
      <c r="A3" s="2" t="inlineStr">
        <is>
          <t>Position</t>
        </is>
      </c>
      <c r="B3" s="2" t="inlineStr">
        <is>
          <t>Ticker</t>
        </is>
      </c>
      <c r="C3" s="2" t="inlineStr">
        <is>
          <t>Issuer</t>
        </is>
      </c>
      <c r="D3" s="2" t="inlineStr">
        <is>
          <t>Weight</t>
        </is>
      </c>
      <c r="E3" s="2" t="inlineStr">
        <is>
          <t>SpecificVar</t>
        </is>
      </c>
      <c r="F3" s="2" t="inlineStr">
        <is>
          <t>SV as-of</t>
        </is>
      </c>
    </row>
    <row r="4">
      <c r="A4" t="inlineStr">
        <is>
          <t>BBG006G2JVL2</t>
        </is>
      </c>
      <c r="B4" t="inlineStr">
        <is>
          <t>baba</t>
        </is>
      </c>
      <c r="C4" t="inlineStr">
        <is>
          <t>Alibaba Group Holding Ltd</t>
        </is>
      </c>
      <c r="D4" s="3" t="n">
        <v>0.2571857993536567</v>
      </c>
      <c r="E4" s="4" t="n">
        <v>0.0003093233142690083</v>
      </c>
      <c r="F4" s="1" t="n">
        <v>45657</v>
      </c>
    </row>
    <row r="5">
      <c r="A5" t="inlineStr">
        <is>
          <t>BBG009S39JX6</t>
        </is>
      </c>
      <c r="B5" t="inlineStr">
        <is>
          <t>googl</t>
        </is>
      </c>
      <c r="C5" t="inlineStr">
        <is>
          <t>Alphabet Inc.</t>
        </is>
      </c>
      <c r="D5" s="3" t="n">
        <v>0.1593894494434833</v>
      </c>
      <c r="E5" s="4" t="n">
        <v>0.0001197814211994849</v>
      </c>
      <c r="F5" s="1" t="n">
        <v>45657</v>
      </c>
    </row>
    <row r="6">
      <c r="A6" t="inlineStr">
        <is>
          <t>BBG000BVPV84</t>
        </is>
      </c>
      <c r="B6" t="inlineStr">
        <is>
          <t>amzn</t>
        </is>
      </c>
      <c r="C6" t="inlineStr">
        <is>
          <t>AMAZON COM INC</t>
        </is>
      </c>
      <c r="D6" s="3" t="n">
        <v>0.09688866645622964</v>
      </c>
      <c r="E6" s="4" t="n">
        <v>0.0001578726659432908</v>
      </c>
      <c r="F6" s="1" t="n">
        <v>45657</v>
      </c>
    </row>
    <row r="8">
      <c r="A8" t="inlineStr">
        <is>
          <t>Weight sum (sub-book of the full Soros book)</t>
        </is>
      </c>
      <c r="D8" s="3">
        <f>SUM(D4:D6)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Position</t>
        </is>
      </c>
      <c r="B1" s="2" t="inlineStr">
        <is>
          <t>Beta</t>
        </is>
      </c>
      <c r="C1" s="2" t="inlineStr">
        <is>
          <t>EarnYield</t>
        </is>
      </c>
      <c r="D1" s="2" t="inlineStr">
        <is>
          <t>Growth</t>
        </is>
      </c>
      <c r="E1" s="2" t="inlineStr">
        <is>
          <t>Leverage</t>
        </is>
      </c>
      <c r="F1" s="2" t="inlineStr">
        <is>
          <t>Liquidity</t>
        </is>
      </c>
      <c r="G1" s="2" t="inlineStr">
        <is>
          <t>Market</t>
        </is>
      </c>
      <c r="H1" s="2" t="inlineStr">
        <is>
          <t>Momentum</t>
        </is>
      </c>
      <c r="I1" s="2" t="inlineStr">
        <is>
          <t>NonLinSize</t>
        </is>
      </c>
      <c r="J1" s="2" t="inlineStr">
        <is>
          <t>ResidVol</t>
        </is>
      </c>
      <c r="K1" s="2" t="inlineStr">
        <is>
          <t>Size</t>
        </is>
      </c>
      <c r="L1" s="2" t="inlineStr">
        <is>
          <t>Value</t>
        </is>
      </c>
    </row>
    <row r="2">
      <c r="A2" t="inlineStr">
        <is>
          <t>BBG006G2JVL2</t>
        </is>
      </c>
      <c r="B2" s="3" t="n">
        <v>-0.6466339590224996</v>
      </c>
      <c r="C2" s="3" t="n">
        <v>1.047769930524419</v>
      </c>
      <c r="D2" s="3" t="n">
        <v>0</v>
      </c>
      <c r="E2" s="3" t="n">
        <v>-0.5681393975415947</v>
      </c>
      <c r="F2" s="3" t="n">
        <v>1.674612411916941</v>
      </c>
      <c r="G2" s="3" t="n">
        <v>1</v>
      </c>
      <c r="H2" s="3" t="n">
        <v>-0.1239348990818694</v>
      </c>
      <c r="I2" s="3" t="n">
        <v>-1.066617768803878</v>
      </c>
      <c r="J2" s="3" t="n">
        <v>0.2737124834780921</v>
      </c>
      <c r="K2" s="3" t="n">
        <v>2.632304301591348</v>
      </c>
      <c r="L2" s="3" t="n">
        <v>0.5413182323455191</v>
      </c>
    </row>
    <row r="3">
      <c r="A3" t="inlineStr">
        <is>
          <t>BBG009S39JX6</t>
        </is>
      </c>
      <c r="B3" s="3" t="n">
        <v>0.4331320412260112</v>
      </c>
      <c r="C3" s="3" t="n">
        <v>0.2424847466616296</v>
      </c>
      <c r="D3" s="3" t="n">
        <v>0</v>
      </c>
      <c r="E3" s="3" t="n">
        <v>-0.6627132592237837</v>
      </c>
      <c r="F3" s="3" t="n">
        <v>2.327730843232468</v>
      </c>
      <c r="G3" s="3" t="n">
        <v>1</v>
      </c>
      <c r="H3" s="3" t="n">
        <v>0.06726754662379399</v>
      </c>
      <c r="I3" s="3" t="n">
        <v>-1.495145885356286</v>
      </c>
      <c r="J3" s="3" t="n">
        <v>-0.6524315716645166</v>
      </c>
      <c r="K3" s="3" t="n">
        <v>2.652506835849987</v>
      </c>
      <c r="L3" s="3" t="n">
        <v>-0.692400646673295</v>
      </c>
    </row>
    <row r="4">
      <c r="A4" t="inlineStr">
        <is>
          <t>BBG000BVPV84</t>
        </is>
      </c>
      <c r="B4" s="3" t="n">
        <v>0.9506915496857977</v>
      </c>
      <c r="C4" s="3" t="n">
        <v>-0.3209851856786787</v>
      </c>
      <c r="D4" s="3" t="n">
        <v>0</v>
      </c>
      <c r="E4" s="3" t="n">
        <v>-0.4283772396984345</v>
      </c>
      <c r="F4" s="3" t="n">
        <v>2.615387851798255</v>
      </c>
      <c r="G4" s="3" t="n">
        <v>1</v>
      </c>
      <c r="H4" s="3" t="n">
        <v>0.5102647877805733</v>
      </c>
      <c r="I4" s="3" t="n">
        <v>-1.495145885356286</v>
      </c>
      <c r="J4" s="3" t="n">
        <v>-0.8638925630517174</v>
      </c>
      <c r="K4" s="3" t="n">
        <v>2.652506835849987</v>
      </c>
      <c r="L4" s="3" t="n">
        <v>-0.7072457649056564</v>
      </c>
    </row>
    <row r="6">
      <c r="A6" s="2" t="inlineStr">
        <is>
          <t>Net exposure x_k (book)</t>
        </is>
      </c>
      <c r="B6" s="3">
        <f>SUMPRODUCT(B2:B4,Inputs!$D$4:$D$6)</f>
        <v/>
      </c>
      <c r="C6" s="3">
        <f>SUMPRODUCT(C2:C4,Inputs!$D$4:$D$6)</f>
        <v/>
      </c>
      <c r="D6" s="3">
        <f>SUMPRODUCT(D2:D4,Inputs!$D$4:$D$6)</f>
        <v/>
      </c>
      <c r="E6" s="3">
        <f>SUMPRODUCT(E2:E4,Inputs!$D$4:$D$6)</f>
        <v/>
      </c>
      <c r="F6" s="3">
        <f>SUMPRODUCT(F2:F4,Inputs!$D$4:$D$6)</f>
        <v/>
      </c>
      <c r="G6" s="3">
        <f>SUMPRODUCT(G2:G4,Inputs!$D$4:$D$6)</f>
        <v/>
      </c>
      <c r="H6" s="3">
        <f>SUMPRODUCT(H2:H4,Inputs!$D$4:$D$6)</f>
        <v/>
      </c>
      <c r="I6" s="3">
        <f>SUMPRODUCT(I2:I4,Inputs!$D$4:$D$6)</f>
        <v/>
      </c>
      <c r="J6" s="3">
        <f>SUMPRODUCT(J2:J4,Inputs!$D$4:$D$6)</f>
        <v/>
      </c>
      <c r="K6" s="3">
        <f>SUMPRODUCT(K2:K4,Inputs!$D$4:$D$6)</f>
        <v/>
      </c>
      <c r="L6" s="3">
        <f>SUMPRODUCT(L2:L4,Inputs!$D$4:$D$6)</f>
        <v/>
      </c>
    </row>
    <row r="8">
      <c r="A8" t="inlineStr">
        <is>
          <t>x_k BABA</t>
        </is>
      </c>
      <c r="B8" s="3">
        <f>B2*Inputs!$D$4</f>
        <v/>
      </c>
      <c r="C8" s="3">
        <f>C2*Inputs!$D$4</f>
        <v/>
      </c>
      <c r="D8" s="3">
        <f>D2*Inputs!$D$4</f>
        <v/>
      </c>
      <c r="E8" s="3">
        <f>E2*Inputs!$D$4</f>
        <v/>
      </c>
      <c r="F8" s="3">
        <f>F2*Inputs!$D$4</f>
        <v/>
      </c>
      <c r="G8" s="3">
        <f>G2*Inputs!$D$4</f>
        <v/>
      </c>
      <c r="H8" s="3">
        <f>H2*Inputs!$D$4</f>
        <v/>
      </c>
      <c r="I8" s="3">
        <f>I2*Inputs!$D$4</f>
        <v/>
      </c>
      <c r="J8" s="3">
        <f>J2*Inputs!$D$4</f>
        <v/>
      </c>
      <c r="K8" s="3">
        <f>K2*Inputs!$D$4</f>
        <v/>
      </c>
      <c r="L8" s="3">
        <f>L2*Inputs!$D$4</f>
        <v/>
      </c>
    </row>
    <row r="9">
      <c r="A9" t="inlineStr">
        <is>
          <t>x_k GOOGL</t>
        </is>
      </c>
      <c r="B9" s="3">
        <f>B3*Inputs!$D$5</f>
        <v/>
      </c>
      <c r="C9" s="3">
        <f>C3*Inputs!$D$5</f>
        <v/>
      </c>
      <c r="D9" s="3">
        <f>D3*Inputs!$D$5</f>
        <v/>
      </c>
      <c r="E9" s="3">
        <f>E3*Inputs!$D$5</f>
        <v/>
      </c>
      <c r="F9" s="3">
        <f>F3*Inputs!$D$5</f>
        <v/>
      </c>
      <c r="G9" s="3">
        <f>G3*Inputs!$D$5</f>
        <v/>
      </c>
      <c r="H9" s="3">
        <f>H3*Inputs!$D$5</f>
        <v/>
      </c>
      <c r="I9" s="3">
        <f>I3*Inputs!$D$5</f>
        <v/>
      </c>
      <c r="J9" s="3">
        <f>J3*Inputs!$D$5</f>
        <v/>
      </c>
      <c r="K9" s="3">
        <f>K3*Inputs!$D$5</f>
        <v/>
      </c>
      <c r="L9" s="3">
        <f>L3*Inputs!$D$5</f>
        <v/>
      </c>
    </row>
    <row r="10">
      <c r="A10" t="inlineStr">
        <is>
          <t>x_k AMZN</t>
        </is>
      </c>
      <c r="B10" s="3">
        <f>B4*Inputs!$D$6</f>
        <v/>
      </c>
      <c r="C10" s="3">
        <f>C4*Inputs!$D$6</f>
        <v/>
      </c>
      <c r="D10" s="3">
        <f>D4*Inputs!$D$6</f>
        <v/>
      </c>
      <c r="E10" s="3">
        <f>E4*Inputs!$D$6</f>
        <v/>
      </c>
      <c r="F10" s="3">
        <f>F4*Inputs!$D$6</f>
        <v/>
      </c>
      <c r="G10" s="3">
        <f>G4*Inputs!$D$6</f>
        <v/>
      </c>
      <c r="H10" s="3">
        <f>H4*Inputs!$D$6</f>
        <v/>
      </c>
      <c r="I10" s="3">
        <f>I4*Inputs!$D$6</f>
        <v/>
      </c>
      <c r="J10" s="3">
        <f>J4*Inputs!$D$6</f>
        <v/>
      </c>
      <c r="K10" s="3">
        <f>K4*Inputs!$D$6</f>
        <v/>
      </c>
      <c r="L10" s="3">
        <f>L4*Inputs!$D$6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0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inlineStr">
        <is>
          <t>Date</t>
        </is>
      </c>
      <c r="B1" s="2" t="inlineStr">
        <is>
          <t>Beta</t>
        </is>
      </c>
      <c r="C1" s="2" t="inlineStr">
        <is>
          <t>EarnYield</t>
        </is>
      </c>
      <c r="D1" s="2" t="inlineStr">
        <is>
          <t>Growth</t>
        </is>
      </c>
      <c r="E1" s="2" t="inlineStr">
        <is>
          <t>Leverage</t>
        </is>
      </c>
      <c r="F1" s="2" t="inlineStr">
        <is>
          <t>Liquidity</t>
        </is>
      </c>
      <c r="G1" s="2" t="inlineStr">
        <is>
          <t>Market</t>
        </is>
      </c>
      <c r="H1" s="2" t="inlineStr">
        <is>
          <t>Momentum</t>
        </is>
      </c>
      <c r="I1" s="2" t="inlineStr">
        <is>
          <t>NonLinSize</t>
        </is>
      </c>
      <c r="J1" s="2" t="inlineStr">
        <is>
          <t>ResidVol</t>
        </is>
      </c>
      <c r="K1" s="2" t="inlineStr">
        <is>
          <t>Size</t>
        </is>
      </c>
      <c r="L1" s="2" t="inlineStr">
        <is>
          <t>Value</t>
        </is>
      </c>
      <c r="M1" s="2" t="inlineStr">
        <is>
          <t>PnL HistFull</t>
        </is>
      </c>
      <c r="N1" s="2" t="inlineStr">
        <is>
          <t>PnL COVID2020</t>
        </is>
      </c>
      <c r="O1" s="2" t="inlineStr">
        <is>
          <t>PnL Rates2022</t>
        </is>
      </c>
      <c r="P1" s="2" t="inlineStr">
        <is>
          <t>PnL Selloff2018</t>
        </is>
      </c>
      <c r="Q1" s="2" t="inlineStr">
        <is>
          <t>PnL BABA</t>
        </is>
      </c>
      <c r="R1" s="2" t="inlineStr">
        <is>
          <t>PnL GOOGL</t>
        </is>
      </c>
      <c r="S1" s="2" t="inlineStr">
        <is>
          <t>PnL AMZN</t>
        </is>
      </c>
    </row>
    <row r="2">
      <c r="A2" s="1" t="n">
        <v>42461</v>
      </c>
      <c r="B2" s="5" t="n">
        <v>0.004020168176815492</v>
      </c>
      <c r="C2" s="5" t="n">
        <v>-0.0002410511400498479</v>
      </c>
      <c r="D2" s="5" t="n">
        <v>-0.001605629059740408</v>
      </c>
      <c r="E2" s="5" t="n">
        <v>-0.0009069509818513823</v>
      </c>
      <c r="F2" s="5" t="n">
        <v>-0.001903847585913531</v>
      </c>
      <c r="G2" s="5" t="n">
        <v>0.004813579511330879</v>
      </c>
      <c r="H2" s="5" t="n">
        <v>0.004152610840801835</v>
      </c>
      <c r="I2" s="5" t="n">
        <v>-0.0004043270118977947</v>
      </c>
      <c r="J2" s="5" t="n">
        <v>-8.09221738778548e-05</v>
      </c>
      <c r="K2" s="5" t="n">
        <v>0.003283790538431136</v>
      </c>
      <c r="L2" s="5" t="n">
        <v>-7.80878399553539e-05</v>
      </c>
      <c r="M2" s="5">
        <f>SUMPRODUCT(Exposures!$B$6:$K$6,B2:K2)</f>
        <v/>
      </c>
      <c r="N2" s="5">
        <f>IF(AND($A2&gt;=DATE(2020,2,1),$A2&lt;=DATE(2020,5,31)),$M2,"")</f>
        <v/>
      </c>
      <c r="O2" s="5">
        <f>IF(AND($A2&gt;=DATE(2022,1,1),$A2&lt;=DATE(2022,10,31)),$M2,"")</f>
        <v/>
      </c>
      <c r="P2" s="5">
        <f>IF(AND($A2&gt;=DATE(2018,10,1),$A2&lt;=DATE(2018,12,31)),$M2,"")</f>
        <v/>
      </c>
      <c r="Q2" s="5">
        <f>SUMPRODUCT(Exposures!$B$8:$K$8,B2:K2)</f>
        <v/>
      </c>
      <c r="R2" s="5">
        <f>SUMPRODUCT(Exposures!$B$9:$K$9,B2:K2)</f>
        <v/>
      </c>
      <c r="S2" s="5">
        <f>SUMPRODUCT(Exposures!$B$10:$K$10,B2:K2)</f>
        <v/>
      </c>
    </row>
    <row r="3">
      <c r="A3" s="1" t="n">
        <v>42464</v>
      </c>
      <c r="B3" s="5" t="n">
        <v>-0.002386949327829487</v>
      </c>
      <c r="C3" s="5" t="n">
        <v>-0.002765910772976616</v>
      </c>
      <c r="D3" s="5" t="n">
        <v>-0.01293837923838692</v>
      </c>
      <c r="E3" s="5" t="n">
        <v>-0.0005901974076268603</v>
      </c>
      <c r="F3" s="5" t="n">
        <v>0.001528446838235876</v>
      </c>
      <c r="G3" s="5" t="n">
        <v>-0.004200359071587125</v>
      </c>
      <c r="H3" s="5" t="n">
        <v>-0.0006602006509014965</v>
      </c>
      <c r="I3" s="5" t="n">
        <v>0.003024345574986428</v>
      </c>
      <c r="J3" s="5" t="n">
        <v>0.00213436098132287</v>
      </c>
      <c r="K3" s="5" t="n">
        <v>0.001386573869854751</v>
      </c>
      <c r="L3" s="5" t="n">
        <v>-0.002127147147975365</v>
      </c>
      <c r="M3" s="5">
        <f>SUMPRODUCT(Exposures!$B$6:$K$6,B3:K3)</f>
        <v/>
      </c>
      <c r="N3" s="5">
        <f>IF(AND($A3&gt;=DATE(2020,2,1),$A3&lt;=DATE(2020,5,31)),$M3,"")</f>
        <v/>
      </c>
      <c r="O3" s="5">
        <f>IF(AND($A3&gt;=DATE(2022,1,1),$A3&lt;=DATE(2022,10,31)),$M3,"")</f>
        <v/>
      </c>
      <c r="P3" s="5">
        <f>IF(AND($A3&gt;=DATE(2018,10,1),$A3&lt;=DATE(2018,12,31)),$M3,"")</f>
        <v/>
      </c>
      <c r="Q3" s="5">
        <f>SUMPRODUCT(Exposures!$B$8:$K$8,B3:K3)</f>
        <v/>
      </c>
      <c r="R3" s="5">
        <f>SUMPRODUCT(Exposures!$B$9:$K$9,B3:K3)</f>
        <v/>
      </c>
      <c r="S3" s="5">
        <f>SUMPRODUCT(Exposures!$B$10:$K$10,B3:K3)</f>
        <v/>
      </c>
    </row>
    <row r="4">
      <c r="A4" s="1" t="n">
        <v>42465</v>
      </c>
      <c r="B4" s="5" t="n">
        <v>0.002034931613444038</v>
      </c>
      <c r="C4" s="5" t="n">
        <v>0.0006351653321251373</v>
      </c>
      <c r="D4" s="5" t="n">
        <v>0.001687901327059477</v>
      </c>
      <c r="E4" s="5" t="n">
        <v>-0.0005336325423520399</v>
      </c>
      <c r="F4" s="5" t="n">
        <v>0.001941364247189444</v>
      </c>
      <c r="G4" s="5" t="n">
        <v>-0.01137724014642331</v>
      </c>
      <c r="H4" s="5" t="n">
        <v>0.001784462965822981</v>
      </c>
      <c r="I4" s="5" t="n">
        <v>0.001889793032251775</v>
      </c>
      <c r="J4" s="5" t="n">
        <v>-0.002473502239240403</v>
      </c>
      <c r="K4" s="5" t="n">
        <v>-0.003881749644758586</v>
      </c>
      <c r="L4" s="5" t="n">
        <v>-0.003541216058520379</v>
      </c>
      <c r="M4" s="5">
        <f>SUMPRODUCT(Exposures!$B$6:$K$6,B4:K4)</f>
        <v/>
      </c>
      <c r="N4" s="5">
        <f>IF(AND($A4&gt;=DATE(2020,2,1),$A4&lt;=DATE(2020,5,31)),$M4,"")</f>
        <v/>
      </c>
      <c r="O4" s="5">
        <f>IF(AND($A4&gt;=DATE(2022,1,1),$A4&lt;=DATE(2022,10,31)),$M4,"")</f>
        <v/>
      </c>
      <c r="P4" s="5">
        <f>IF(AND($A4&gt;=DATE(2018,10,1),$A4&lt;=DATE(2018,12,31)),$M4,"")</f>
        <v/>
      </c>
      <c r="Q4" s="5">
        <f>SUMPRODUCT(Exposures!$B$8:$K$8,B4:K4)</f>
        <v/>
      </c>
      <c r="R4" s="5">
        <f>SUMPRODUCT(Exposures!$B$9:$K$9,B4:K4)</f>
        <v/>
      </c>
      <c r="S4" s="5">
        <f>SUMPRODUCT(Exposures!$B$10:$K$10,B4:K4)</f>
        <v/>
      </c>
    </row>
    <row r="5">
      <c r="A5" s="1" t="n">
        <v>42466</v>
      </c>
      <c r="B5" s="5" t="n">
        <v>0.008542985800170931</v>
      </c>
      <c r="C5" s="5" t="n">
        <v>-0.002924064242328296</v>
      </c>
      <c r="D5" s="5" t="n">
        <v>-0.01880205071259242</v>
      </c>
      <c r="E5" s="5" t="n">
        <v>-0.002964664192804378</v>
      </c>
      <c r="F5" s="5" t="n">
        <v>0.0004726308206985585</v>
      </c>
      <c r="G5" s="5" t="n">
        <v>0.01254922213985242</v>
      </c>
      <c r="H5" s="5" t="n">
        <v>0.002408154198038014</v>
      </c>
      <c r="I5" s="5" t="n">
        <v>-0.0003680814060856622</v>
      </c>
      <c r="J5" s="5" t="n">
        <v>0.003939494864546404</v>
      </c>
      <c r="K5" s="5" t="n">
        <v>0.003425401159566461</v>
      </c>
      <c r="L5" s="5" t="n">
        <v>-0.003622777820739609</v>
      </c>
      <c r="M5" s="5">
        <f>SUMPRODUCT(Exposures!$B$6:$K$6,B5:K5)</f>
        <v/>
      </c>
      <c r="N5" s="5">
        <f>IF(AND($A5&gt;=DATE(2020,2,1),$A5&lt;=DATE(2020,5,31)),$M5,"")</f>
        <v/>
      </c>
      <c r="O5" s="5">
        <f>IF(AND($A5&gt;=DATE(2022,1,1),$A5&lt;=DATE(2022,10,31)),$M5,"")</f>
        <v/>
      </c>
      <c r="P5" s="5">
        <f>IF(AND($A5&gt;=DATE(2018,10,1),$A5&lt;=DATE(2018,12,31)),$M5,"")</f>
        <v/>
      </c>
      <c r="Q5" s="5">
        <f>SUMPRODUCT(Exposures!$B$8:$K$8,B5:K5)</f>
        <v/>
      </c>
      <c r="R5" s="5">
        <f>SUMPRODUCT(Exposures!$B$9:$K$9,B5:K5)</f>
        <v/>
      </c>
      <c r="S5" s="5">
        <f>SUMPRODUCT(Exposures!$B$10:$K$10,B5:K5)</f>
        <v/>
      </c>
    </row>
    <row r="6">
      <c r="A6" s="1" t="n">
        <v>42467</v>
      </c>
      <c r="B6" s="5" t="n">
        <v>-0.007073073728022103</v>
      </c>
      <c r="C6" s="5" t="n">
        <v>0.001570213956905048</v>
      </c>
      <c r="D6" s="5" t="n">
        <v>0.02042635661826622</v>
      </c>
      <c r="E6" s="5" t="n">
        <v>-0.002219378680409889</v>
      </c>
      <c r="F6" s="5" t="n">
        <v>-0.0001530794560836591</v>
      </c>
      <c r="G6" s="5" t="n">
        <v>-0.01386875279499408</v>
      </c>
      <c r="H6" s="5" t="n">
        <v>-0.000990648498701335</v>
      </c>
      <c r="I6" s="5" t="n">
        <v>1.0140219164356e-06</v>
      </c>
      <c r="J6" s="5" t="n">
        <v>0.001857107449194415</v>
      </c>
      <c r="K6" s="5" t="n">
        <v>0.001166091938155196</v>
      </c>
      <c r="L6" s="5" t="n">
        <v>-0.00149508662451827</v>
      </c>
      <c r="M6" s="5">
        <f>SUMPRODUCT(Exposures!$B$6:$K$6,B6:K6)</f>
        <v/>
      </c>
      <c r="N6" s="5">
        <f>IF(AND($A6&gt;=DATE(2020,2,1),$A6&lt;=DATE(2020,5,31)),$M6,"")</f>
        <v/>
      </c>
      <c r="O6" s="5">
        <f>IF(AND($A6&gt;=DATE(2022,1,1),$A6&lt;=DATE(2022,10,31)),$M6,"")</f>
        <v/>
      </c>
      <c r="P6" s="5">
        <f>IF(AND($A6&gt;=DATE(2018,10,1),$A6&lt;=DATE(2018,12,31)),$M6,"")</f>
        <v/>
      </c>
      <c r="Q6" s="5">
        <f>SUMPRODUCT(Exposures!$B$8:$K$8,B6:K6)</f>
        <v/>
      </c>
      <c r="R6" s="5">
        <f>SUMPRODUCT(Exposures!$B$9:$K$9,B6:K6)</f>
        <v/>
      </c>
      <c r="S6" s="5">
        <f>SUMPRODUCT(Exposures!$B$10:$K$10,B6:K6)</f>
        <v/>
      </c>
    </row>
    <row r="7">
      <c r="A7" s="1" t="n">
        <v>42468</v>
      </c>
      <c r="B7" s="5" t="n">
        <v>0.002873199734206587</v>
      </c>
      <c r="C7" s="5" t="n">
        <v>0.0004825093132209315</v>
      </c>
      <c r="D7" s="5" t="n">
        <v>-0.0159519806776223</v>
      </c>
      <c r="E7" s="5" t="n">
        <v>0.0004070893879035713</v>
      </c>
      <c r="F7" s="5" t="n">
        <v>-0.006038704199275086</v>
      </c>
      <c r="G7" s="5" t="n">
        <v>0.004793258749574149</v>
      </c>
      <c r="H7" s="5" t="n">
        <v>0.0009947735401706504</v>
      </c>
      <c r="I7" s="5" t="n">
        <v>0.0009438636219314191</v>
      </c>
      <c r="J7" s="5" t="n">
        <v>5.044509910145391e-05</v>
      </c>
      <c r="K7" s="5" t="n">
        <v>0.00197402097807528</v>
      </c>
      <c r="L7" s="5" t="n">
        <v>0.001214921594822319</v>
      </c>
      <c r="M7" s="5">
        <f>SUMPRODUCT(Exposures!$B$6:$K$6,B7:K7)</f>
        <v/>
      </c>
      <c r="N7" s="5">
        <f>IF(AND($A7&gt;=DATE(2020,2,1),$A7&lt;=DATE(2020,5,31)),$M7,"")</f>
        <v/>
      </c>
      <c r="O7" s="5">
        <f>IF(AND($A7&gt;=DATE(2022,1,1),$A7&lt;=DATE(2022,10,31)),$M7,"")</f>
        <v/>
      </c>
      <c r="P7" s="5">
        <f>IF(AND($A7&gt;=DATE(2018,10,1),$A7&lt;=DATE(2018,12,31)),$M7,"")</f>
        <v/>
      </c>
      <c r="Q7" s="5">
        <f>SUMPRODUCT(Exposures!$B$8:$K$8,B7:K7)</f>
        <v/>
      </c>
      <c r="R7" s="5">
        <f>SUMPRODUCT(Exposures!$B$9:$K$9,B7:K7)</f>
        <v/>
      </c>
      <c r="S7" s="5">
        <f>SUMPRODUCT(Exposures!$B$10:$K$10,B7:K7)</f>
        <v/>
      </c>
    </row>
    <row r="8">
      <c r="A8" s="1" t="n">
        <v>42471</v>
      </c>
      <c r="B8" s="5" t="n">
        <v>0.001325042388646889</v>
      </c>
      <c r="C8" s="5" t="n">
        <v>0.000930273515061599</v>
      </c>
      <c r="D8" s="5" t="n">
        <v>-0.009964225328326729</v>
      </c>
      <c r="E8" s="5" t="n">
        <v>0.001138260733138332</v>
      </c>
      <c r="F8" s="5" t="n">
        <v>-0.007150046274279268</v>
      </c>
      <c r="G8" s="5" t="n">
        <v>-0.00197776050649451</v>
      </c>
      <c r="H8" s="5" t="n">
        <v>0.001498245728817868</v>
      </c>
      <c r="I8" s="5" t="n">
        <v>-0.002053147033256068</v>
      </c>
      <c r="J8" s="5" t="n">
        <v>0.001099233601775313</v>
      </c>
      <c r="K8" s="5" t="n">
        <v>0.007574910177737048</v>
      </c>
      <c r="L8" s="5" t="n">
        <v>0.004357822052054253</v>
      </c>
      <c r="M8" s="5">
        <f>SUMPRODUCT(Exposures!$B$6:$K$6,B8:K8)</f>
        <v/>
      </c>
      <c r="N8" s="5">
        <f>IF(AND($A8&gt;=DATE(2020,2,1),$A8&lt;=DATE(2020,5,31)),$M8,"")</f>
        <v/>
      </c>
      <c r="O8" s="5">
        <f>IF(AND($A8&gt;=DATE(2022,1,1),$A8&lt;=DATE(2022,10,31)),$M8,"")</f>
        <v/>
      </c>
      <c r="P8" s="5">
        <f>IF(AND($A8&gt;=DATE(2018,10,1),$A8&lt;=DATE(2018,12,31)),$M8,"")</f>
        <v/>
      </c>
      <c r="Q8" s="5">
        <f>SUMPRODUCT(Exposures!$B$8:$K$8,B8:K8)</f>
        <v/>
      </c>
      <c r="R8" s="5">
        <f>SUMPRODUCT(Exposures!$B$9:$K$9,B8:K8)</f>
        <v/>
      </c>
      <c r="S8" s="5">
        <f>SUMPRODUCT(Exposures!$B$10:$K$10,B8:K8)</f>
        <v/>
      </c>
    </row>
    <row r="9">
      <c r="A9" s="1" t="n">
        <v>42472</v>
      </c>
      <c r="B9" s="5" t="n">
        <v>0.0009572709683230438</v>
      </c>
      <c r="C9" s="5" t="n">
        <v>0.0001542966453728205</v>
      </c>
      <c r="D9" s="5" t="n">
        <v>0.01689203382992576</v>
      </c>
      <c r="E9" s="5" t="n">
        <v>0.0004432871586672681</v>
      </c>
      <c r="F9" s="5" t="n">
        <v>0.002272422847562896</v>
      </c>
      <c r="G9" s="5" t="n">
        <v>0.007517533248019981</v>
      </c>
      <c r="H9" s="5" t="n">
        <v>-0.003832664634860693</v>
      </c>
      <c r="I9" s="5" t="n">
        <v>-0.001390481784981638</v>
      </c>
      <c r="J9" s="5" t="n">
        <v>-0.000294678143562762</v>
      </c>
      <c r="K9" s="5" t="n">
        <v>0.001243423439863815</v>
      </c>
      <c r="L9" s="5" t="n">
        <v>0.001782061083012521</v>
      </c>
      <c r="M9" s="5">
        <f>SUMPRODUCT(Exposures!$B$6:$K$6,B9:K9)</f>
        <v/>
      </c>
      <c r="N9" s="5">
        <f>IF(AND($A9&gt;=DATE(2020,2,1),$A9&lt;=DATE(2020,5,31)),$M9,"")</f>
        <v/>
      </c>
      <c r="O9" s="5">
        <f>IF(AND($A9&gt;=DATE(2022,1,1),$A9&lt;=DATE(2022,10,31)),$M9,"")</f>
        <v/>
      </c>
      <c r="P9" s="5">
        <f>IF(AND($A9&gt;=DATE(2018,10,1),$A9&lt;=DATE(2018,12,31)),$M9,"")</f>
        <v/>
      </c>
      <c r="Q9" s="5">
        <f>SUMPRODUCT(Exposures!$B$8:$K$8,B9:K9)</f>
        <v/>
      </c>
      <c r="R9" s="5">
        <f>SUMPRODUCT(Exposures!$B$9:$K$9,B9:K9)</f>
        <v/>
      </c>
      <c r="S9" s="5">
        <f>SUMPRODUCT(Exposures!$B$10:$K$10,B9:K9)</f>
        <v/>
      </c>
    </row>
    <row r="10">
      <c r="A10" s="1" t="n">
        <v>42473</v>
      </c>
      <c r="B10" s="5" t="n">
        <v>0.01199437882058477</v>
      </c>
      <c r="C10" s="5" t="n">
        <v>0.0003537392839419854</v>
      </c>
      <c r="D10" s="5" t="n">
        <v>-0.01881773567838518</v>
      </c>
      <c r="E10" s="5" t="n">
        <v>0.001274129366532125</v>
      </c>
      <c r="F10" s="5" t="n">
        <v>-5.856668584717541e-05</v>
      </c>
      <c r="G10" s="5" t="n">
        <v>0.01826082196200365</v>
      </c>
      <c r="H10" s="5" t="n">
        <v>-0.003825712555027068</v>
      </c>
      <c r="I10" s="5" t="n">
        <v>-0.002331894415945812</v>
      </c>
      <c r="J10" s="5" t="n">
        <v>-0.001569417524792995</v>
      </c>
      <c r="K10" s="5" t="n">
        <v>-0.003325329912277288</v>
      </c>
      <c r="L10" s="5" t="n">
        <v>0.002865398707510814</v>
      </c>
      <c r="M10" s="5">
        <f>SUMPRODUCT(Exposures!$B$6:$K$6,B10:K10)</f>
        <v/>
      </c>
      <c r="N10" s="5">
        <f>IF(AND($A10&gt;=DATE(2020,2,1),$A10&lt;=DATE(2020,5,31)),$M10,"")</f>
        <v/>
      </c>
      <c r="O10" s="5">
        <f>IF(AND($A10&gt;=DATE(2022,1,1),$A10&lt;=DATE(2022,10,31)),$M10,"")</f>
        <v/>
      </c>
      <c r="P10" s="5">
        <f>IF(AND($A10&gt;=DATE(2018,10,1),$A10&lt;=DATE(2018,12,31)),$M10,"")</f>
        <v/>
      </c>
      <c r="Q10" s="5">
        <f>SUMPRODUCT(Exposures!$B$8:$K$8,B10:K10)</f>
        <v/>
      </c>
      <c r="R10" s="5">
        <f>SUMPRODUCT(Exposures!$B$9:$K$9,B10:K10)</f>
        <v/>
      </c>
      <c r="S10" s="5">
        <f>SUMPRODUCT(Exposures!$B$10:$K$10,B10:K10)</f>
        <v/>
      </c>
    </row>
    <row r="11">
      <c r="A11" s="1" t="n">
        <v>42474</v>
      </c>
      <c r="B11" s="5" t="n">
        <v>0.001239697154616866</v>
      </c>
      <c r="C11" s="5" t="n">
        <v>-0.001929067864735495</v>
      </c>
      <c r="D11" s="5" t="n">
        <v>0.01292986820463833</v>
      </c>
      <c r="E11" s="5" t="n">
        <v>0.00202120977466383</v>
      </c>
      <c r="F11" s="5" t="n">
        <v>0.008119680403092815</v>
      </c>
      <c r="G11" s="5" t="n">
        <v>0.001006877878729522</v>
      </c>
      <c r="H11" s="5" t="n">
        <v>-0.003654631194258586</v>
      </c>
      <c r="I11" s="5" t="n">
        <v>0.002763226708465716</v>
      </c>
      <c r="J11" s="5" t="n">
        <v>-0.002677744754211602</v>
      </c>
      <c r="K11" s="5" t="n">
        <v>-0.009093670496266191</v>
      </c>
      <c r="L11" s="5" t="n">
        <v>0.0005815020736061598</v>
      </c>
      <c r="M11" s="5">
        <f>SUMPRODUCT(Exposures!$B$6:$K$6,B11:K11)</f>
        <v/>
      </c>
      <c r="N11" s="5">
        <f>IF(AND($A11&gt;=DATE(2020,2,1),$A11&lt;=DATE(2020,5,31)),$M11,"")</f>
        <v/>
      </c>
      <c r="O11" s="5">
        <f>IF(AND($A11&gt;=DATE(2022,1,1),$A11&lt;=DATE(2022,10,31)),$M11,"")</f>
        <v/>
      </c>
      <c r="P11" s="5">
        <f>IF(AND($A11&gt;=DATE(2018,10,1),$A11&lt;=DATE(2018,12,31)),$M11,"")</f>
        <v/>
      </c>
      <c r="Q11" s="5">
        <f>SUMPRODUCT(Exposures!$B$8:$K$8,B11:K11)</f>
        <v/>
      </c>
      <c r="R11" s="5">
        <f>SUMPRODUCT(Exposures!$B$9:$K$9,B11:K11)</f>
        <v/>
      </c>
      <c r="S11" s="5">
        <f>SUMPRODUCT(Exposures!$B$10:$K$10,B11:K11)</f>
        <v/>
      </c>
    </row>
    <row r="12">
      <c r="A12" s="1" t="n">
        <v>42475</v>
      </c>
      <c r="B12" s="5" t="n">
        <v>-0.001937789415498182</v>
      </c>
      <c r="C12" s="5" t="n">
        <v>0.0007919307589863942</v>
      </c>
      <c r="D12" s="5" t="n">
        <v>-0.002271545341538759</v>
      </c>
      <c r="E12" s="5" t="n">
        <v>0.000931130691276965</v>
      </c>
      <c r="F12" s="5" t="n">
        <v>-0.001329479458514354</v>
      </c>
      <c r="G12" s="5" t="n">
        <v>0.001682781709373101</v>
      </c>
      <c r="H12" s="5" t="n">
        <v>0.003485219968416236</v>
      </c>
      <c r="I12" s="5" t="n">
        <v>-0.0001685023014395333</v>
      </c>
      <c r="J12" s="5" t="n">
        <v>0.001358178036667785</v>
      </c>
      <c r="K12" s="5" t="n">
        <v>-0.001078759880656</v>
      </c>
      <c r="L12" s="5" t="n">
        <v>-0.0005217231022105683</v>
      </c>
      <c r="M12" s="5">
        <f>SUMPRODUCT(Exposures!$B$6:$K$6,B12:K12)</f>
        <v/>
      </c>
      <c r="N12" s="5">
        <f>IF(AND($A12&gt;=DATE(2020,2,1),$A12&lt;=DATE(2020,5,31)),$M12,"")</f>
        <v/>
      </c>
      <c r="O12" s="5">
        <f>IF(AND($A12&gt;=DATE(2022,1,1),$A12&lt;=DATE(2022,10,31)),$M12,"")</f>
        <v/>
      </c>
      <c r="P12" s="5">
        <f>IF(AND($A12&gt;=DATE(2018,10,1),$A12&lt;=DATE(2018,12,31)),$M12,"")</f>
        <v/>
      </c>
      <c r="Q12" s="5">
        <f>SUMPRODUCT(Exposures!$B$8:$K$8,B12:K12)</f>
        <v/>
      </c>
      <c r="R12" s="5">
        <f>SUMPRODUCT(Exposures!$B$9:$K$9,B12:K12)</f>
        <v/>
      </c>
      <c r="S12" s="5">
        <f>SUMPRODUCT(Exposures!$B$10:$K$10,B12:K12)</f>
        <v/>
      </c>
    </row>
    <row r="13">
      <c r="A13" s="1" t="n">
        <v>42478</v>
      </c>
      <c r="B13" s="5" t="n">
        <v>0.002935860084799541</v>
      </c>
      <c r="C13" s="5" t="n">
        <v>0.0003888837656868425</v>
      </c>
      <c r="D13" s="5" t="n">
        <v>0.04171910519362644</v>
      </c>
      <c r="E13" s="5" t="n">
        <v>-0.0004361992297817111</v>
      </c>
      <c r="F13" s="5" t="n">
        <v>-0.003080091016191474</v>
      </c>
      <c r="G13" s="5" t="n">
        <v>0.005750628842573893</v>
      </c>
      <c r="H13" s="5" t="n">
        <v>0.001617713286339793</v>
      </c>
      <c r="I13" s="5" t="n">
        <v>-0.0001276392338687359</v>
      </c>
      <c r="J13" s="5" t="n">
        <v>-0.0005741380450697499</v>
      </c>
      <c r="K13" s="5" t="n">
        <v>0.002100510782453199</v>
      </c>
      <c r="L13" s="5" t="n">
        <v>0.0002928687322844874</v>
      </c>
      <c r="M13" s="5">
        <f>SUMPRODUCT(Exposures!$B$6:$K$6,B13:K13)</f>
        <v/>
      </c>
      <c r="N13" s="5">
        <f>IF(AND($A13&gt;=DATE(2020,2,1),$A13&lt;=DATE(2020,5,31)),$M13,"")</f>
        <v/>
      </c>
      <c r="O13" s="5">
        <f>IF(AND($A13&gt;=DATE(2022,1,1),$A13&lt;=DATE(2022,10,31)),$M13,"")</f>
        <v/>
      </c>
      <c r="P13" s="5">
        <f>IF(AND($A13&gt;=DATE(2018,10,1),$A13&lt;=DATE(2018,12,31)),$M13,"")</f>
        <v/>
      </c>
      <c r="Q13" s="5">
        <f>SUMPRODUCT(Exposures!$B$8:$K$8,B13:K13)</f>
        <v/>
      </c>
      <c r="R13" s="5">
        <f>SUMPRODUCT(Exposures!$B$9:$K$9,B13:K13)</f>
        <v/>
      </c>
      <c r="S13" s="5">
        <f>SUMPRODUCT(Exposures!$B$10:$K$10,B13:K13)</f>
        <v/>
      </c>
    </row>
    <row r="14">
      <c r="A14" s="1" t="n">
        <v>42479</v>
      </c>
      <c r="B14" s="5" t="n">
        <v>-0.005762838603630147</v>
      </c>
      <c r="C14" s="5" t="n">
        <v>0.001692890616968686</v>
      </c>
      <c r="D14" s="5" t="n">
        <v>-0.03715415794258139</v>
      </c>
      <c r="E14" s="5" t="n">
        <v>0.002304958711395002</v>
      </c>
      <c r="F14" s="5" t="n">
        <v>-0.00966251557437493</v>
      </c>
      <c r="G14" s="5" t="n">
        <v>0.001000864787432569</v>
      </c>
      <c r="H14" s="5" t="n">
        <v>-0.006602359902605262</v>
      </c>
      <c r="I14" s="5" t="n">
        <v>-0.005316483829168033</v>
      </c>
      <c r="J14" s="5" t="n">
        <v>0.003978539826161106</v>
      </c>
      <c r="K14" s="5" t="n">
        <v>0.01679850284848725</v>
      </c>
      <c r="L14" s="5" t="n">
        <v>0.005808660122465307</v>
      </c>
      <c r="M14" s="5">
        <f>SUMPRODUCT(Exposures!$B$6:$K$6,B14:K14)</f>
        <v/>
      </c>
      <c r="N14" s="5">
        <f>IF(AND($A14&gt;=DATE(2020,2,1),$A14&lt;=DATE(2020,5,31)),$M14,"")</f>
        <v/>
      </c>
      <c r="O14" s="5">
        <f>IF(AND($A14&gt;=DATE(2022,1,1),$A14&lt;=DATE(2022,10,31)),$M14,"")</f>
        <v/>
      </c>
      <c r="P14" s="5">
        <f>IF(AND($A14&gt;=DATE(2018,10,1),$A14&lt;=DATE(2018,12,31)),$M14,"")</f>
        <v/>
      </c>
      <c r="Q14" s="5">
        <f>SUMPRODUCT(Exposures!$B$8:$K$8,B14:K14)</f>
        <v/>
      </c>
      <c r="R14" s="5">
        <f>SUMPRODUCT(Exposures!$B$9:$K$9,B14:K14)</f>
        <v/>
      </c>
      <c r="S14" s="5">
        <f>SUMPRODUCT(Exposures!$B$10:$K$10,B14:K14)</f>
        <v/>
      </c>
    </row>
    <row r="15">
      <c r="A15" s="1" t="n">
        <v>42480</v>
      </c>
      <c r="B15" s="5" t="n">
        <v>0.006200702390314278</v>
      </c>
      <c r="C15" s="5" t="n">
        <v>-5.414645656249683e-05</v>
      </c>
      <c r="D15" s="5" t="n">
        <v>0.02359529344153564</v>
      </c>
      <c r="E15" s="5" t="n">
        <v>0.002254671728501844</v>
      </c>
      <c r="F15" s="5" t="n">
        <v>-0.001168975291479655</v>
      </c>
      <c r="G15" s="5" t="n">
        <v>0.0006620714038735095</v>
      </c>
      <c r="H15" s="5" t="n">
        <v>-0.001982940954077956</v>
      </c>
      <c r="I15" s="5" t="n">
        <v>-0.002508472338748318</v>
      </c>
      <c r="J15" s="5" t="n">
        <v>0.002326911643201986</v>
      </c>
      <c r="K15" s="5" t="n">
        <v>0.004529589554650476</v>
      </c>
      <c r="L15" s="5" t="n">
        <v>0.003722392958586333</v>
      </c>
      <c r="M15" s="5">
        <f>SUMPRODUCT(Exposures!$B$6:$K$6,B15:K15)</f>
        <v/>
      </c>
      <c r="N15" s="5">
        <f>IF(AND($A15&gt;=DATE(2020,2,1),$A15&lt;=DATE(2020,5,31)),$M15,"")</f>
        <v/>
      </c>
      <c r="O15" s="5">
        <f>IF(AND($A15&gt;=DATE(2022,1,1),$A15&lt;=DATE(2022,10,31)),$M15,"")</f>
        <v/>
      </c>
      <c r="P15" s="5">
        <f>IF(AND($A15&gt;=DATE(2018,10,1),$A15&lt;=DATE(2018,12,31)),$M15,"")</f>
        <v/>
      </c>
      <c r="Q15" s="5">
        <f>SUMPRODUCT(Exposures!$B$8:$K$8,B15:K15)</f>
        <v/>
      </c>
      <c r="R15" s="5">
        <f>SUMPRODUCT(Exposures!$B$9:$K$9,B15:K15)</f>
        <v/>
      </c>
      <c r="S15" s="5">
        <f>SUMPRODUCT(Exposures!$B$10:$K$10,B15:K15)</f>
        <v/>
      </c>
    </row>
    <row r="16">
      <c r="A16" s="1" t="n">
        <v>42481</v>
      </c>
      <c r="B16" s="5" t="n">
        <v>0.00446406779008522</v>
      </c>
      <c r="C16" s="5" t="n">
        <v>-0.0005731985802299902</v>
      </c>
      <c r="D16" s="5" t="n">
        <v>-0.01553161518927764</v>
      </c>
      <c r="E16" s="5" t="n">
        <v>-0.00325086407834365</v>
      </c>
      <c r="F16" s="5" t="n">
        <v>0.001878727713558814</v>
      </c>
      <c r="G16" s="5" t="n">
        <v>-0.001757648114601795</v>
      </c>
      <c r="H16" s="5" t="n">
        <v>-0.003351739699113498</v>
      </c>
      <c r="I16" s="5" t="n">
        <v>0.003705143796203132</v>
      </c>
      <c r="J16" s="5" t="n">
        <v>0.002700400308476661</v>
      </c>
      <c r="K16" s="5" t="n">
        <v>-0.003166889808361701</v>
      </c>
      <c r="L16" s="5" t="n">
        <v>-0.00104371485810081</v>
      </c>
      <c r="M16" s="5">
        <f>SUMPRODUCT(Exposures!$B$6:$K$6,B16:K16)</f>
        <v/>
      </c>
      <c r="N16" s="5">
        <f>IF(AND($A16&gt;=DATE(2020,2,1),$A16&lt;=DATE(2020,5,31)),$M16,"")</f>
        <v/>
      </c>
      <c r="O16" s="5">
        <f>IF(AND($A16&gt;=DATE(2022,1,1),$A16&lt;=DATE(2022,10,31)),$M16,"")</f>
        <v/>
      </c>
      <c r="P16" s="5">
        <f>IF(AND($A16&gt;=DATE(2018,10,1),$A16&lt;=DATE(2018,12,31)),$M16,"")</f>
        <v/>
      </c>
      <c r="Q16" s="5">
        <f>SUMPRODUCT(Exposures!$B$8:$K$8,B16:K16)</f>
        <v/>
      </c>
      <c r="R16" s="5">
        <f>SUMPRODUCT(Exposures!$B$9:$K$9,B16:K16)</f>
        <v/>
      </c>
      <c r="S16" s="5">
        <f>SUMPRODUCT(Exposures!$B$10:$K$10,B16:K16)</f>
        <v/>
      </c>
    </row>
    <row r="17">
      <c r="A17" s="1" t="n">
        <v>42482</v>
      </c>
      <c r="B17" s="5" t="n">
        <v>0.0009874995302591796</v>
      </c>
      <c r="C17" s="5" t="n">
        <v>-5.066468677424464e-05</v>
      </c>
      <c r="D17" s="5" t="n">
        <v>-0.04302769912257166</v>
      </c>
      <c r="E17" s="5" t="n">
        <v>0.001685186592209572</v>
      </c>
      <c r="F17" s="5" t="n">
        <v>-0.009366089898791405</v>
      </c>
      <c r="G17" s="5" t="n">
        <v>0.005116798604858121</v>
      </c>
      <c r="H17" s="5" t="n">
        <v>-0.00383095734438245</v>
      </c>
      <c r="I17" s="5" t="n">
        <v>-0.0009140023159395449</v>
      </c>
      <c r="J17" s="5" t="n">
        <v>-0.004391928434173109</v>
      </c>
      <c r="K17" s="5" t="n">
        <v>0.004366022959649448</v>
      </c>
      <c r="L17" s="5" t="n">
        <v>-0.0008767212437317931</v>
      </c>
      <c r="M17" s="5">
        <f>SUMPRODUCT(Exposures!$B$6:$K$6,B17:K17)</f>
        <v/>
      </c>
      <c r="N17" s="5">
        <f>IF(AND($A17&gt;=DATE(2020,2,1),$A17&lt;=DATE(2020,5,31)),$M17,"")</f>
        <v/>
      </c>
      <c r="O17" s="5">
        <f>IF(AND($A17&gt;=DATE(2022,1,1),$A17&lt;=DATE(2022,10,31)),$M17,"")</f>
        <v/>
      </c>
      <c r="P17" s="5">
        <f>IF(AND($A17&gt;=DATE(2018,10,1),$A17&lt;=DATE(2018,12,31)),$M17,"")</f>
        <v/>
      </c>
      <c r="Q17" s="5">
        <f>SUMPRODUCT(Exposures!$B$8:$K$8,B17:K17)</f>
        <v/>
      </c>
      <c r="R17" s="5">
        <f>SUMPRODUCT(Exposures!$B$9:$K$9,B17:K17)</f>
        <v/>
      </c>
      <c r="S17" s="5">
        <f>SUMPRODUCT(Exposures!$B$10:$K$10,B17:K17)</f>
        <v/>
      </c>
    </row>
    <row r="18">
      <c r="A18" s="1" t="n">
        <v>42485</v>
      </c>
      <c r="B18" s="5" t="n">
        <v>-0.002067465262609043</v>
      </c>
      <c r="C18" s="5" t="n">
        <v>-0.0004923828601591664</v>
      </c>
      <c r="D18" s="5" t="n">
        <v>0.03882239183293685</v>
      </c>
      <c r="E18" s="5" t="n">
        <v>-0.001418306062874881</v>
      </c>
      <c r="F18" s="5" t="n">
        <v>0.00556590253362666</v>
      </c>
      <c r="G18" s="5" t="n">
        <v>-0.005923093146055267</v>
      </c>
      <c r="H18" s="5" t="n">
        <v>0.001165364792563764</v>
      </c>
      <c r="I18" s="5" t="n">
        <v>0.003988977142529768</v>
      </c>
      <c r="J18" s="5" t="n">
        <v>-0.007456949470154079</v>
      </c>
      <c r="K18" s="5" t="n">
        <v>-0.007615240534021318</v>
      </c>
      <c r="L18" s="5" t="n">
        <v>-0.003048348026317002</v>
      </c>
      <c r="M18" s="5">
        <f>SUMPRODUCT(Exposures!$B$6:$K$6,B18:K18)</f>
        <v/>
      </c>
      <c r="N18" s="5">
        <f>IF(AND($A18&gt;=DATE(2020,2,1),$A18&lt;=DATE(2020,5,31)),$M18,"")</f>
        <v/>
      </c>
      <c r="O18" s="5">
        <f>IF(AND($A18&gt;=DATE(2022,1,1),$A18&lt;=DATE(2022,10,31)),$M18,"")</f>
        <v/>
      </c>
      <c r="P18" s="5">
        <f>IF(AND($A18&gt;=DATE(2018,10,1),$A18&lt;=DATE(2018,12,31)),$M18,"")</f>
        <v/>
      </c>
      <c r="Q18" s="5">
        <f>SUMPRODUCT(Exposures!$B$8:$K$8,B18:K18)</f>
        <v/>
      </c>
      <c r="R18" s="5">
        <f>SUMPRODUCT(Exposures!$B$9:$K$9,B18:K18)</f>
        <v/>
      </c>
      <c r="S18" s="5">
        <f>SUMPRODUCT(Exposures!$B$10:$K$10,B18:K18)</f>
        <v/>
      </c>
    </row>
    <row r="19">
      <c r="A19" s="1" t="n">
        <v>42486</v>
      </c>
      <c r="B19" s="5" t="n">
        <v>-0.0004843221455360083</v>
      </c>
      <c r="C19" s="5" t="n">
        <v>0.001784395666649052</v>
      </c>
      <c r="D19" s="5" t="n">
        <v>-0.01480201503936849</v>
      </c>
      <c r="E19" s="5" t="n">
        <v>0.001522310310376211</v>
      </c>
      <c r="F19" s="5" t="n">
        <v>-0.006471085055610331</v>
      </c>
      <c r="G19" s="5" t="n">
        <v>0.007505796281142632</v>
      </c>
      <c r="H19" s="5" t="n">
        <v>-0.002842663439278081</v>
      </c>
      <c r="I19" s="5" t="n">
        <v>-0.00105091079287146</v>
      </c>
      <c r="J19" s="5" t="n">
        <v>9.568724053224224e-06</v>
      </c>
      <c r="K19" s="5" t="n">
        <v>0.002531683141674127</v>
      </c>
      <c r="L19" s="5" t="n">
        <v>3.282831237871865e-05</v>
      </c>
      <c r="M19" s="5">
        <f>SUMPRODUCT(Exposures!$B$6:$K$6,B19:K19)</f>
        <v/>
      </c>
      <c r="N19" s="5">
        <f>IF(AND($A19&gt;=DATE(2020,2,1),$A19&lt;=DATE(2020,5,31)),$M19,"")</f>
        <v/>
      </c>
      <c r="O19" s="5">
        <f>IF(AND($A19&gt;=DATE(2022,1,1),$A19&lt;=DATE(2022,10,31)),$M19,"")</f>
        <v/>
      </c>
      <c r="P19" s="5">
        <f>IF(AND($A19&gt;=DATE(2018,10,1),$A19&lt;=DATE(2018,12,31)),$M19,"")</f>
        <v/>
      </c>
      <c r="Q19" s="5">
        <f>SUMPRODUCT(Exposures!$B$8:$K$8,B19:K19)</f>
        <v/>
      </c>
      <c r="R19" s="5">
        <f>SUMPRODUCT(Exposures!$B$9:$K$9,B19:K19)</f>
        <v/>
      </c>
      <c r="S19" s="5">
        <f>SUMPRODUCT(Exposures!$B$10:$K$10,B19:K19)</f>
        <v/>
      </c>
    </row>
    <row r="20">
      <c r="A20" s="1" t="n">
        <v>42487</v>
      </c>
      <c r="B20" s="5" t="n">
        <v>-0.0006067294461712027</v>
      </c>
      <c r="C20" s="5" t="n">
        <v>0.002152748502318962</v>
      </c>
      <c r="D20" s="5" t="n">
        <v>-0.03655395542903117</v>
      </c>
      <c r="E20" s="5" t="n">
        <v>-0.0006009637481417022</v>
      </c>
      <c r="F20" s="5" t="n">
        <v>-0.01198059042576603</v>
      </c>
      <c r="G20" s="5" t="n">
        <v>0.002143158710670352</v>
      </c>
      <c r="H20" s="5" t="n">
        <v>0.0009937090534721887</v>
      </c>
      <c r="I20" s="5" t="n">
        <v>-0.001615020016071361</v>
      </c>
      <c r="J20" s="5" t="n">
        <v>0.001199286298073862</v>
      </c>
      <c r="K20" s="5" t="n">
        <v>0.007743634583301133</v>
      </c>
      <c r="L20" s="5" t="n">
        <v>-0.0007371003773718959</v>
      </c>
      <c r="M20" s="5">
        <f>SUMPRODUCT(Exposures!$B$6:$K$6,B20:K20)</f>
        <v/>
      </c>
      <c r="N20" s="5">
        <f>IF(AND($A20&gt;=DATE(2020,2,1),$A20&lt;=DATE(2020,5,31)),$M20,"")</f>
        <v/>
      </c>
      <c r="O20" s="5">
        <f>IF(AND($A20&gt;=DATE(2022,1,1),$A20&lt;=DATE(2022,10,31)),$M20,"")</f>
        <v/>
      </c>
      <c r="P20" s="5">
        <f>IF(AND($A20&gt;=DATE(2018,10,1),$A20&lt;=DATE(2018,12,31)),$M20,"")</f>
        <v/>
      </c>
      <c r="Q20" s="5">
        <f>SUMPRODUCT(Exposures!$B$8:$K$8,B20:K20)</f>
        <v/>
      </c>
      <c r="R20" s="5">
        <f>SUMPRODUCT(Exposures!$B$9:$K$9,B20:K20)</f>
        <v/>
      </c>
      <c r="S20" s="5">
        <f>SUMPRODUCT(Exposures!$B$10:$K$10,B20:K20)</f>
        <v/>
      </c>
    </row>
    <row r="21">
      <c r="A21" s="1" t="n">
        <v>42488</v>
      </c>
      <c r="B21" s="5" t="n">
        <v>-0.008524385186224876</v>
      </c>
      <c r="C21" s="5" t="n">
        <v>0.0005354572684161847</v>
      </c>
      <c r="D21" s="5" t="n">
        <v>-0.04883663868547813</v>
      </c>
      <c r="E21" s="5" t="n">
        <v>0.002015841235304017</v>
      </c>
      <c r="F21" s="5" t="n">
        <v>-0.004962638671658762</v>
      </c>
      <c r="G21" s="5" t="n">
        <v>-0.009843478907528345</v>
      </c>
      <c r="H21" s="5" t="n">
        <v>0.0003115277641689165</v>
      </c>
      <c r="I21" s="5" t="n">
        <v>0.002307791560429774</v>
      </c>
      <c r="J21" s="5" t="n">
        <v>0.007105453145488315</v>
      </c>
      <c r="K21" s="5" t="n">
        <v>0.004148150255845489</v>
      </c>
      <c r="L21" s="5" t="n">
        <v>-7.576020097039963e-05</v>
      </c>
      <c r="M21" s="5">
        <f>SUMPRODUCT(Exposures!$B$6:$K$6,B21:K21)</f>
        <v/>
      </c>
      <c r="N21" s="5">
        <f>IF(AND($A21&gt;=DATE(2020,2,1),$A21&lt;=DATE(2020,5,31)),$M21,"")</f>
        <v/>
      </c>
      <c r="O21" s="5">
        <f>IF(AND($A21&gt;=DATE(2022,1,1),$A21&lt;=DATE(2022,10,31)),$M21,"")</f>
        <v/>
      </c>
      <c r="P21" s="5">
        <f>IF(AND($A21&gt;=DATE(2018,10,1),$A21&lt;=DATE(2018,12,31)),$M21,"")</f>
        <v/>
      </c>
      <c r="Q21" s="5">
        <f>SUMPRODUCT(Exposures!$B$8:$K$8,B21:K21)</f>
        <v/>
      </c>
      <c r="R21" s="5">
        <f>SUMPRODUCT(Exposures!$B$9:$K$9,B21:K21)</f>
        <v/>
      </c>
      <c r="S21" s="5">
        <f>SUMPRODUCT(Exposures!$B$10:$K$10,B21:K21)</f>
        <v/>
      </c>
    </row>
    <row r="22">
      <c r="A22" s="1" t="n">
        <v>42489</v>
      </c>
      <c r="B22" s="5" t="n">
        <v>-0.007470630941448084</v>
      </c>
      <c r="C22" s="5" t="n">
        <v>-0.002338875016349405</v>
      </c>
      <c r="D22" s="5" t="n">
        <v>-0.02625799973971929</v>
      </c>
      <c r="E22" s="5" t="n">
        <v>0.000902414928216823</v>
      </c>
      <c r="F22" s="5" t="n">
        <v>0.006493400471141223</v>
      </c>
      <c r="G22" s="5" t="n">
        <v>-0.007244993061319163</v>
      </c>
      <c r="H22" s="5" t="n">
        <v>0.00498698134897485</v>
      </c>
      <c r="I22" s="5" t="n">
        <v>-0.001574468439170355</v>
      </c>
      <c r="J22" s="5" t="n">
        <v>0.007842944405809408</v>
      </c>
      <c r="K22" s="5" t="n">
        <v>0.0007921957361253914</v>
      </c>
      <c r="L22" s="5" t="n">
        <v>0.004288395254747604</v>
      </c>
      <c r="M22" s="5">
        <f>SUMPRODUCT(Exposures!$B$6:$K$6,B22:K22)</f>
        <v/>
      </c>
      <c r="N22" s="5">
        <f>IF(AND($A22&gt;=DATE(2020,2,1),$A22&lt;=DATE(2020,5,31)),$M22,"")</f>
        <v/>
      </c>
      <c r="O22" s="5">
        <f>IF(AND($A22&gt;=DATE(2022,1,1),$A22&lt;=DATE(2022,10,31)),$M22,"")</f>
        <v/>
      </c>
      <c r="P22" s="5">
        <f>IF(AND($A22&gt;=DATE(2018,10,1),$A22&lt;=DATE(2018,12,31)),$M22,"")</f>
        <v/>
      </c>
      <c r="Q22" s="5">
        <f>SUMPRODUCT(Exposures!$B$8:$K$8,B22:K22)</f>
        <v/>
      </c>
      <c r="R22" s="5">
        <f>SUMPRODUCT(Exposures!$B$9:$K$9,B22:K22)</f>
        <v/>
      </c>
      <c r="S22" s="5">
        <f>SUMPRODUCT(Exposures!$B$10:$K$10,B22:K22)</f>
        <v/>
      </c>
    </row>
    <row r="23">
      <c r="A23" s="1" t="n">
        <v>42492</v>
      </c>
      <c r="B23" s="5" t="n">
        <v>0.005550602396557223</v>
      </c>
      <c r="C23" s="5" t="n">
        <v>0.0009274782662527124</v>
      </c>
      <c r="D23" s="5" t="n">
        <v>-0.0005120832488896751</v>
      </c>
      <c r="E23" s="5" t="n">
        <v>-0.0001172159023393889</v>
      </c>
      <c r="F23" s="5" t="n">
        <v>-7.163284617188546e-05</v>
      </c>
      <c r="G23" s="5" t="n">
        <v>0.009462370269467434</v>
      </c>
      <c r="H23" s="5" t="n">
        <v>0.005421737479005868</v>
      </c>
      <c r="I23" s="5" t="n">
        <v>-0.0005389717049271053</v>
      </c>
      <c r="J23" s="5" t="n">
        <v>-0.0009571122567554862</v>
      </c>
      <c r="K23" s="5" t="n">
        <v>-0.003739352425044808</v>
      </c>
      <c r="L23" s="5" t="n">
        <v>-0.001302649041883888</v>
      </c>
      <c r="M23" s="5">
        <f>SUMPRODUCT(Exposures!$B$6:$K$6,B23:K23)</f>
        <v/>
      </c>
      <c r="N23" s="5">
        <f>IF(AND($A23&gt;=DATE(2020,2,1),$A23&lt;=DATE(2020,5,31)),$M23,"")</f>
        <v/>
      </c>
      <c r="O23" s="5">
        <f>IF(AND($A23&gt;=DATE(2022,1,1),$A23&lt;=DATE(2022,10,31)),$M23,"")</f>
        <v/>
      </c>
      <c r="P23" s="5">
        <f>IF(AND($A23&gt;=DATE(2018,10,1),$A23&lt;=DATE(2018,12,31)),$M23,"")</f>
        <v/>
      </c>
      <c r="Q23" s="5">
        <f>SUMPRODUCT(Exposures!$B$8:$K$8,B23:K23)</f>
        <v/>
      </c>
      <c r="R23" s="5">
        <f>SUMPRODUCT(Exposures!$B$9:$K$9,B23:K23)</f>
        <v/>
      </c>
      <c r="S23" s="5">
        <f>SUMPRODUCT(Exposures!$B$10:$K$10,B23:K23)</f>
        <v/>
      </c>
    </row>
    <row r="24">
      <c r="A24" s="1" t="n">
        <v>42493</v>
      </c>
      <c r="B24" s="5" t="n">
        <v>-0.005785639357628857</v>
      </c>
      <c r="C24" s="5" t="n">
        <v>0.004060959658916427</v>
      </c>
      <c r="D24" s="5" t="n">
        <v>0.001026436422721068</v>
      </c>
      <c r="E24" s="5" t="n">
        <v>0.0003851539842189539</v>
      </c>
      <c r="F24" s="5" t="n">
        <v>0.005394984999787298</v>
      </c>
      <c r="G24" s="5" t="n">
        <v>-0.01382466870652851</v>
      </c>
      <c r="H24" s="5" t="n">
        <v>0.002038558442161258</v>
      </c>
      <c r="I24" s="5" t="n">
        <v>0.004139507343330841</v>
      </c>
      <c r="J24" s="5" t="n">
        <v>-0.007245401303077079</v>
      </c>
      <c r="K24" s="5" t="n">
        <v>-0.00797791759929091</v>
      </c>
      <c r="L24" s="5" t="n">
        <v>-0.004852091514785674</v>
      </c>
      <c r="M24" s="5">
        <f>SUMPRODUCT(Exposures!$B$6:$K$6,B24:K24)</f>
        <v/>
      </c>
      <c r="N24" s="5">
        <f>IF(AND($A24&gt;=DATE(2020,2,1),$A24&lt;=DATE(2020,5,31)),$M24,"")</f>
        <v/>
      </c>
      <c r="O24" s="5">
        <f>IF(AND($A24&gt;=DATE(2022,1,1),$A24&lt;=DATE(2022,10,31)),$M24,"")</f>
        <v/>
      </c>
      <c r="P24" s="5">
        <f>IF(AND($A24&gt;=DATE(2018,10,1),$A24&lt;=DATE(2018,12,31)),$M24,"")</f>
        <v/>
      </c>
      <c r="Q24" s="5">
        <f>SUMPRODUCT(Exposures!$B$8:$K$8,B24:K24)</f>
        <v/>
      </c>
      <c r="R24" s="5">
        <f>SUMPRODUCT(Exposures!$B$9:$K$9,B24:K24)</f>
        <v/>
      </c>
      <c r="S24" s="5">
        <f>SUMPRODUCT(Exposures!$B$10:$K$10,B24:K24)</f>
        <v/>
      </c>
    </row>
    <row r="25">
      <c r="A25" s="1" t="n">
        <v>42494</v>
      </c>
      <c r="B25" s="5" t="n">
        <v>-0.005306345678469065</v>
      </c>
      <c r="C25" s="5" t="n">
        <v>0.0002299692580939185</v>
      </c>
      <c r="D25" s="5" t="n">
        <v>-0.0004497926359643187</v>
      </c>
      <c r="E25" s="5" t="n">
        <v>-0.0003604468685085824</v>
      </c>
      <c r="F25" s="5" t="n">
        <v>-0.003530181752441648</v>
      </c>
      <c r="G25" s="5" t="n">
        <v>-0.009316275677032632</v>
      </c>
      <c r="H25" s="5" t="n">
        <v>0.005483005516388393</v>
      </c>
      <c r="I25" s="5" t="n">
        <v>0.000483300585463094</v>
      </c>
      <c r="J25" s="5" t="n">
        <v>-0.003867636182972668</v>
      </c>
      <c r="K25" s="5" t="n">
        <v>0.001279879486459412</v>
      </c>
      <c r="L25" s="5" t="n">
        <v>0.001903677092790143</v>
      </c>
      <c r="M25" s="5">
        <f>SUMPRODUCT(Exposures!$B$6:$K$6,B25:K25)</f>
        <v/>
      </c>
      <c r="N25" s="5">
        <f>IF(AND($A25&gt;=DATE(2020,2,1),$A25&lt;=DATE(2020,5,31)),$M25,"")</f>
        <v/>
      </c>
      <c r="O25" s="5">
        <f>IF(AND($A25&gt;=DATE(2022,1,1),$A25&lt;=DATE(2022,10,31)),$M25,"")</f>
        <v/>
      </c>
      <c r="P25" s="5">
        <f>IF(AND($A25&gt;=DATE(2018,10,1),$A25&lt;=DATE(2018,12,31)),$M25,"")</f>
        <v/>
      </c>
      <c r="Q25" s="5">
        <f>SUMPRODUCT(Exposures!$B$8:$K$8,B25:K25)</f>
        <v/>
      </c>
      <c r="R25" s="5">
        <f>SUMPRODUCT(Exposures!$B$9:$K$9,B25:K25)</f>
        <v/>
      </c>
      <c r="S25" s="5">
        <f>SUMPRODUCT(Exposures!$B$10:$K$10,B25:K25)</f>
        <v/>
      </c>
    </row>
    <row r="26">
      <c r="A26" s="1" t="n">
        <v>42495</v>
      </c>
      <c r="B26" s="5" t="n">
        <v>-0.0004582137745161128</v>
      </c>
      <c r="C26" s="5" t="n">
        <v>0.001859652275012997</v>
      </c>
      <c r="D26" s="5" t="n">
        <v>-0.0008244806365956164</v>
      </c>
      <c r="E26" s="5" t="n">
        <v>-0.003684862754282302</v>
      </c>
      <c r="F26" s="5" t="n">
        <v>-0.007316653623695112</v>
      </c>
      <c r="G26" s="5" t="n">
        <v>-0.002530604699776627</v>
      </c>
      <c r="H26" s="5" t="n">
        <v>0.002088219661481194</v>
      </c>
      <c r="I26" s="5" t="n">
        <v>0.001405137303435221</v>
      </c>
      <c r="J26" s="5" t="n">
        <v>0.0004077565556140422</v>
      </c>
      <c r="K26" s="5" t="n">
        <v>0.008929135191321682</v>
      </c>
      <c r="L26" s="5" t="n">
        <v>0.001976520086825314</v>
      </c>
      <c r="M26" s="5">
        <f>SUMPRODUCT(Exposures!$B$6:$K$6,B26:K26)</f>
        <v/>
      </c>
      <c r="N26" s="5">
        <f>IF(AND($A26&gt;=DATE(2020,2,1),$A26&lt;=DATE(2020,5,31)),$M26,"")</f>
        <v/>
      </c>
      <c r="O26" s="5">
        <f>IF(AND($A26&gt;=DATE(2022,1,1),$A26&lt;=DATE(2022,10,31)),$M26,"")</f>
        <v/>
      </c>
      <c r="P26" s="5">
        <f>IF(AND($A26&gt;=DATE(2018,10,1),$A26&lt;=DATE(2018,12,31)),$M26,"")</f>
        <v/>
      </c>
      <c r="Q26" s="5">
        <f>SUMPRODUCT(Exposures!$B$8:$K$8,B26:K26)</f>
        <v/>
      </c>
      <c r="R26" s="5">
        <f>SUMPRODUCT(Exposures!$B$9:$K$9,B26:K26)</f>
        <v/>
      </c>
      <c r="S26" s="5">
        <f>SUMPRODUCT(Exposures!$B$10:$K$10,B26:K26)</f>
        <v/>
      </c>
    </row>
    <row r="27">
      <c r="A27" s="1" t="n">
        <v>42496</v>
      </c>
      <c r="B27" s="5" t="n">
        <v>-0.0007494411035521506</v>
      </c>
      <c r="C27" s="5" t="n">
        <v>0.001381166060729653</v>
      </c>
      <c r="D27" s="5" t="n">
        <v>0.001192675607160022</v>
      </c>
      <c r="E27" s="5" t="n">
        <v>0.001251892523088819</v>
      </c>
      <c r="F27" s="5" t="n">
        <v>0.001525146453941847</v>
      </c>
      <c r="G27" s="5" t="n">
        <v>0.00513446259563804</v>
      </c>
      <c r="H27" s="5" t="n">
        <v>0.00182924826967947</v>
      </c>
      <c r="I27" s="5" t="n">
        <v>0.002018953661536046</v>
      </c>
      <c r="J27" s="5" t="n">
        <v>0.002342242489631192</v>
      </c>
      <c r="K27" s="5" t="n">
        <v>-0.004532654604393361</v>
      </c>
      <c r="L27" s="5" t="n">
        <v>0.001470230417216076</v>
      </c>
      <c r="M27" s="5">
        <f>SUMPRODUCT(Exposures!$B$6:$K$6,B27:K27)</f>
        <v/>
      </c>
      <c r="N27" s="5">
        <f>IF(AND($A27&gt;=DATE(2020,2,1),$A27&lt;=DATE(2020,5,31)),$M27,"")</f>
        <v/>
      </c>
      <c r="O27" s="5">
        <f>IF(AND($A27&gt;=DATE(2022,1,1),$A27&lt;=DATE(2022,10,31)),$M27,"")</f>
        <v/>
      </c>
      <c r="P27" s="5">
        <f>IF(AND($A27&gt;=DATE(2018,10,1),$A27&lt;=DATE(2018,12,31)),$M27,"")</f>
        <v/>
      </c>
      <c r="Q27" s="5">
        <f>SUMPRODUCT(Exposures!$B$8:$K$8,B27:K27)</f>
        <v/>
      </c>
      <c r="R27" s="5">
        <f>SUMPRODUCT(Exposures!$B$9:$K$9,B27:K27)</f>
        <v/>
      </c>
      <c r="S27" s="5">
        <f>SUMPRODUCT(Exposures!$B$10:$K$10,B27:K27)</f>
        <v/>
      </c>
    </row>
    <row r="28">
      <c r="A28" s="1" t="n">
        <v>42499</v>
      </c>
      <c r="B28" s="5" t="n">
        <v>-0.0004108995125834294</v>
      </c>
      <c r="C28" s="5" t="n">
        <v>-0.002523303855913707</v>
      </c>
      <c r="D28" s="5" t="n">
        <v>0.001411484462404151</v>
      </c>
      <c r="E28" s="5" t="n">
        <v>-0.0007304475293375764</v>
      </c>
      <c r="F28" s="5" t="n">
        <v>0.006584532757398735</v>
      </c>
      <c r="G28" s="5" t="n">
        <v>0.001720701818837764</v>
      </c>
      <c r="H28" s="5" t="n">
        <v>0.002061095058622404</v>
      </c>
      <c r="I28" s="5" t="n">
        <v>0.002357141217065126</v>
      </c>
      <c r="J28" s="5" t="n">
        <v>-0.00276609088803692</v>
      </c>
      <c r="K28" s="5" t="n">
        <v>-0.00796117592021197</v>
      </c>
      <c r="L28" s="5" t="n">
        <v>-0.003366167817456244</v>
      </c>
      <c r="M28" s="5">
        <f>SUMPRODUCT(Exposures!$B$6:$K$6,B28:K28)</f>
        <v/>
      </c>
      <c r="N28" s="5">
        <f>IF(AND($A28&gt;=DATE(2020,2,1),$A28&lt;=DATE(2020,5,31)),$M28,"")</f>
        <v/>
      </c>
      <c r="O28" s="5">
        <f>IF(AND($A28&gt;=DATE(2022,1,1),$A28&lt;=DATE(2022,10,31)),$M28,"")</f>
        <v/>
      </c>
      <c r="P28" s="5">
        <f>IF(AND($A28&gt;=DATE(2018,10,1),$A28&lt;=DATE(2018,12,31)),$M28,"")</f>
        <v/>
      </c>
      <c r="Q28" s="5">
        <f>SUMPRODUCT(Exposures!$B$8:$K$8,B28:K28)</f>
        <v/>
      </c>
      <c r="R28" s="5">
        <f>SUMPRODUCT(Exposures!$B$9:$K$9,B28:K28)</f>
        <v/>
      </c>
      <c r="S28" s="5">
        <f>SUMPRODUCT(Exposures!$B$10:$K$10,B28:K28)</f>
        <v/>
      </c>
    </row>
    <row r="29">
      <c r="A29" s="1" t="n">
        <v>42500</v>
      </c>
      <c r="B29" s="5" t="n">
        <v>0.002747163820594561</v>
      </c>
      <c r="C29" s="5" t="n">
        <v>0.0008332366213639627</v>
      </c>
      <c r="D29" s="5" t="n">
        <v>-1.528042792968324e-05</v>
      </c>
      <c r="E29" s="5" t="n">
        <v>-0.0007296759056480062</v>
      </c>
      <c r="F29" s="5" t="n">
        <v>-0.004579837483966284</v>
      </c>
      <c r="G29" s="5" t="n">
        <v>0.01065209365153926</v>
      </c>
      <c r="H29" s="5" t="n">
        <v>-0.001892852909279433</v>
      </c>
      <c r="I29" s="5" t="n">
        <v>-0.00390024202205123</v>
      </c>
      <c r="J29" s="5" t="n">
        <v>0.0005866584215576009</v>
      </c>
      <c r="K29" s="5" t="n">
        <v>0.008394105453536563</v>
      </c>
      <c r="L29" s="5" t="n">
        <v>0.002345480385446192</v>
      </c>
      <c r="M29" s="5">
        <f>SUMPRODUCT(Exposures!$B$6:$K$6,B29:K29)</f>
        <v/>
      </c>
      <c r="N29" s="5">
        <f>IF(AND($A29&gt;=DATE(2020,2,1),$A29&lt;=DATE(2020,5,31)),$M29,"")</f>
        <v/>
      </c>
      <c r="O29" s="5">
        <f>IF(AND($A29&gt;=DATE(2022,1,1),$A29&lt;=DATE(2022,10,31)),$M29,"")</f>
        <v/>
      </c>
      <c r="P29" s="5">
        <f>IF(AND($A29&gt;=DATE(2018,10,1),$A29&lt;=DATE(2018,12,31)),$M29,"")</f>
        <v/>
      </c>
      <c r="Q29" s="5">
        <f>SUMPRODUCT(Exposures!$B$8:$K$8,B29:K29)</f>
        <v/>
      </c>
      <c r="R29" s="5">
        <f>SUMPRODUCT(Exposures!$B$9:$K$9,B29:K29)</f>
        <v/>
      </c>
      <c r="S29" s="5">
        <f>SUMPRODUCT(Exposures!$B$10:$K$10,B29:K29)</f>
        <v/>
      </c>
    </row>
    <row r="30">
      <c r="A30" s="1" t="n">
        <v>42501</v>
      </c>
      <c r="B30" s="5" t="n">
        <v>0.001197308153821504</v>
      </c>
      <c r="C30" s="5" t="n">
        <v>0.0002790499858808535</v>
      </c>
      <c r="D30" s="5" t="n">
        <v>0.00200023705687377</v>
      </c>
      <c r="E30" s="5" t="n">
        <v>0.003452098081137311</v>
      </c>
      <c r="F30" s="5" t="n">
        <v>0.0002131832911750871</v>
      </c>
      <c r="G30" s="5" t="n">
        <v>-0.01078664458610155</v>
      </c>
      <c r="H30" s="5" t="n">
        <v>0.005014397772168446</v>
      </c>
      <c r="I30" s="5" t="n">
        <v>0.0007064560068806203</v>
      </c>
      <c r="J30" s="5" t="n">
        <v>-0.001210910161620879</v>
      </c>
      <c r="K30" s="5" t="n">
        <v>-0.0009757448712921555</v>
      </c>
      <c r="L30" s="5" t="n">
        <v>0.001143094147604987</v>
      </c>
      <c r="M30" s="5">
        <f>SUMPRODUCT(Exposures!$B$6:$K$6,B30:K30)</f>
        <v/>
      </c>
      <c r="N30" s="5">
        <f>IF(AND($A30&gt;=DATE(2020,2,1),$A30&lt;=DATE(2020,5,31)),$M30,"")</f>
        <v/>
      </c>
      <c r="O30" s="5">
        <f>IF(AND($A30&gt;=DATE(2022,1,1),$A30&lt;=DATE(2022,10,31)),$M30,"")</f>
        <v/>
      </c>
      <c r="P30" s="5">
        <f>IF(AND($A30&gt;=DATE(2018,10,1),$A30&lt;=DATE(2018,12,31)),$M30,"")</f>
        <v/>
      </c>
      <c r="Q30" s="5">
        <f>SUMPRODUCT(Exposures!$B$8:$K$8,B30:K30)</f>
        <v/>
      </c>
      <c r="R30" s="5">
        <f>SUMPRODUCT(Exposures!$B$9:$K$9,B30:K30)</f>
        <v/>
      </c>
      <c r="S30" s="5">
        <f>SUMPRODUCT(Exposures!$B$10:$K$10,B30:K30)</f>
        <v/>
      </c>
    </row>
    <row r="31">
      <c r="A31" s="1" t="n">
        <v>42502</v>
      </c>
      <c r="B31" s="5" t="n">
        <v>0.001575442540818124</v>
      </c>
      <c r="C31" s="5" t="n">
        <v>-0.0001857557752756938</v>
      </c>
      <c r="D31" s="5" t="n">
        <v>0.0007698363655723219</v>
      </c>
      <c r="E31" s="5" t="n">
        <v>-0.002143770669715041</v>
      </c>
      <c r="F31" s="5" t="n">
        <v>-0.002046741422534173</v>
      </c>
      <c r="G31" s="5" t="n">
        <v>-0.004510612874840585</v>
      </c>
      <c r="H31" s="5" t="n">
        <v>0.002169565294470508</v>
      </c>
      <c r="I31" s="5" t="n">
        <v>0.0002275571414849242</v>
      </c>
      <c r="J31" s="5" t="n">
        <v>-0.008850785743698847</v>
      </c>
      <c r="K31" s="5" t="n">
        <v>-0.0008840523715563634</v>
      </c>
      <c r="L31" s="5" t="n">
        <v>-0.000987147623239111</v>
      </c>
      <c r="M31" s="5">
        <f>SUMPRODUCT(Exposures!$B$6:$K$6,B31:K31)</f>
        <v/>
      </c>
      <c r="N31" s="5">
        <f>IF(AND($A31&gt;=DATE(2020,2,1),$A31&lt;=DATE(2020,5,31)),$M31,"")</f>
        <v/>
      </c>
      <c r="O31" s="5">
        <f>IF(AND($A31&gt;=DATE(2022,1,1),$A31&lt;=DATE(2022,10,31)),$M31,"")</f>
        <v/>
      </c>
      <c r="P31" s="5">
        <f>IF(AND($A31&gt;=DATE(2018,10,1),$A31&lt;=DATE(2018,12,31)),$M31,"")</f>
        <v/>
      </c>
      <c r="Q31" s="5">
        <f>SUMPRODUCT(Exposures!$B$8:$K$8,B31:K31)</f>
        <v/>
      </c>
      <c r="R31" s="5">
        <f>SUMPRODUCT(Exposures!$B$9:$K$9,B31:K31)</f>
        <v/>
      </c>
      <c r="S31" s="5">
        <f>SUMPRODUCT(Exposures!$B$10:$K$10,B31:K31)</f>
        <v/>
      </c>
    </row>
    <row r="32">
      <c r="A32" s="1" t="n">
        <v>42503</v>
      </c>
      <c r="B32" s="5" t="n">
        <v>4.230040442443697e-05</v>
      </c>
      <c r="C32" s="5" t="n">
        <v>-0.00272793887259594</v>
      </c>
      <c r="D32" s="5" t="n">
        <v>-6.83601139069082e-07</v>
      </c>
      <c r="E32" s="5" t="n">
        <v>-0.0002230952492586665</v>
      </c>
      <c r="F32" s="5" t="n">
        <v>0.005443064087087365</v>
      </c>
      <c r="G32" s="5" t="n">
        <v>-0.005904804051855779</v>
      </c>
      <c r="H32" s="5" t="n">
        <v>0.001922177577457018</v>
      </c>
      <c r="I32" s="5" t="n">
        <v>1.050991896780804e-05</v>
      </c>
      <c r="J32" s="5" t="n">
        <v>0.00216296514466668</v>
      </c>
      <c r="K32" s="5" t="n">
        <v>-0.0048502264735999</v>
      </c>
      <c r="L32" s="5" t="n">
        <v>-0.0007856521609409055</v>
      </c>
      <c r="M32" s="5">
        <f>SUMPRODUCT(Exposures!$B$6:$K$6,B32:K32)</f>
        <v/>
      </c>
      <c r="N32" s="5">
        <f>IF(AND($A32&gt;=DATE(2020,2,1),$A32&lt;=DATE(2020,5,31)),$M32,"")</f>
        <v/>
      </c>
      <c r="O32" s="5">
        <f>IF(AND($A32&gt;=DATE(2022,1,1),$A32&lt;=DATE(2022,10,31)),$M32,"")</f>
        <v/>
      </c>
      <c r="P32" s="5">
        <f>IF(AND($A32&gt;=DATE(2018,10,1),$A32&lt;=DATE(2018,12,31)),$M32,"")</f>
        <v/>
      </c>
      <c r="Q32" s="5">
        <f>SUMPRODUCT(Exposures!$B$8:$K$8,B32:K32)</f>
        <v/>
      </c>
      <c r="R32" s="5">
        <f>SUMPRODUCT(Exposures!$B$9:$K$9,B32:K32)</f>
        <v/>
      </c>
      <c r="S32" s="5">
        <f>SUMPRODUCT(Exposures!$B$10:$K$10,B32:K32)</f>
        <v/>
      </c>
    </row>
    <row r="33">
      <c r="A33" s="1" t="n">
        <v>42506</v>
      </c>
      <c r="B33" s="5" t="n">
        <v>0.002596973521530314</v>
      </c>
      <c r="C33" s="5" t="n">
        <v>0.0004969741758327373</v>
      </c>
      <c r="D33" s="5" t="n">
        <v>0.001926887578663074</v>
      </c>
      <c r="E33" s="5" t="n">
        <v>-0.003307457661085551</v>
      </c>
      <c r="F33" s="5" t="n">
        <v>-0.003061840723102236</v>
      </c>
      <c r="G33" s="5" t="n">
        <v>0.01042191220948302</v>
      </c>
      <c r="H33" s="5" t="n">
        <v>-0.001303009216280808</v>
      </c>
      <c r="I33" s="5" t="n">
        <v>-0.001926139982506055</v>
      </c>
      <c r="J33" s="5" t="n">
        <v>0.005704467774964957</v>
      </c>
      <c r="K33" s="5" t="n">
        <v>0.00718735980183538</v>
      </c>
      <c r="L33" s="5" t="n">
        <v>-0.000886852179420462</v>
      </c>
      <c r="M33" s="5">
        <f>SUMPRODUCT(Exposures!$B$6:$K$6,B33:K33)</f>
        <v/>
      </c>
      <c r="N33" s="5">
        <f>IF(AND($A33&gt;=DATE(2020,2,1),$A33&lt;=DATE(2020,5,31)),$M33,"")</f>
        <v/>
      </c>
      <c r="O33" s="5">
        <f>IF(AND($A33&gt;=DATE(2022,1,1),$A33&lt;=DATE(2022,10,31)),$M33,"")</f>
        <v/>
      </c>
      <c r="P33" s="5">
        <f>IF(AND($A33&gt;=DATE(2018,10,1),$A33&lt;=DATE(2018,12,31)),$M33,"")</f>
        <v/>
      </c>
      <c r="Q33" s="5">
        <f>SUMPRODUCT(Exposures!$B$8:$K$8,B33:K33)</f>
        <v/>
      </c>
      <c r="R33" s="5">
        <f>SUMPRODUCT(Exposures!$B$9:$K$9,B33:K33)</f>
        <v/>
      </c>
      <c r="S33" s="5">
        <f>SUMPRODUCT(Exposures!$B$10:$K$10,B33:K33)</f>
        <v/>
      </c>
    </row>
    <row r="34">
      <c r="A34" s="1" t="n">
        <v>42507</v>
      </c>
      <c r="B34" s="5" t="n">
        <v>0.0005722511084595575</v>
      </c>
      <c r="C34" s="5" t="n">
        <v>-0.0006588079403994573</v>
      </c>
      <c r="D34" s="5" t="n">
        <v>-0.002477986143018179</v>
      </c>
      <c r="E34" s="5" t="n">
        <v>0.001556182369769136</v>
      </c>
      <c r="F34" s="5" t="n">
        <v>0.004127433555364192</v>
      </c>
      <c r="G34" s="5" t="n">
        <v>-0.008051132868755681</v>
      </c>
      <c r="H34" s="5" t="n">
        <v>-0.007109770271737428</v>
      </c>
      <c r="I34" s="5" t="n">
        <v>-0.003334035489985354</v>
      </c>
      <c r="J34" s="5" t="n">
        <v>0.002120263941799383</v>
      </c>
      <c r="K34" s="5" t="n">
        <v>-0.0007361227309648603</v>
      </c>
      <c r="L34" s="5" t="n">
        <v>0.002109289973620119</v>
      </c>
      <c r="M34" s="5">
        <f>SUMPRODUCT(Exposures!$B$6:$K$6,B34:K34)</f>
        <v/>
      </c>
      <c r="N34" s="5">
        <f>IF(AND($A34&gt;=DATE(2020,2,1),$A34&lt;=DATE(2020,5,31)),$M34,"")</f>
        <v/>
      </c>
      <c r="O34" s="5">
        <f>IF(AND($A34&gt;=DATE(2022,1,1),$A34&lt;=DATE(2022,10,31)),$M34,"")</f>
        <v/>
      </c>
      <c r="P34" s="5">
        <f>IF(AND($A34&gt;=DATE(2018,10,1),$A34&lt;=DATE(2018,12,31)),$M34,"")</f>
        <v/>
      </c>
      <c r="Q34" s="5">
        <f>SUMPRODUCT(Exposures!$B$8:$K$8,B34:K34)</f>
        <v/>
      </c>
      <c r="R34" s="5">
        <f>SUMPRODUCT(Exposures!$B$9:$K$9,B34:K34)</f>
        <v/>
      </c>
      <c r="S34" s="5">
        <f>SUMPRODUCT(Exposures!$B$10:$K$10,B34:K34)</f>
        <v/>
      </c>
    </row>
    <row r="35">
      <c r="A35" s="1" t="n">
        <v>42508</v>
      </c>
      <c r="B35" s="5" t="n">
        <v>0.01023056619300099</v>
      </c>
      <c r="C35" s="5" t="n">
        <v>-0.0003235681016679492</v>
      </c>
      <c r="D35" s="5" t="n">
        <v>0.00055731482558176</v>
      </c>
      <c r="E35" s="5" t="n">
        <v>0.007391394006233417</v>
      </c>
      <c r="F35" s="5" t="n">
        <v>0.004505829821525965</v>
      </c>
      <c r="G35" s="5" t="n">
        <v>0.0007720858241242775</v>
      </c>
      <c r="H35" s="5" t="n">
        <v>0.003731523940643472</v>
      </c>
      <c r="I35" s="5" t="n">
        <v>0.005075422899590414</v>
      </c>
      <c r="J35" s="5" t="n">
        <v>-0.00813555792531781</v>
      </c>
      <c r="K35" s="5" t="n">
        <v>-0.009153382811056487</v>
      </c>
      <c r="L35" s="5" t="n">
        <v>-0.001714215486139573</v>
      </c>
      <c r="M35" s="5">
        <f>SUMPRODUCT(Exposures!$B$6:$K$6,B35:K35)</f>
        <v/>
      </c>
      <c r="N35" s="5">
        <f>IF(AND($A35&gt;=DATE(2020,2,1),$A35&lt;=DATE(2020,5,31)),$M35,"")</f>
        <v/>
      </c>
      <c r="O35" s="5">
        <f>IF(AND($A35&gt;=DATE(2022,1,1),$A35&lt;=DATE(2022,10,31)),$M35,"")</f>
        <v/>
      </c>
      <c r="P35" s="5">
        <f>IF(AND($A35&gt;=DATE(2018,10,1),$A35&lt;=DATE(2018,12,31)),$M35,"")</f>
        <v/>
      </c>
      <c r="Q35" s="5">
        <f>SUMPRODUCT(Exposures!$B$8:$K$8,B35:K35)</f>
        <v/>
      </c>
      <c r="R35" s="5">
        <f>SUMPRODUCT(Exposures!$B$9:$K$9,B35:K35)</f>
        <v/>
      </c>
      <c r="S35" s="5">
        <f>SUMPRODUCT(Exposures!$B$10:$K$10,B35:K35)</f>
        <v/>
      </c>
    </row>
    <row r="36">
      <c r="A36" s="1" t="n">
        <v>42509</v>
      </c>
      <c r="B36" s="5" t="n">
        <v>-0.006549183722102451</v>
      </c>
      <c r="C36" s="5" t="n">
        <v>8.93950717140682e-05</v>
      </c>
      <c r="D36" s="5" t="n">
        <v>-0.002359438539017921</v>
      </c>
      <c r="E36" s="5" t="n">
        <v>0.0005526319250126824</v>
      </c>
      <c r="F36" s="5" t="n">
        <v>0.001838215039694145</v>
      </c>
      <c r="G36" s="5" t="n">
        <v>-0.006788433572177142</v>
      </c>
      <c r="H36" s="5" t="n">
        <v>0.003536176155843044</v>
      </c>
      <c r="I36" s="5" t="n">
        <v>-0.003138730444669076</v>
      </c>
      <c r="J36" s="5" t="n">
        <v>0.003900439005343891</v>
      </c>
      <c r="K36" s="5" t="n">
        <v>0.002365222664724719</v>
      </c>
      <c r="L36" s="5" t="n">
        <v>0.001780711798757393</v>
      </c>
      <c r="M36" s="5">
        <f>SUMPRODUCT(Exposures!$B$6:$K$6,B36:K36)</f>
        <v/>
      </c>
      <c r="N36" s="5">
        <f>IF(AND($A36&gt;=DATE(2020,2,1),$A36&lt;=DATE(2020,5,31)),$M36,"")</f>
        <v/>
      </c>
      <c r="O36" s="5">
        <f>IF(AND($A36&gt;=DATE(2022,1,1),$A36&lt;=DATE(2022,10,31)),$M36,"")</f>
        <v/>
      </c>
      <c r="P36" s="5">
        <f>IF(AND($A36&gt;=DATE(2018,10,1),$A36&lt;=DATE(2018,12,31)),$M36,"")</f>
        <v/>
      </c>
      <c r="Q36" s="5">
        <f>SUMPRODUCT(Exposures!$B$8:$K$8,B36:K36)</f>
        <v/>
      </c>
      <c r="R36" s="5">
        <f>SUMPRODUCT(Exposures!$B$9:$K$9,B36:K36)</f>
        <v/>
      </c>
      <c r="S36" s="5">
        <f>SUMPRODUCT(Exposures!$B$10:$K$10,B36:K36)</f>
        <v/>
      </c>
    </row>
    <row r="37">
      <c r="A37" s="1" t="n">
        <v>42510</v>
      </c>
      <c r="B37" s="5" t="n">
        <v>0.004575624426229815</v>
      </c>
      <c r="C37" s="5" t="n">
        <v>-0.001604159669805662</v>
      </c>
      <c r="D37" s="5" t="n">
        <v>0.0002537206476710586</v>
      </c>
      <c r="E37" s="5" t="n">
        <v>-0.003155757655846675</v>
      </c>
      <c r="F37" s="5" t="n">
        <v>-0.0002147013629877339</v>
      </c>
      <c r="G37" s="5" t="n">
        <v>0.01191019968613022</v>
      </c>
      <c r="H37" s="5" t="n">
        <v>-0.001276754004724984</v>
      </c>
      <c r="I37" s="5" t="n">
        <v>0.0004670869116523838</v>
      </c>
      <c r="J37" s="5" t="n">
        <v>0.0002151450662944889</v>
      </c>
      <c r="K37" s="5" t="n">
        <v>-0.003532084809249571</v>
      </c>
      <c r="L37" s="5" t="n">
        <v>4.261467729313001e-05</v>
      </c>
      <c r="M37" s="5">
        <f>SUMPRODUCT(Exposures!$B$6:$K$6,B37:K37)</f>
        <v/>
      </c>
      <c r="N37" s="5">
        <f>IF(AND($A37&gt;=DATE(2020,2,1),$A37&lt;=DATE(2020,5,31)),$M37,"")</f>
        <v/>
      </c>
      <c r="O37" s="5">
        <f>IF(AND($A37&gt;=DATE(2022,1,1),$A37&lt;=DATE(2022,10,31)),$M37,"")</f>
        <v/>
      </c>
      <c r="P37" s="5">
        <f>IF(AND($A37&gt;=DATE(2018,10,1),$A37&lt;=DATE(2018,12,31)),$M37,"")</f>
        <v/>
      </c>
      <c r="Q37" s="5">
        <f>SUMPRODUCT(Exposures!$B$8:$K$8,B37:K37)</f>
        <v/>
      </c>
      <c r="R37" s="5">
        <f>SUMPRODUCT(Exposures!$B$9:$K$9,B37:K37)</f>
        <v/>
      </c>
      <c r="S37" s="5">
        <f>SUMPRODUCT(Exposures!$B$10:$K$10,B37:K37)</f>
        <v/>
      </c>
    </row>
    <row r="38">
      <c r="A38" s="1" t="n">
        <v>42513</v>
      </c>
      <c r="B38" s="5" t="n">
        <v>0.002177750089580442</v>
      </c>
      <c r="C38" s="5" t="n">
        <v>-0.0006936049651849795</v>
      </c>
      <c r="D38" s="5" t="n">
        <v>9.617984673888542e-05</v>
      </c>
      <c r="E38" s="5" t="n">
        <v>-0.001143532100710816</v>
      </c>
      <c r="F38" s="5" t="n">
        <v>-0.001204189746167463</v>
      </c>
      <c r="G38" s="5" t="n">
        <v>-0.0002380932049934189</v>
      </c>
      <c r="H38" s="5" t="n">
        <v>0.000740173560174167</v>
      </c>
      <c r="I38" s="5" t="n">
        <v>0.0003896183531940607</v>
      </c>
      <c r="J38" s="5" t="n">
        <v>0.004044459877504122</v>
      </c>
      <c r="K38" s="5" t="n">
        <v>0.0007663754296103522</v>
      </c>
      <c r="L38" s="5" t="n">
        <v>0.001405814631387402</v>
      </c>
      <c r="M38" s="5">
        <f>SUMPRODUCT(Exposures!$B$6:$K$6,B38:K38)</f>
        <v/>
      </c>
      <c r="N38" s="5">
        <f>IF(AND($A38&gt;=DATE(2020,2,1),$A38&lt;=DATE(2020,5,31)),$M38,"")</f>
        <v/>
      </c>
      <c r="O38" s="5">
        <f>IF(AND($A38&gt;=DATE(2022,1,1),$A38&lt;=DATE(2022,10,31)),$M38,"")</f>
        <v/>
      </c>
      <c r="P38" s="5">
        <f>IF(AND($A38&gt;=DATE(2018,10,1),$A38&lt;=DATE(2018,12,31)),$M38,"")</f>
        <v/>
      </c>
      <c r="Q38" s="5">
        <f>SUMPRODUCT(Exposures!$B$8:$K$8,B38:K38)</f>
        <v/>
      </c>
      <c r="R38" s="5">
        <f>SUMPRODUCT(Exposures!$B$9:$K$9,B38:K38)</f>
        <v/>
      </c>
      <c r="S38" s="5">
        <f>SUMPRODUCT(Exposures!$B$10:$K$10,B38:K38)</f>
        <v/>
      </c>
    </row>
    <row r="39">
      <c r="A39" s="1" t="n">
        <v>42514</v>
      </c>
      <c r="B39" s="5" t="n">
        <v>0.007947781569041032</v>
      </c>
      <c r="C39" s="5" t="n">
        <v>-0.0008403733630601934</v>
      </c>
      <c r="D39" s="5" t="n">
        <v>0.002526051472480043</v>
      </c>
      <c r="E39" s="5" t="n">
        <v>-0.0004842805082266232</v>
      </c>
      <c r="F39" s="5" t="n">
        <v>-0.0001399601906229009</v>
      </c>
      <c r="G39" s="5" t="n">
        <v>0.01461962976815976</v>
      </c>
      <c r="H39" s="5" t="n">
        <v>0.004401472848325075</v>
      </c>
      <c r="I39" s="5" t="n">
        <v>0.004419384401092304</v>
      </c>
      <c r="J39" s="5" t="n">
        <v>-0.003627947627203863</v>
      </c>
      <c r="K39" s="5" t="n">
        <v>-0.006066431123851396</v>
      </c>
      <c r="L39" s="5" t="n">
        <v>-0.002296286490308963</v>
      </c>
      <c r="M39" s="5">
        <f>SUMPRODUCT(Exposures!$B$6:$K$6,B39:K39)</f>
        <v/>
      </c>
      <c r="N39" s="5">
        <f>IF(AND($A39&gt;=DATE(2020,2,1),$A39&lt;=DATE(2020,5,31)),$M39,"")</f>
        <v/>
      </c>
      <c r="O39" s="5">
        <f>IF(AND($A39&gt;=DATE(2022,1,1),$A39&lt;=DATE(2022,10,31)),$M39,"")</f>
        <v/>
      </c>
      <c r="P39" s="5">
        <f>IF(AND($A39&gt;=DATE(2018,10,1),$A39&lt;=DATE(2018,12,31)),$M39,"")</f>
        <v/>
      </c>
      <c r="Q39" s="5">
        <f>SUMPRODUCT(Exposures!$B$8:$K$8,B39:K39)</f>
        <v/>
      </c>
      <c r="R39" s="5">
        <f>SUMPRODUCT(Exposures!$B$9:$K$9,B39:K39)</f>
        <v/>
      </c>
      <c r="S39" s="5">
        <f>SUMPRODUCT(Exposures!$B$10:$K$10,B39:K39)</f>
        <v/>
      </c>
    </row>
    <row r="40">
      <c r="A40" s="1" t="n">
        <v>42515</v>
      </c>
      <c r="B40" s="5" t="n">
        <v>0.004564319870694328</v>
      </c>
      <c r="C40" s="5" t="n">
        <v>-0.003715603094385169</v>
      </c>
      <c r="D40" s="5" t="n">
        <v>-0.003185580872875805</v>
      </c>
      <c r="E40" s="5" t="n">
        <v>0.001503912862312817</v>
      </c>
      <c r="F40" s="5" t="n">
        <v>0.003400243222682132</v>
      </c>
      <c r="G40" s="5" t="n">
        <v>0.008072984408433929</v>
      </c>
      <c r="H40" s="5" t="n">
        <v>-0.0049221828313085</v>
      </c>
      <c r="I40" s="5" t="n">
        <v>-0.002153097676862991</v>
      </c>
      <c r="J40" s="5" t="n">
        <v>0.0004669761158807388</v>
      </c>
      <c r="K40" s="5" t="n">
        <v>-0.001916111454405845</v>
      </c>
      <c r="L40" s="5" t="n">
        <v>0.001616661656008011</v>
      </c>
      <c r="M40" s="5">
        <f>SUMPRODUCT(Exposures!$B$6:$K$6,B40:K40)</f>
        <v/>
      </c>
      <c r="N40" s="5">
        <f>IF(AND($A40&gt;=DATE(2020,2,1),$A40&lt;=DATE(2020,5,31)),$M40,"")</f>
        <v/>
      </c>
      <c r="O40" s="5">
        <f>IF(AND($A40&gt;=DATE(2022,1,1),$A40&lt;=DATE(2022,10,31)),$M40,"")</f>
        <v/>
      </c>
      <c r="P40" s="5">
        <f>IF(AND($A40&gt;=DATE(2018,10,1),$A40&lt;=DATE(2018,12,31)),$M40,"")</f>
        <v/>
      </c>
      <c r="Q40" s="5">
        <f>SUMPRODUCT(Exposures!$B$8:$K$8,B40:K40)</f>
        <v/>
      </c>
      <c r="R40" s="5">
        <f>SUMPRODUCT(Exposures!$B$9:$K$9,B40:K40)</f>
        <v/>
      </c>
      <c r="S40" s="5">
        <f>SUMPRODUCT(Exposures!$B$10:$K$10,B40:K40)</f>
        <v/>
      </c>
    </row>
    <row r="41">
      <c r="A41" s="1" t="n">
        <v>42516</v>
      </c>
      <c r="B41" s="5" t="n">
        <v>-0.001512090733430374</v>
      </c>
      <c r="C41" s="5" t="n">
        <v>-0.0002413891801883984</v>
      </c>
      <c r="D41" s="5" t="n">
        <v>-0.000439846277718596</v>
      </c>
      <c r="E41" s="5" t="n">
        <v>-0.00274797182924408</v>
      </c>
      <c r="F41" s="5" t="n">
        <v>-0.002191420422569606</v>
      </c>
      <c r="G41" s="5" t="n">
        <v>-0.001064211050348194</v>
      </c>
      <c r="H41" s="5" t="n">
        <v>0.0002324737247905037</v>
      </c>
      <c r="I41" s="5" t="n">
        <v>-0.0004406329246457144</v>
      </c>
      <c r="J41" s="5" t="n">
        <v>0.002033833506784535</v>
      </c>
      <c r="K41" s="5" t="n">
        <v>0.004941524972808742</v>
      </c>
      <c r="L41" s="5" t="n">
        <v>3.27451970572866e-05</v>
      </c>
      <c r="M41" s="5">
        <f>SUMPRODUCT(Exposures!$B$6:$K$6,B41:K41)</f>
        <v/>
      </c>
      <c r="N41" s="5">
        <f>IF(AND($A41&gt;=DATE(2020,2,1),$A41&lt;=DATE(2020,5,31)),$M41,"")</f>
        <v/>
      </c>
      <c r="O41" s="5">
        <f>IF(AND($A41&gt;=DATE(2022,1,1),$A41&lt;=DATE(2022,10,31)),$M41,"")</f>
        <v/>
      </c>
      <c r="P41" s="5">
        <f>IF(AND($A41&gt;=DATE(2018,10,1),$A41&lt;=DATE(2018,12,31)),$M41,"")</f>
        <v/>
      </c>
      <c r="Q41" s="5">
        <f>SUMPRODUCT(Exposures!$B$8:$K$8,B41:K41)</f>
        <v/>
      </c>
      <c r="R41" s="5">
        <f>SUMPRODUCT(Exposures!$B$9:$K$9,B41:K41)</f>
        <v/>
      </c>
      <c r="S41" s="5">
        <f>SUMPRODUCT(Exposures!$B$10:$K$10,B41:K41)</f>
        <v/>
      </c>
    </row>
    <row r="42">
      <c r="A42" s="1" t="n">
        <v>42517</v>
      </c>
      <c r="B42" s="5" t="n">
        <v>0.004231385865763153</v>
      </c>
      <c r="C42" s="5" t="n">
        <v>0.001177745800666811</v>
      </c>
      <c r="D42" s="5" t="n">
        <v>0.002252710345355494</v>
      </c>
      <c r="E42" s="5" t="n">
        <v>6.319130755266388e-05</v>
      </c>
      <c r="F42" s="5" t="n">
        <v>-0.003955279859044421</v>
      </c>
      <c r="G42" s="5" t="n">
        <v>0.005428894152854957</v>
      </c>
      <c r="H42" s="5" t="n">
        <v>0.00184009077777046</v>
      </c>
      <c r="I42" s="5" t="n">
        <v>0.000260212438936815</v>
      </c>
      <c r="J42" s="5" t="n">
        <v>-0.002171390462498458</v>
      </c>
      <c r="K42" s="5" t="n">
        <v>0.002378335287269206</v>
      </c>
      <c r="L42" s="5" t="n">
        <v>-2.733830344570055e-05</v>
      </c>
      <c r="M42" s="5">
        <f>SUMPRODUCT(Exposures!$B$6:$K$6,B42:K42)</f>
        <v/>
      </c>
      <c r="N42" s="5">
        <f>IF(AND($A42&gt;=DATE(2020,2,1),$A42&lt;=DATE(2020,5,31)),$M42,"")</f>
        <v/>
      </c>
      <c r="O42" s="5">
        <f>IF(AND($A42&gt;=DATE(2022,1,1),$A42&lt;=DATE(2022,10,31)),$M42,"")</f>
        <v/>
      </c>
      <c r="P42" s="5">
        <f>IF(AND($A42&gt;=DATE(2018,10,1),$A42&lt;=DATE(2018,12,31)),$M42,"")</f>
        <v/>
      </c>
      <c r="Q42" s="5">
        <f>SUMPRODUCT(Exposures!$B$8:$K$8,B42:K42)</f>
        <v/>
      </c>
      <c r="R42" s="5">
        <f>SUMPRODUCT(Exposures!$B$9:$K$9,B42:K42)</f>
        <v/>
      </c>
      <c r="S42" s="5">
        <f>SUMPRODUCT(Exposures!$B$10:$K$10,B42:K42)</f>
        <v/>
      </c>
    </row>
    <row r="43">
      <c r="A43" s="1" t="n">
        <v>42521</v>
      </c>
      <c r="B43" s="5" t="n">
        <v>-0.00150907761379209</v>
      </c>
      <c r="C43" s="5" t="n">
        <v>-0.001860978668656085</v>
      </c>
      <c r="D43" s="5" t="n">
        <v>0.002487899895409854</v>
      </c>
      <c r="E43" s="5" t="n">
        <v>-0.0004450989326280496</v>
      </c>
      <c r="F43" s="5" t="n">
        <v>-0.0007334204699137685</v>
      </c>
      <c r="G43" s="5" t="n">
        <v>0.002571973943795674</v>
      </c>
      <c r="H43" s="5" t="n">
        <v>-0.001584930715930327</v>
      </c>
      <c r="I43" s="5" t="n">
        <v>-0.001500342941292481</v>
      </c>
      <c r="J43" s="5" t="n">
        <v>0.004726931733706071</v>
      </c>
      <c r="K43" s="5" t="n">
        <v>0.002602546684717401</v>
      </c>
      <c r="L43" s="5" t="n">
        <v>0.001908156711580339</v>
      </c>
      <c r="M43" s="5">
        <f>SUMPRODUCT(Exposures!$B$6:$K$6,B43:K43)</f>
        <v/>
      </c>
      <c r="N43" s="5">
        <f>IF(AND($A43&gt;=DATE(2020,2,1),$A43&lt;=DATE(2020,5,31)),$M43,"")</f>
        <v/>
      </c>
      <c r="O43" s="5">
        <f>IF(AND($A43&gt;=DATE(2022,1,1),$A43&lt;=DATE(2022,10,31)),$M43,"")</f>
        <v/>
      </c>
      <c r="P43" s="5">
        <f>IF(AND($A43&gt;=DATE(2018,10,1),$A43&lt;=DATE(2018,12,31)),$M43,"")</f>
        <v/>
      </c>
      <c r="Q43" s="5">
        <f>SUMPRODUCT(Exposures!$B$8:$K$8,B43:K43)</f>
        <v/>
      </c>
      <c r="R43" s="5">
        <f>SUMPRODUCT(Exposures!$B$9:$K$9,B43:K43)</f>
        <v/>
      </c>
      <c r="S43" s="5">
        <f>SUMPRODUCT(Exposures!$B$10:$K$10,B43:K43)</f>
        <v/>
      </c>
    </row>
    <row r="44">
      <c r="A44" s="1" t="n">
        <v>42522</v>
      </c>
      <c r="B44" s="5" t="n">
        <v>0.0003309425899562321</v>
      </c>
      <c r="C44" s="5" t="n">
        <v>-0.003652780419877401</v>
      </c>
      <c r="D44" s="5" t="n">
        <v>-0.003406211028342749</v>
      </c>
      <c r="E44" s="5" t="n">
        <v>0.004068189096360943</v>
      </c>
      <c r="F44" s="5" t="n">
        <v>0.005572620114706007</v>
      </c>
      <c r="G44" s="5" t="n">
        <v>0.001202501798722014</v>
      </c>
      <c r="H44" s="5" t="n">
        <v>0.0006305832064736471</v>
      </c>
      <c r="I44" s="5" t="n">
        <v>-0.0001178520894062258</v>
      </c>
      <c r="J44" s="5" t="n">
        <v>-0.003973210198867216</v>
      </c>
      <c r="K44" s="5" t="n">
        <v>-0.00891918641232072</v>
      </c>
      <c r="L44" s="5" t="n">
        <v>-0.001949525401276738</v>
      </c>
      <c r="M44" s="5">
        <f>SUMPRODUCT(Exposures!$B$6:$K$6,B44:K44)</f>
        <v/>
      </c>
      <c r="N44" s="5">
        <f>IF(AND($A44&gt;=DATE(2020,2,1),$A44&lt;=DATE(2020,5,31)),$M44,"")</f>
        <v/>
      </c>
      <c r="O44" s="5">
        <f>IF(AND($A44&gt;=DATE(2022,1,1),$A44&lt;=DATE(2022,10,31)),$M44,"")</f>
        <v/>
      </c>
      <c r="P44" s="5">
        <f>IF(AND($A44&gt;=DATE(2018,10,1),$A44&lt;=DATE(2018,12,31)),$M44,"")</f>
        <v/>
      </c>
      <c r="Q44" s="5">
        <f>SUMPRODUCT(Exposures!$B$8:$K$8,B44:K44)</f>
        <v/>
      </c>
      <c r="R44" s="5">
        <f>SUMPRODUCT(Exposures!$B$9:$K$9,B44:K44)</f>
        <v/>
      </c>
      <c r="S44" s="5">
        <f>SUMPRODUCT(Exposures!$B$10:$K$10,B44:K44)</f>
        <v/>
      </c>
    </row>
    <row r="45">
      <c r="A45" s="1" t="n">
        <v>42523</v>
      </c>
      <c r="B45" s="5" t="n">
        <v>0.0005281323745242087</v>
      </c>
      <c r="C45" s="5" t="n">
        <v>-0.001244985942718436</v>
      </c>
      <c r="D45" s="5" t="n">
        <v>0.004398054596764894</v>
      </c>
      <c r="E45" s="5" t="n">
        <v>0.001771191827800302</v>
      </c>
      <c r="F45" s="5" t="n">
        <v>0.006239510203083923</v>
      </c>
      <c r="G45" s="5" t="n">
        <v>0.007375297269728256</v>
      </c>
      <c r="H45" s="5" t="n">
        <v>-0.005419118612036096</v>
      </c>
      <c r="I45" s="5" t="n">
        <v>0.0007874395398662344</v>
      </c>
      <c r="J45" s="5" t="n">
        <v>0.001640664516092049</v>
      </c>
      <c r="K45" s="5" t="n">
        <v>-0.00678844010956867</v>
      </c>
      <c r="L45" s="5" t="n">
        <v>-0.004977283660932807</v>
      </c>
      <c r="M45" s="5">
        <f>SUMPRODUCT(Exposures!$B$6:$K$6,B45:K45)</f>
        <v/>
      </c>
      <c r="N45" s="5">
        <f>IF(AND($A45&gt;=DATE(2020,2,1),$A45&lt;=DATE(2020,5,31)),$M45,"")</f>
        <v/>
      </c>
      <c r="O45" s="5">
        <f>IF(AND($A45&gt;=DATE(2022,1,1),$A45&lt;=DATE(2022,10,31)),$M45,"")</f>
        <v/>
      </c>
      <c r="P45" s="5">
        <f>IF(AND($A45&gt;=DATE(2018,10,1),$A45&lt;=DATE(2018,12,31)),$M45,"")</f>
        <v/>
      </c>
      <c r="Q45" s="5">
        <f>SUMPRODUCT(Exposures!$B$8:$K$8,B45:K45)</f>
        <v/>
      </c>
      <c r="R45" s="5">
        <f>SUMPRODUCT(Exposures!$B$9:$K$9,B45:K45)</f>
        <v/>
      </c>
      <c r="S45" s="5">
        <f>SUMPRODUCT(Exposures!$B$10:$K$10,B45:K45)</f>
        <v/>
      </c>
    </row>
    <row r="46">
      <c r="A46" s="1" t="n">
        <v>42524</v>
      </c>
      <c r="B46" s="5" t="n">
        <v>-0.009969938427156936</v>
      </c>
      <c r="C46" s="5" t="n">
        <v>0.0009673122249632378</v>
      </c>
      <c r="D46" s="5" t="n">
        <v>-0.001479455603112583</v>
      </c>
      <c r="E46" s="5" t="n">
        <v>-0.001292482955037752</v>
      </c>
      <c r="F46" s="5" t="n">
        <v>-0.0001912129524091616</v>
      </c>
      <c r="G46" s="5" t="n">
        <v>-0.005093078126135521</v>
      </c>
      <c r="H46" s="5" t="n">
        <v>0.003169957083975152</v>
      </c>
      <c r="I46" s="5" t="n">
        <v>-0.001505428010812842</v>
      </c>
      <c r="J46" s="5" t="n">
        <v>0.004758164719488768</v>
      </c>
      <c r="K46" s="5" t="n">
        <v>0.003321769750259199</v>
      </c>
      <c r="L46" s="5" t="n">
        <v>-6.822925867655565e-05</v>
      </c>
      <c r="M46" s="5">
        <f>SUMPRODUCT(Exposures!$B$6:$K$6,B46:K46)</f>
        <v/>
      </c>
      <c r="N46" s="5">
        <f>IF(AND($A46&gt;=DATE(2020,2,1),$A46&lt;=DATE(2020,5,31)),$M46,"")</f>
        <v/>
      </c>
      <c r="O46" s="5">
        <f>IF(AND($A46&gt;=DATE(2022,1,1),$A46&lt;=DATE(2022,10,31)),$M46,"")</f>
        <v/>
      </c>
      <c r="P46" s="5">
        <f>IF(AND($A46&gt;=DATE(2018,10,1),$A46&lt;=DATE(2018,12,31)),$M46,"")</f>
        <v/>
      </c>
      <c r="Q46" s="5">
        <f>SUMPRODUCT(Exposures!$B$8:$K$8,B46:K46)</f>
        <v/>
      </c>
      <c r="R46" s="5">
        <f>SUMPRODUCT(Exposures!$B$9:$K$9,B46:K46)</f>
        <v/>
      </c>
      <c r="S46" s="5">
        <f>SUMPRODUCT(Exposures!$B$10:$K$10,B46:K46)</f>
        <v/>
      </c>
    </row>
    <row r="47">
      <c r="A47" s="1" t="n">
        <v>42527</v>
      </c>
      <c r="B47" s="5" t="n">
        <v>0.00566040733792507</v>
      </c>
      <c r="C47" s="5" t="n">
        <v>-0.0001761079933748104</v>
      </c>
      <c r="D47" s="5" t="n">
        <v>-0.0004904016797447191</v>
      </c>
      <c r="E47" s="5" t="n">
        <v>0.0008588658864131132</v>
      </c>
      <c r="F47" s="5" t="n">
        <v>0.0005838828465273256</v>
      </c>
      <c r="G47" s="5" t="n">
        <v>0.01033070134539689</v>
      </c>
      <c r="H47" s="5" t="n">
        <v>-0.002328571725391619</v>
      </c>
      <c r="I47" s="5" t="n">
        <v>0.0006200907449081961</v>
      </c>
      <c r="J47" s="5" t="n">
        <v>0.005008824972451433</v>
      </c>
      <c r="K47" s="5" t="n">
        <v>-0.003189237191822031</v>
      </c>
      <c r="L47" s="5" t="n">
        <v>-0.000423150659048391</v>
      </c>
      <c r="M47" s="5">
        <f>SUMPRODUCT(Exposures!$B$6:$K$6,B47:K47)</f>
        <v/>
      </c>
      <c r="N47" s="5">
        <f>IF(AND($A47&gt;=DATE(2020,2,1),$A47&lt;=DATE(2020,5,31)),$M47,"")</f>
        <v/>
      </c>
      <c r="O47" s="5">
        <f>IF(AND($A47&gt;=DATE(2022,1,1),$A47&lt;=DATE(2022,10,31)),$M47,"")</f>
        <v/>
      </c>
      <c r="P47" s="5">
        <f>IF(AND($A47&gt;=DATE(2018,10,1),$A47&lt;=DATE(2018,12,31)),$M47,"")</f>
        <v/>
      </c>
      <c r="Q47" s="5">
        <f>SUMPRODUCT(Exposures!$B$8:$K$8,B47:K47)</f>
        <v/>
      </c>
      <c r="R47" s="5">
        <f>SUMPRODUCT(Exposures!$B$9:$K$9,B47:K47)</f>
        <v/>
      </c>
      <c r="S47" s="5">
        <f>SUMPRODUCT(Exposures!$B$10:$K$10,B47:K47)</f>
        <v/>
      </c>
    </row>
    <row r="48">
      <c r="A48" s="1" t="n">
        <v>42528</v>
      </c>
      <c r="B48" s="5" t="n">
        <v>0.0002244658007656541</v>
      </c>
      <c r="C48" s="5" t="n">
        <v>-0.001114817556456591</v>
      </c>
      <c r="D48" s="5" t="n">
        <v>-0.001568831602233154</v>
      </c>
      <c r="E48" s="5" t="n">
        <v>-0.0003221943899759405</v>
      </c>
      <c r="F48" s="5" t="n">
        <v>0.0004076126336486359</v>
      </c>
      <c r="G48" s="5" t="n">
        <v>-0.0003593158525347358</v>
      </c>
      <c r="H48" s="5" t="n">
        <v>0.0008318849899279113</v>
      </c>
      <c r="I48" s="5" t="n">
        <v>-0.005263438265410499</v>
      </c>
      <c r="J48" s="5" t="n">
        <v>-0.0008421153307625197</v>
      </c>
      <c r="K48" s="5" t="n">
        <v>0.000547432132761083</v>
      </c>
      <c r="L48" s="5" t="n">
        <v>0.001980515820448123</v>
      </c>
      <c r="M48" s="5">
        <f>SUMPRODUCT(Exposures!$B$6:$K$6,B48:K48)</f>
        <v/>
      </c>
      <c r="N48" s="5">
        <f>IF(AND($A48&gt;=DATE(2020,2,1),$A48&lt;=DATE(2020,5,31)),$M48,"")</f>
        <v/>
      </c>
      <c r="O48" s="5">
        <f>IF(AND($A48&gt;=DATE(2022,1,1),$A48&lt;=DATE(2022,10,31)),$M48,"")</f>
        <v/>
      </c>
      <c r="P48" s="5">
        <f>IF(AND($A48&gt;=DATE(2018,10,1),$A48&lt;=DATE(2018,12,31)),$M48,"")</f>
        <v/>
      </c>
      <c r="Q48" s="5">
        <f>SUMPRODUCT(Exposures!$B$8:$K$8,B48:K48)</f>
        <v/>
      </c>
      <c r="R48" s="5">
        <f>SUMPRODUCT(Exposures!$B$9:$K$9,B48:K48)</f>
        <v/>
      </c>
      <c r="S48" s="5">
        <f>SUMPRODUCT(Exposures!$B$10:$K$10,B48:K48)</f>
        <v/>
      </c>
    </row>
    <row r="49">
      <c r="A49" s="1" t="n">
        <v>42529</v>
      </c>
      <c r="B49" s="5" t="n">
        <v>0.0003558532930133943</v>
      </c>
      <c r="C49" s="5" t="n">
        <v>-0.001594435678171267</v>
      </c>
      <c r="D49" s="5" t="n">
        <v>6.546500355057178e-05</v>
      </c>
      <c r="E49" s="5" t="n">
        <v>-0.001185359563191398</v>
      </c>
      <c r="F49" s="5" t="n">
        <v>0.004623843251217877</v>
      </c>
      <c r="G49" s="5" t="n">
        <v>0.003973924907670134</v>
      </c>
      <c r="H49" s="5" t="n">
        <v>0.0001670533855376342</v>
      </c>
      <c r="I49" s="5" t="n">
        <v>0.0007349851230924287</v>
      </c>
      <c r="J49" s="5" t="n">
        <v>-0.001391892234375695</v>
      </c>
      <c r="K49" s="5" t="n">
        <v>-0.005775556652064247</v>
      </c>
      <c r="L49" s="5" t="n">
        <v>-0.000325817798607615</v>
      </c>
      <c r="M49" s="5">
        <f>SUMPRODUCT(Exposures!$B$6:$K$6,B49:K49)</f>
        <v/>
      </c>
      <c r="N49" s="5">
        <f>IF(AND($A49&gt;=DATE(2020,2,1),$A49&lt;=DATE(2020,5,31)),$M49,"")</f>
        <v/>
      </c>
      <c r="O49" s="5">
        <f>IF(AND($A49&gt;=DATE(2022,1,1),$A49&lt;=DATE(2022,10,31)),$M49,"")</f>
        <v/>
      </c>
      <c r="P49" s="5">
        <f>IF(AND($A49&gt;=DATE(2018,10,1),$A49&lt;=DATE(2018,12,31)),$M49,"")</f>
        <v/>
      </c>
      <c r="Q49" s="5">
        <f>SUMPRODUCT(Exposures!$B$8:$K$8,B49:K49)</f>
        <v/>
      </c>
      <c r="R49" s="5">
        <f>SUMPRODUCT(Exposures!$B$9:$K$9,B49:K49)</f>
        <v/>
      </c>
      <c r="S49" s="5">
        <f>SUMPRODUCT(Exposures!$B$10:$K$10,B49:K49)</f>
        <v/>
      </c>
    </row>
    <row r="50">
      <c r="A50" s="1" t="n">
        <v>42530</v>
      </c>
      <c r="B50" s="5" t="n">
        <v>-0.00727234585444265</v>
      </c>
      <c r="C50" s="5" t="n">
        <v>0.0009381749882016071</v>
      </c>
      <c r="D50" s="5" t="n">
        <v>0.00311366545458425</v>
      </c>
      <c r="E50" s="5" t="n">
        <v>-0.000274080565494326</v>
      </c>
      <c r="F50" s="5" t="n">
        <v>0.002231235150086545</v>
      </c>
      <c r="G50" s="5" t="n">
        <v>-0.00642599174479164</v>
      </c>
      <c r="H50" s="5" t="n">
        <v>0.004222415866507058</v>
      </c>
      <c r="I50" s="5" t="n">
        <v>-0.0005751744515407079</v>
      </c>
      <c r="J50" s="5" t="n">
        <v>-0.002403714645106103</v>
      </c>
      <c r="K50" s="5" t="n">
        <v>-0.0003815614611819597</v>
      </c>
      <c r="L50" s="5" t="n">
        <v>-0.00162692777467779</v>
      </c>
      <c r="M50" s="5">
        <f>SUMPRODUCT(Exposures!$B$6:$K$6,B50:K50)</f>
        <v/>
      </c>
      <c r="N50" s="5">
        <f>IF(AND($A50&gt;=DATE(2020,2,1),$A50&lt;=DATE(2020,5,31)),$M50,"")</f>
        <v/>
      </c>
      <c r="O50" s="5">
        <f>IF(AND($A50&gt;=DATE(2022,1,1),$A50&lt;=DATE(2022,10,31)),$M50,"")</f>
        <v/>
      </c>
      <c r="P50" s="5">
        <f>IF(AND($A50&gt;=DATE(2018,10,1),$A50&lt;=DATE(2018,12,31)),$M50,"")</f>
        <v/>
      </c>
      <c r="Q50" s="5">
        <f>SUMPRODUCT(Exposures!$B$8:$K$8,B50:K50)</f>
        <v/>
      </c>
      <c r="R50" s="5">
        <f>SUMPRODUCT(Exposures!$B$9:$K$9,B50:K50)</f>
        <v/>
      </c>
      <c r="S50" s="5">
        <f>SUMPRODUCT(Exposures!$B$10:$K$10,B50:K50)</f>
        <v/>
      </c>
    </row>
    <row r="51">
      <c r="A51" s="1" t="n">
        <v>42531</v>
      </c>
      <c r="B51" s="5" t="n">
        <v>-0.007365321841513298</v>
      </c>
      <c r="C51" s="5" t="n">
        <v>5.522316500062002e-05</v>
      </c>
      <c r="D51" s="5" t="n">
        <v>-0.00296877647923167</v>
      </c>
      <c r="E51" s="5" t="n">
        <v>0.002741673562597852</v>
      </c>
      <c r="F51" s="5" t="n">
        <v>0.0003310788908532187</v>
      </c>
      <c r="G51" s="5" t="n">
        <v>-0.01335446809715583</v>
      </c>
      <c r="H51" s="5" t="n">
        <v>0.002307567195922102</v>
      </c>
      <c r="I51" s="5" t="n">
        <v>0.001578891811429089</v>
      </c>
      <c r="J51" s="5" t="n">
        <v>-0.001768811329049473</v>
      </c>
      <c r="K51" s="5" t="n">
        <v>-0.0002633166829673107</v>
      </c>
      <c r="L51" s="5" t="n">
        <v>-0.0006972446165556089</v>
      </c>
      <c r="M51" s="5">
        <f>SUMPRODUCT(Exposures!$B$6:$K$6,B51:K51)</f>
        <v/>
      </c>
      <c r="N51" s="5">
        <f>IF(AND($A51&gt;=DATE(2020,2,1),$A51&lt;=DATE(2020,5,31)),$M51,"")</f>
        <v/>
      </c>
      <c r="O51" s="5">
        <f>IF(AND($A51&gt;=DATE(2022,1,1),$A51&lt;=DATE(2022,10,31)),$M51,"")</f>
        <v/>
      </c>
      <c r="P51" s="5">
        <f>IF(AND($A51&gt;=DATE(2018,10,1),$A51&lt;=DATE(2018,12,31)),$M51,"")</f>
        <v/>
      </c>
      <c r="Q51" s="5">
        <f>SUMPRODUCT(Exposures!$B$8:$K$8,B51:K51)</f>
        <v/>
      </c>
      <c r="R51" s="5">
        <f>SUMPRODUCT(Exposures!$B$9:$K$9,B51:K51)</f>
        <v/>
      </c>
      <c r="S51" s="5">
        <f>SUMPRODUCT(Exposures!$B$10:$K$10,B51:K51)</f>
        <v/>
      </c>
    </row>
    <row r="52">
      <c r="A52" s="1" t="n">
        <v>42534</v>
      </c>
      <c r="B52" s="5" t="n">
        <v>-0.002468585093366518</v>
      </c>
      <c r="C52" s="5" t="n">
        <v>-0.001110298823631169</v>
      </c>
      <c r="D52" s="5" t="n">
        <v>-2.731951964137629e-06</v>
      </c>
      <c r="E52" s="5" t="n">
        <v>-0.00280120149469174</v>
      </c>
      <c r="F52" s="5" t="n">
        <v>0.0007423549842580368</v>
      </c>
      <c r="G52" s="5" t="n">
        <v>-0.01126554333707409</v>
      </c>
      <c r="H52" s="5" t="n">
        <v>0.003232463099492731</v>
      </c>
      <c r="I52" s="5" t="n">
        <v>-0.001003470891954168</v>
      </c>
      <c r="J52" s="5" t="n">
        <v>4.373048397821543e-05</v>
      </c>
      <c r="K52" s="5" t="n">
        <v>0.002245714865133741</v>
      </c>
      <c r="L52" s="5" t="n">
        <v>0.001678371007770811</v>
      </c>
      <c r="M52" s="5">
        <f>SUMPRODUCT(Exposures!$B$6:$K$6,B52:K52)</f>
        <v/>
      </c>
      <c r="N52" s="5">
        <f>IF(AND($A52&gt;=DATE(2020,2,1),$A52&lt;=DATE(2020,5,31)),$M52,"")</f>
        <v/>
      </c>
      <c r="O52" s="5">
        <f>IF(AND($A52&gt;=DATE(2022,1,1),$A52&lt;=DATE(2022,10,31)),$M52,"")</f>
        <v/>
      </c>
      <c r="P52" s="5">
        <f>IF(AND($A52&gt;=DATE(2018,10,1),$A52&lt;=DATE(2018,12,31)),$M52,"")</f>
        <v/>
      </c>
      <c r="Q52" s="5">
        <f>SUMPRODUCT(Exposures!$B$8:$K$8,B52:K52)</f>
        <v/>
      </c>
      <c r="R52" s="5">
        <f>SUMPRODUCT(Exposures!$B$9:$K$9,B52:K52)</f>
        <v/>
      </c>
      <c r="S52" s="5">
        <f>SUMPRODUCT(Exposures!$B$10:$K$10,B52:K52)</f>
        <v/>
      </c>
    </row>
    <row r="53">
      <c r="A53" s="1" t="n">
        <v>42535</v>
      </c>
      <c r="B53" s="5" t="n">
        <v>-0.001998128035176114</v>
      </c>
      <c r="C53" s="5" t="n">
        <v>0.002413131032746583</v>
      </c>
      <c r="D53" s="5" t="n">
        <v>0.001137410390123285</v>
      </c>
      <c r="E53" s="5" t="n">
        <v>-0.004481217582769082</v>
      </c>
      <c r="F53" s="5" t="n">
        <v>0.001301425052365298</v>
      </c>
      <c r="G53" s="5" t="n">
        <v>-0.00697069317252724</v>
      </c>
      <c r="H53" s="5" t="n">
        <v>0.003482419781499534</v>
      </c>
      <c r="I53" s="5" t="n">
        <v>0.002448166426389457</v>
      </c>
      <c r="J53" s="5" t="n">
        <v>0.0002796270494950697</v>
      </c>
      <c r="K53" s="5" t="n">
        <v>-0.0007569846455778503</v>
      </c>
      <c r="L53" s="5" t="n">
        <v>-0.00342728088948844</v>
      </c>
      <c r="M53" s="5">
        <f>SUMPRODUCT(Exposures!$B$6:$K$6,B53:K53)</f>
        <v/>
      </c>
      <c r="N53" s="5">
        <f>IF(AND($A53&gt;=DATE(2020,2,1),$A53&lt;=DATE(2020,5,31)),$M53,"")</f>
        <v/>
      </c>
      <c r="O53" s="5">
        <f>IF(AND($A53&gt;=DATE(2022,1,1),$A53&lt;=DATE(2022,10,31)),$M53,"")</f>
        <v/>
      </c>
      <c r="P53" s="5">
        <f>IF(AND($A53&gt;=DATE(2018,10,1),$A53&lt;=DATE(2018,12,31)),$M53,"")</f>
        <v/>
      </c>
      <c r="Q53" s="5">
        <f>SUMPRODUCT(Exposures!$B$8:$K$8,B53:K53)</f>
        <v/>
      </c>
      <c r="R53" s="5">
        <f>SUMPRODUCT(Exposures!$B$9:$K$9,B53:K53)</f>
        <v/>
      </c>
      <c r="S53" s="5">
        <f>SUMPRODUCT(Exposures!$B$10:$K$10,B53:K53)</f>
        <v/>
      </c>
    </row>
    <row r="54">
      <c r="A54" s="1" t="n">
        <v>42536</v>
      </c>
      <c r="B54" s="5" t="n">
        <v>-0.000287990988087704</v>
      </c>
      <c r="C54" s="5" t="n">
        <v>-0.0003055140570928883</v>
      </c>
      <c r="D54" s="5" t="n">
        <v>-0.0007091690145400543</v>
      </c>
      <c r="E54" s="5" t="n">
        <v>0.001154307096303736</v>
      </c>
      <c r="F54" s="5" t="n">
        <v>-0.001877329606146684</v>
      </c>
      <c r="G54" s="5" t="n">
        <v>0.001537626491622457</v>
      </c>
      <c r="H54" s="5" t="n">
        <v>-0.0002034557718608305</v>
      </c>
      <c r="I54" s="5" t="n">
        <v>-0.001524169220523478</v>
      </c>
      <c r="J54" s="5" t="n">
        <v>0.003871180303812441</v>
      </c>
      <c r="K54" s="5" t="n">
        <v>0.002446043465515867</v>
      </c>
      <c r="L54" s="5" t="n">
        <v>0.0007681026557693919</v>
      </c>
      <c r="M54" s="5">
        <f>SUMPRODUCT(Exposures!$B$6:$K$6,B54:K54)</f>
        <v/>
      </c>
      <c r="N54" s="5">
        <f>IF(AND($A54&gt;=DATE(2020,2,1),$A54&lt;=DATE(2020,5,31)),$M54,"")</f>
        <v/>
      </c>
      <c r="O54" s="5">
        <f>IF(AND($A54&gt;=DATE(2022,1,1),$A54&lt;=DATE(2022,10,31)),$M54,"")</f>
        <v/>
      </c>
      <c r="P54" s="5">
        <f>IF(AND($A54&gt;=DATE(2018,10,1),$A54&lt;=DATE(2018,12,31)),$M54,"")</f>
        <v/>
      </c>
      <c r="Q54" s="5">
        <f>SUMPRODUCT(Exposures!$B$8:$K$8,B54:K54)</f>
        <v/>
      </c>
      <c r="R54" s="5">
        <f>SUMPRODUCT(Exposures!$B$9:$K$9,B54:K54)</f>
        <v/>
      </c>
      <c r="S54" s="5">
        <f>SUMPRODUCT(Exposures!$B$10:$K$10,B54:K54)</f>
        <v/>
      </c>
    </row>
    <row r="55">
      <c r="A55" s="1" t="n">
        <v>42537</v>
      </c>
      <c r="B55" s="5" t="n">
        <v>-0.0008515346221286338</v>
      </c>
      <c r="C55" s="5" t="n">
        <v>7.858515683189826e-05</v>
      </c>
      <c r="D55" s="5" t="n">
        <v>0.008049450634321697</v>
      </c>
      <c r="E55" s="5" t="n">
        <v>-0.001162151591082825</v>
      </c>
      <c r="F55" s="5" t="n">
        <v>-0.002513087817588639</v>
      </c>
      <c r="G55" s="5" t="n">
        <v>0.0001723751259856375</v>
      </c>
      <c r="H55" s="5" t="n">
        <v>0.003026347588811076</v>
      </c>
      <c r="I55" s="5" t="n">
        <v>2.027901710394809e-05</v>
      </c>
      <c r="J55" s="5" t="n">
        <v>0.000654431616536245</v>
      </c>
      <c r="K55" s="5" t="n">
        <v>0.003400287435259136</v>
      </c>
      <c r="L55" s="5" t="n">
        <v>0.0001290842035431616</v>
      </c>
      <c r="M55" s="5">
        <f>SUMPRODUCT(Exposures!$B$6:$K$6,B55:K55)</f>
        <v/>
      </c>
      <c r="N55" s="5">
        <f>IF(AND($A55&gt;=DATE(2020,2,1),$A55&lt;=DATE(2020,5,31)),$M55,"")</f>
        <v/>
      </c>
      <c r="O55" s="5">
        <f>IF(AND($A55&gt;=DATE(2022,1,1),$A55&lt;=DATE(2022,10,31)),$M55,"")</f>
        <v/>
      </c>
      <c r="P55" s="5">
        <f>IF(AND($A55&gt;=DATE(2018,10,1),$A55&lt;=DATE(2018,12,31)),$M55,"")</f>
        <v/>
      </c>
      <c r="Q55" s="5">
        <f>SUMPRODUCT(Exposures!$B$8:$K$8,B55:K55)</f>
        <v/>
      </c>
      <c r="R55" s="5">
        <f>SUMPRODUCT(Exposures!$B$9:$K$9,B55:K55)</f>
        <v/>
      </c>
      <c r="S55" s="5">
        <f>SUMPRODUCT(Exposures!$B$10:$K$10,B55:K55)</f>
        <v/>
      </c>
    </row>
    <row r="56">
      <c r="A56" s="1" t="n">
        <v>42538</v>
      </c>
      <c r="B56" s="5" t="n">
        <v>0.0009590854591709649</v>
      </c>
      <c r="C56" s="5" t="n">
        <v>-0.0008549366405473009</v>
      </c>
      <c r="D56" s="5" t="n">
        <v>-0.001011145464359783</v>
      </c>
      <c r="E56" s="5" t="n">
        <v>0.001115221717040038</v>
      </c>
      <c r="F56" s="5" t="n">
        <v>-0.005718561636245252</v>
      </c>
      <c r="G56" s="5" t="n">
        <v>-0.0001354649259565778</v>
      </c>
      <c r="H56" s="5" t="n">
        <v>0.0005662155417150941</v>
      </c>
      <c r="I56" s="5" t="n">
        <v>-0.003789986482851259</v>
      </c>
      <c r="J56" s="5" t="n">
        <v>0.004143411668189503</v>
      </c>
      <c r="K56" s="5" t="n">
        <v>0.005001719245896947</v>
      </c>
      <c r="L56" s="5" t="n">
        <v>0.002021619125488817</v>
      </c>
      <c r="M56" s="5">
        <f>SUMPRODUCT(Exposures!$B$6:$K$6,B56:K56)</f>
        <v/>
      </c>
      <c r="N56" s="5">
        <f>IF(AND($A56&gt;=DATE(2020,2,1),$A56&lt;=DATE(2020,5,31)),$M56,"")</f>
        <v/>
      </c>
      <c r="O56" s="5">
        <f>IF(AND($A56&gt;=DATE(2022,1,1),$A56&lt;=DATE(2022,10,31)),$M56,"")</f>
        <v/>
      </c>
      <c r="P56" s="5">
        <f>IF(AND($A56&gt;=DATE(2018,10,1),$A56&lt;=DATE(2018,12,31)),$M56,"")</f>
        <v/>
      </c>
      <c r="Q56" s="5">
        <f>SUMPRODUCT(Exposures!$B$8:$K$8,B56:K56)</f>
        <v/>
      </c>
      <c r="R56" s="5">
        <f>SUMPRODUCT(Exposures!$B$9:$K$9,B56:K56)</f>
        <v/>
      </c>
      <c r="S56" s="5">
        <f>SUMPRODUCT(Exposures!$B$10:$K$10,B56:K56)</f>
        <v/>
      </c>
    </row>
    <row r="57">
      <c r="A57" s="1" t="n">
        <v>42541</v>
      </c>
      <c r="B57" s="5" t="n">
        <v>0.004955960310765723</v>
      </c>
      <c r="C57" s="5" t="n">
        <v>0.0004250569875367939</v>
      </c>
      <c r="D57" s="5" t="n">
        <v>0.00656147724734205</v>
      </c>
      <c r="E57" s="5" t="n">
        <v>0.00111173384700919</v>
      </c>
      <c r="F57" s="5" t="n">
        <v>-0.003458767377265231</v>
      </c>
      <c r="G57" s="5" t="n">
        <v>0.0096655792856717</v>
      </c>
      <c r="H57" s="5" t="n">
        <v>-0.0002925908918583409</v>
      </c>
      <c r="I57" s="5" t="n">
        <v>-0.0003667783593407297</v>
      </c>
      <c r="J57" s="5" t="n">
        <v>-0.001082876718206599</v>
      </c>
      <c r="K57" s="5" t="n">
        <v>-0.0003341950104875108</v>
      </c>
      <c r="L57" s="5" t="n">
        <v>-0.000973868614138027</v>
      </c>
      <c r="M57" s="5">
        <f>SUMPRODUCT(Exposures!$B$6:$K$6,B57:K57)</f>
        <v/>
      </c>
      <c r="N57" s="5">
        <f>IF(AND($A57&gt;=DATE(2020,2,1),$A57&lt;=DATE(2020,5,31)),$M57,"")</f>
        <v/>
      </c>
      <c r="O57" s="5">
        <f>IF(AND($A57&gt;=DATE(2022,1,1),$A57&lt;=DATE(2022,10,31)),$M57,"")</f>
        <v/>
      </c>
      <c r="P57" s="5">
        <f>IF(AND($A57&gt;=DATE(2018,10,1),$A57&lt;=DATE(2018,12,31)),$M57,"")</f>
        <v/>
      </c>
      <c r="Q57" s="5">
        <f>SUMPRODUCT(Exposures!$B$8:$K$8,B57:K57)</f>
        <v/>
      </c>
      <c r="R57" s="5">
        <f>SUMPRODUCT(Exposures!$B$9:$K$9,B57:K57)</f>
        <v/>
      </c>
      <c r="S57" s="5">
        <f>SUMPRODUCT(Exposures!$B$10:$K$10,B57:K57)</f>
        <v/>
      </c>
    </row>
    <row r="58">
      <c r="A58" s="1" t="n">
        <v>42542</v>
      </c>
      <c r="B58" s="5" t="n">
        <v>0.0001812499485126695</v>
      </c>
      <c r="C58" s="5" t="n">
        <v>-0.001059395100371526</v>
      </c>
      <c r="D58" s="5" t="n">
        <v>-0.01011814853715464</v>
      </c>
      <c r="E58" s="5" t="n">
        <v>0.0001973087061061215</v>
      </c>
      <c r="F58" s="5" t="n">
        <v>-0.0003487193961847076</v>
      </c>
      <c r="G58" s="5" t="n">
        <v>-0.003120662911210754</v>
      </c>
      <c r="H58" s="5" t="n">
        <v>0.005855558953236999</v>
      </c>
      <c r="I58" s="5" t="n">
        <v>0.0003726011798288925</v>
      </c>
      <c r="J58" s="5" t="n">
        <v>-0.001777773464024592</v>
      </c>
      <c r="K58" s="5" t="n">
        <v>0.002283018210265891</v>
      </c>
      <c r="L58" s="5" t="n">
        <v>0.00102461707707531</v>
      </c>
      <c r="M58" s="5">
        <f>SUMPRODUCT(Exposures!$B$6:$K$6,B58:K58)</f>
        <v/>
      </c>
      <c r="N58" s="5">
        <f>IF(AND($A58&gt;=DATE(2020,2,1),$A58&lt;=DATE(2020,5,31)),$M58,"")</f>
        <v/>
      </c>
      <c r="O58" s="5">
        <f>IF(AND($A58&gt;=DATE(2022,1,1),$A58&lt;=DATE(2022,10,31)),$M58,"")</f>
        <v/>
      </c>
      <c r="P58" s="5">
        <f>IF(AND($A58&gt;=DATE(2018,10,1),$A58&lt;=DATE(2018,12,31)),$M58,"")</f>
        <v/>
      </c>
      <c r="Q58" s="5">
        <f>SUMPRODUCT(Exposures!$B$8:$K$8,B58:K58)</f>
        <v/>
      </c>
      <c r="R58" s="5">
        <f>SUMPRODUCT(Exposures!$B$9:$K$9,B58:K58)</f>
        <v/>
      </c>
      <c r="S58" s="5">
        <f>SUMPRODUCT(Exposures!$B$10:$K$10,B58:K58)</f>
        <v/>
      </c>
    </row>
    <row r="59">
      <c r="A59" s="1" t="n">
        <v>42543</v>
      </c>
      <c r="B59" s="5" t="n">
        <v>-0.002785773230744135</v>
      </c>
      <c r="C59" s="5" t="n">
        <v>0.0005672519946654511</v>
      </c>
      <c r="D59" s="5" t="n">
        <v>-0.0004773764406572393</v>
      </c>
      <c r="E59" s="5" t="n">
        <v>-1.79096610959424e-05</v>
      </c>
      <c r="F59" s="5" t="n">
        <v>0.004192328928923772</v>
      </c>
      <c r="G59" s="5" t="n">
        <v>-0.002736960725942299</v>
      </c>
      <c r="H59" s="5" t="n">
        <v>-0.004575559723785975</v>
      </c>
      <c r="I59" s="5" t="n">
        <v>-0.0002307868610048789</v>
      </c>
      <c r="J59" s="5" t="n">
        <v>-0.004599577367965272</v>
      </c>
      <c r="K59" s="5" t="n">
        <v>-0.003717137883849541</v>
      </c>
      <c r="L59" s="5" t="n">
        <v>0.0003321893329269723</v>
      </c>
      <c r="M59" s="5">
        <f>SUMPRODUCT(Exposures!$B$6:$K$6,B59:K59)</f>
        <v/>
      </c>
      <c r="N59" s="5">
        <f>IF(AND($A59&gt;=DATE(2020,2,1),$A59&lt;=DATE(2020,5,31)),$M59,"")</f>
        <v/>
      </c>
      <c r="O59" s="5">
        <f>IF(AND($A59&gt;=DATE(2022,1,1),$A59&lt;=DATE(2022,10,31)),$M59,"")</f>
        <v/>
      </c>
      <c r="P59" s="5">
        <f>IF(AND($A59&gt;=DATE(2018,10,1),$A59&lt;=DATE(2018,12,31)),$M59,"")</f>
        <v/>
      </c>
      <c r="Q59" s="5">
        <f>SUMPRODUCT(Exposures!$B$8:$K$8,B59:K59)</f>
        <v/>
      </c>
      <c r="R59" s="5">
        <f>SUMPRODUCT(Exposures!$B$9:$K$9,B59:K59)</f>
        <v/>
      </c>
      <c r="S59" s="5">
        <f>SUMPRODUCT(Exposures!$B$10:$K$10,B59:K59)</f>
        <v/>
      </c>
    </row>
    <row r="60">
      <c r="A60" s="1" t="n">
        <v>42544</v>
      </c>
      <c r="B60" s="5" t="n">
        <v>0.008418512071263855</v>
      </c>
      <c r="C60" s="5" t="n">
        <v>-6.339451372824943e-05</v>
      </c>
      <c r="D60" s="5" t="n">
        <v>-0.003511066373315956</v>
      </c>
      <c r="E60" s="5" t="n">
        <v>0.0006565349972575977</v>
      </c>
      <c r="F60" s="5" t="n">
        <v>-0.0033910301337791</v>
      </c>
      <c r="G60" s="5" t="n">
        <v>0.01944912633143126</v>
      </c>
      <c r="H60" s="5" t="n">
        <v>-0.001021578961608089</v>
      </c>
      <c r="I60" s="5" t="n">
        <v>0.0003508019997050618</v>
      </c>
      <c r="J60" s="5" t="n">
        <v>0.00121154441972658</v>
      </c>
      <c r="K60" s="5" t="n">
        <v>-0.0006523062981146658</v>
      </c>
      <c r="L60" s="5" t="n">
        <v>0.0009648920215750905</v>
      </c>
      <c r="M60" s="5">
        <f>SUMPRODUCT(Exposures!$B$6:$K$6,B60:K60)</f>
        <v/>
      </c>
      <c r="N60" s="5">
        <f>IF(AND($A60&gt;=DATE(2020,2,1),$A60&lt;=DATE(2020,5,31)),$M60,"")</f>
        <v/>
      </c>
      <c r="O60" s="5">
        <f>IF(AND($A60&gt;=DATE(2022,1,1),$A60&lt;=DATE(2022,10,31)),$M60,"")</f>
        <v/>
      </c>
      <c r="P60" s="5">
        <f>IF(AND($A60&gt;=DATE(2018,10,1),$A60&lt;=DATE(2018,12,31)),$M60,"")</f>
        <v/>
      </c>
      <c r="Q60" s="5">
        <f>SUMPRODUCT(Exposures!$B$8:$K$8,B60:K60)</f>
        <v/>
      </c>
      <c r="R60" s="5">
        <f>SUMPRODUCT(Exposures!$B$9:$K$9,B60:K60)</f>
        <v/>
      </c>
      <c r="S60" s="5">
        <f>SUMPRODUCT(Exposures!$B$10:$K$10,B60:K60)</f>
        <v/>
      </c>
    </row>
    <row r="61">
      <c r="A61" s="1" t="n">
        <v>42545</v>
      </c>
      <c r="B61" s="5" t="n">
        <v>-0.02629050744899513</v>
      </c>
      <c r="C61" s="5" t="n">
        <v>0.0009822280316170132</v>
      </c>
      <c r="D61" s="5" t="n">
        <v>0.006422552570445321</v>
      </c>
      <c r="E61" s="5" t="n">
        <v>-0.003756129697696468</v>
      </c>
      <c r="F61" s="5" t="n">
        <v>-0.002841913765575733</v>
      </c>
      <c r="G61" s="5" t="n">
        <v>-0.04137128778597614</v>
      </c>
      <c r="H61" s="5" t="n">
        <v>0.004826016680140035</v>
      </c>
      <c r="I61" s="5" t="n">
        <v>0.001693208567805166</v>
      </c>
      <c r="J61" s="5" t="n">
        <v>0.005621484667789939</v>
      </c>
      <c r="K61" s="5" t="n">
        <v>0.006421668124905751</v>
      </c>
      <c r="L61" s="5" t="n">
        <v>-0.001470028268780676</v>
      </c>
      <c r="M61" s="5">
        <f>SUMPRODUCT(Exposures!$B$6:$K$6,B61:K61)</f>
        <v/>
      </c>
      <c r="N61" s="5">
        <f>IF(AND($A61&gt;=DATE(2020,2,1),$A61&lt;=DATE(2020,5,31)),$M61,"")</f>
        <v/>
      </c>
      <c r="O61" s="5">
        <f>IF(AND($A61&gt;=DATE(2022,1,1),$A61&lt;=DATE(2022,10,31)),$M61,"")</f>
        <v/>
      </c>
      <c r="P61" s="5">
        <f>IF(AND($A61&gt;=DATE(2018,10,1),$A61&lt;=DATE(2018,12,31)),$M61,"")</f>
        <v/>
      </c>
      <c r="Q61" s="5">
        <f>SUMPRODUCT(Exposures!$B$8:$K$8,B61:K61)</f>
        <v/>
      </c>
      <c r="R61" s="5">
        <f>SUMPRODUCT(Exposures!$B$9:$K$9,B61:K61)</f>
        <v/>
      </c>
      <c r="S61" s="5">
        <f>SUMPRODUCT(Exposures!$B$10:$K$10,B61:K61)</f>
        <v/>
      </c>
    </row>
    <row r="62">
      <c r="A62" s="1" t="n">
        <v>42548</v>
      </c>
      <c r="B62" s="5" t="n">
        <v>-0.01663831215410292</v>
      </c>
      <c r="C62" s="5" t="n">
        <v>-0.001046710804353839</v>
      </c>
      <c r="D62" s="5" t="n">
        <v>0.009499763068106707</v>
      </c>
      <c r="E62" s="5" t="n">
        <v>-0.004200470994174818</v>
      </c>
      <c r="F62" s="5" t="n">
        <v>0.00692279623636548</v>
      </c>
      <c r="G62" s="5" t="n">
        <v>-0.03154024345054459</v>
      </c>
      <c r="H62" s="5" t="n">
        <v>0.006229496823881946</v>
      </c>
      <c r="I62" s="5" t="n">
        <v>0.0030971109380605</v>
      </c>
      <c r="J62" s="5" t="n">
        <v>9.787000503094778e-06</v>
      </c>
      <c r="K62" s="5" t="n">
        <v>0.0006175969435752732</v>
      </c>
      <c r="L62" s="5" t="n">
        <v>-0.002802441332389464</v>
      </c>
      <c r="M62" s="5">
        <f>SUMPRODUCT(Exposures!$B$6:$K$6,B62:K62)</f>
        <v/>
      </c>
      <c r="N62" s="5">
        <f>IF(AND($A62&gt;=DATE(2020,2,1),$A62&lt;=DATE(2020,5,31)),$M62,"")</f>
        <v/>
      </c>
      <c r="O62" s="5">
        <f>IF(AND($A62&gt;=DATE(2022,1,1),$A62&lt;=DATE(2022,10,31)),$M62,"")</f>
        <v/>
      </c>
      <c r="P62" s="5">
        <f>IF(AND($A62&gt;=DATE(2018,10,1),$A62&lt;=DATE(2018,12,31)),$M62,"")</f>
        <v/>
      </c>
      <c r="Q62" s="5">
        <f>SUMPRODUCT(Exposures!$B$8:$K$8,B62:K62)</f>
        <v/>
      </c>
      <c r="R62" s="5">
        <f>SUMPRODUCT(Exposures!$B$9:$K$9,B62:K62)</f>
        <v/>
      </c>
      <c r="S62" s="5">
        <f>SUMPRODUCT(Exposures!$B$10:$K$10,B62:K62)</f>
        <v/>
      </c>
    </row>
    <row r="63">
      <c r="A63" s="1" t="n">
        <v>42549</v>
      </c>
      <c r="B63" s="5" t="n">
        <v>0.008682552143527011</v>
      </c>
      <c r="C63" s="5" t="n">
        <v>-0.001802724231493104</v>
      </c>
      <c r="D63" s="5" t="n">
        <v>0.003710901436552682</v>
      </c>
      <c r="E63" s="5" t="n">
        <v>-0.0006396410372772091</v>
      </c>
      <c r="F63" s="5" t="n">
        <v>0.001277758378680671</v>
      </c>
      <c r="G63" s="5" t="n">
        <v>0.02136286438406416</v>
      </c>
      <c r="H63" s="5" t="n">
        <v>-0.000477884722378689</v>
      </c>
      <c r="I63" s="5" t="n">
        <v>-0.001387026508202635</v>
      </c>
      <c r="J63" s="5" t="n">
        <v>0.002196672572923662</v>
      </c>
      <c r="K63" s="5" t="n">
        <v>0.0002674718645501277</v>
      </c>
      <c r="L63" s="5" t="n">
        <v>0.0003975135884658295</v>
      </c>
      <c r="M63" s="5">
        <f>SUMPRODUCT(Exposures!$B$6:$K$6,B63:K63)</f>
        <v/>
      </c>
      <c r="N63" s="5">
        <f>IF(AND($A63&gt;=DATE(2020,2,1),$A63&lt;=DATE(2020,5,31)),$M63,"")</f>
        <v/>
      </c>
      <c r="O63" s="5">
        <f>IF(AND($A63&gt;=DATE(2022,1,1),$A63&lt;=DATE(2022,10,31)),$M63,"")</f>
        <v/>
      </c>
      <c r="P63" s="5">
        <f>IF(AND($A63&gt;=DATE(2018,10,1),$A63&lt;=DATE(2018,12,31)),$M63,"")</f>
        <v/>
      </c>
      <c r="Q63" s="5">
        <f>SUMPRODUCT(Exposures!$B$8:$K$8,B63:K63)</f>
        <v/>
      </c>
      <c r="R63" s="5">
        <f>SUMPRODUCT(Exposures!$B$9:$K$9,B63:K63)</f>
        <v/>
      </c>
      <c r="S63" s="5">
        <f>SUMPRODUCT(Exposures!$B$10:$K$10,B63:K63)</f>
        <v/>
      </c>
    </row>
    <row r="64">
      <c r="A64" s="1" t="n">
        <v>42550</v>
      </c>
      <c r="B64" s="5" t="n">
        <v>0.002670732454240562</v>
      </c>
      <c r="C64" s="5" t="n">
        <v>-0.001608914807269511</v>
      </c>
      <c r="D64" s="5" t="n">
        <v>-0.02354102990506235</v>
      </c>
      <c r="E64" s="5" t="n">
        <v>0.002385778987864065</v>
      </c>
      <c r="F64" s="5" t="n">
        <v>0.000714246736323814</v>
      </c>
      <c r="G64" s="5" t="n">
        <v>0.0208368409959863</v>
      </c>
      <c r="H64" s="5" t="n">
        <v>-0.004905216329573652</v>
      </c>
      <c r="I64" s="5" t="n">
        <v>0.001154578345132389</v>
      </c>
      <c r="J64" s="5" t="n">
        <v>-0.001406506963938672</v>
      </c>
      <c r="K64" s="5" t="n">
        <v>-0.001612579269682444</v>
      </c>
      <c r="L64" s="5" t="n">
        <v>0.0007247900422597349</v>
      </c>
      <c r="M64" s="5">
        <f>SUMPRODUCT(Exposures!$B$6:$K$6,B64:K64)</f>
        <v/>
      </c>
      <c r="N64" s="5">
        <f>IF(AND($A64&gt;=DATE(2020,2,1),$A64&lt;=DATE(2020,5,31)),$M64,"")</f>
        <v/>
      </c>
      <c r="O64" s="5">
        <f>IF(AND($A64&gt;=DATE(2022,1,1),$A64&lt;=DATE(2022,10,31)),$M64,"")</f>
        <v/>
      </c>
      <c r="P64" s="5">
        <f>IF(AND($A64&gt;=DATE(2018,10,1),$A64&lt;=DATE(2018,12,31)),$M64,"")</f>
        <v/>
      </c>
      <c r="Q64" s="5">
        <f>SUMPRODUCT(Exposures!$B$8:$K$8,B64:K64)</f>
        <v/>
      </c>
      <c r="R64" s="5">
        <f>SUMPRODUCT(Exposures!$B$9:$K$9,B64:K64)</f>
        <v/>
      </c>
      <c r="S64" s="5">
        <f>SUMPRODUCT(Exposures!$B$10:$K$10,B64:K64)</f>
        <v/>
      </c>
    </row>
    <row r="65">
      <c r="A65" s="1" t="n">
        <v>42551</v>
      </c>
      <c r="B65" s="5" t="n">
        <v>-0.00136929325262231</v>
      </c>
      <c r="C65" s="5" t="n">
        <v>0.001382924274524573</v>
      </c>
      <c r="D65" s="5" t="n">
        <v>0.0006582597666856752</v>
      </c>
      <c r="E65" s="5" t="n">
        <v>0.001475565433988095</v>
      </c>
      <c r="F65" s="5" t="n">
        <v>-0.01085230259625545</v>
      </c>
      <c r="G65" s="5" t="n">
        <v>0.01615197930969335</v>
      </c>
      <c r="H65" s="5" t="n">
        <v>0.001402193969302385</v>
      </c>
      <c r="I65" s="5" t="n">
        <v>-0.001082390043313482</v>
      </c>
      <c r="J65" s="5" t="n">
        <v>-0.0003531196735740138</v>
      </c>
      <c r="K65" s="5" t="n">
        <v>0.007741991037417132</v>
      </c>
      <c r="L65" s="5" t="n">
        <v>0.002889696324587783</v>
      </c>
      <c r="M65" s="5">
        <f>SUMPRODUCT(Exposures!$B$6:$K$6,B65:K65)</f>
        <v/>
      </c>
      <c r="N65" s="5">
        <f>IF(AND($A65&gt;=DATE(2020,2,1),$A65&lt;=DATE(2020,5,31)),$M65,"")</f>
        <v/>
      </c>
      <c r="O65" s="5">
        <f>IF(AND($A65&gt;=DATE(2022,1,1),$A65&lt;=DATE(2022,10,31)),$M65,"")</f>
        <v/>
      </c>
      <c r="P65" s="5">
        <f>IF(AND($A65&gt;=DATE(2018,10,1),$A65&lt;=DATE(2018,12,31)),$M65,"")</f>
        <v/>
      </c>
      <c r="Q65" s="5">
        <f>SUMPRODUCT(Exposures!$B$8:$K$8,B65:K65)</f>
        <v/>
      </c>
      <c r="R65" s="5">
        <f>SUMPRODUCT(Exposures!$B$9:$K$9,B65:K65)</f>
        <v/>
      </c>
      <c r="S65" s="5">
        <f>SUMPRODUCT(Exposures!$B$10:$K$10,B65:K65)</f>
        <v/>
      </c>
    </row>
    <row r="66">
      <c r="A66" s="1" t="n">
        <v>42552</v>
      </c>
      <c r="B66" s="5" t="n">
        <v>-0.0008826089861023755</v>
      </c>
      <c r="C66" s="5" t="n">
        <v>-0.0005674201986201084</v>
      </c>
      <c r="D66" s="5" t="n">
        <v>-0.002274925317580133</v>
      </c>
      <c r="E66" s="5" t="n">
        <v>-0.001994276668534322</v>
      </c>
      <c r="F66" s="5" t="n">
        <v>0.003849786482975158</v>
      </c>
      <c r="G66" s="5" t="n">
        <v>0.005804717033979219</v>
      </c>
      <c r="H66" s="5" t="n">
        <v>-0.00173210353521419</v>
      </c>
      <c r="I66" s="5" t="n">
        <v>-0.001990548704440034</v>
      </c>
      <c r="J66" s="5" t="n">
        <v>0.009651577200178346</v>
      </c>
      <c r="K66" s="5" t="n">
        <v>0.0004559711583633448</v>
      </c>
      <c r="L66" s="5" t="n">
        <v>-0.001282483795734339</v>
      </c>
      <c r="M66" s="5">
        <f>SUMPRODUCT(Exposures!$B$6:$K$6,B66:K66)</f>
        <v/>
      </c>
      <c r="N66" s="5">
        <f>IF(AND($A66&gt;=DATE(2020,2,1),$A66&lt;=DATE(2020,5,31)),$M66,"")</f>
        <v/>
      </c>
      <c r="O66" s="5">
        <f>IF(AND($A66&gt;=DATE(2022,1,1),$A66&lt;=DATE(2022,10,31)),$M66,"")</f>
        <v/>
      </c>
      <c r="P66" s="5">
        <f>IF(AND($A66&gt;=DATE(2018,10,1),$A66&lt;=DATE(2018,12,31)),$M66,"")</f>
        <v/>
      </c>
      <c r="Q66" s="5">
        <f>SUMPRODUCT(Exposures!$B$8:$K$8,B66:K66)</f>
        <v/>
      </c>
      <c r="R66" s="5">
        <f>SUMPRODUCT(Exposures!$B$9:$K$9,B66:K66)</f>
        <v/>
      </c>
      <c r="S66" s="5">
        <f>SUMPRODUCT(Exposures!$B$10:$K$10,B66:K66)</f>
        <v/>
      </c>
    </row>
    <row r="67">
      <c r="A67" s="1" t="n">
        <v>42556</v>
      </c>
      <c r="B67" s="5" t="n">
        <v>-0.008684052070142426</v>
      </c>
      <c r="C67" s="5" t="n">
        <v>0.001601527810209222</v>
      </c>
      <c r="D67" s="5" t="n">
        <v>-0.0004266956377851319</v>
      </c>
      <c r="E67" s="5" t="n">
        <v>-0.001821458382846217</v>
      </c>
      <c r="F67" s="5" t="n">
        <v>0.007184168324435022</v>
      </c>
      <c r="G67" s="5" t="n">
        <v>-0.01666240532426437</v>
      </c>
      <c r="H67" s="5" t="n">
        <v>0.003804958560187614</v>
      </c>
      <c r="I67" s="5" t="n">
        <v>0.003568815552665892</v>
      </c>
      <c r="J67" s="5" t="n">
        <v>-0.005837252675409594</v>
      </c>
      <c r="K67" s="5" t="n">
        <v>-0.006092145592071012</v>
      </c>
      <c r="L67" s="5" t="n">
        <v>-0.003872826658683408</v>
      </c>
      <c r="M67" s="5">
        <f>SUMPRODUCT(Exposures!$B$6:$K$6,B67:K67)</f>
        <v/>
      </c>
      <c r="N67" s="5">
        <f>IF(AND($A67&gt;=DATE(2020,2,1),$A67&lt;=DATE(2020,5,31)),$M67,"")</f>
        <v/>
      </c>
      <c r="O67" s="5">
        <f>IF(AND($A67&gt;=DATE(2022,1,1),$A67&lt;=DATE(2022,10,31)),$M67,"")</f>
        <v/>
      </c>
      <c r="P67" s="5">
        <f>IF(AND($A67&gt;=DATE(2018,10,1),$A67&lt;=DATE(2018,12,31)),$M67,"")</f>
        <v/>
      </c>
      <c r="Q67" s="5">
        <f>SUMPRODUCT(Exposures!$B$8:$K$8,B67:K67)</f>
        <v/>
      </c>
      <c r="R67" s="5">
        <f>SUMPRODUCT(Exposures!$B$9:$K$9,B67:K67)</f>
        <v/>
      </c>
      <c r="S67" s="5">
        <f>SUMPRODUCT(Exposures!$B$10:$K$10,B67:K67)</f>
        <v/>
      </c>
    </row>
    <row r="68">
      <c r="A68" s="1" t="n">
        <v>42557</v>
      </c>
      <c r="B68" s="5" t="n">
        <v>-8.299931069619549e-05</v>
      </c>
      <c r="C68" s="5" t="n">
        <v>-0.0008183023602286824</v>
      </c>
      <c r="D68" s="5" t="n">
        <v>-0.0005203923515691522</v>
      </c>
      <c r="E68" s="5" t="n">
        <v>-0.002773483732351733</v>
      </c>
      <c r="F68" s="5" t="n">
        <v>-0.0006861814452799464</v>
      </c>
      <c r="G68" s="5" t="n">
        <v>0.004948009516544275</v>
      </c>
      <c r="H68" s="5" t="n">
        <v>0.0005444192314565055</v>
      </c>
      <c r="I68" s="5" t="n">
        <v>0.000224948482783737</v>
      </c>
      <c r="J68" s="5" t="n">
        <v>0.001707669645071162</v>
      </c>
      <c r="K68" s="5" t="n">
        <v>0.00276061699286222</v>
      </c>
      <c r="L68" s="5" t="n">
        <v>0.002263127279960906</v>
      </c>
      <c r="M68" s="5">
        <f>SUMPRODUCT(Exposures!$B$6:$K$6,B68:K68)</f>
        <v/>
      </c>
      <c r="N68" s="5">
        <f>IF(AND($A68&gt;=DATE(2020,2,1),$A68&lt;=DATE(2020,5,31)),$M68,"")</f>
        <v/>
      </c>
      <c r="O68" s="5">
        <f>IF(AND($A68&gt;=DATE(2022,1,1),$A68&lt;=DATE(2022,10,31)),$M68,"")</f>
        <v/>
      </c>
      <c r="P68" s="5">
        <f>IF(AND($A68&gt;=DATE(2018,10,1),$A68&lt;=DATE(2018,12,31)),$M68,"")</f>
        <v/>
      </c>
      <c r="Q68" s="5">
        <f>SUMPRODUCT(Exposures!$B$8:$K$8,B68:K68)</f>
        <v/>
      </c>
      <c r="R68" s="5">
        <f>SUMPRODUCT(Exposures!$B$9:$K$9,B68:K68)</f>
        <v/>
      </c>
      <c r="S68" s="5">
        <f>SUMPRODUCT(Exposures!$B$10:$K$10,B68:K68)</f>
        <v/>
      </c>
    </row>
    <row r="69">
      <c r="A69" s="1" t="n">
        <v>42558</v>
      </c>
      <c r="B69" s="5" t="n">
        <v>0.007112895555781183</v>
      </c>
      <c r="C69" s="5" t="n">
        <v>0.002669628298382969</v>
      </c>
      <c r="D69" s="5" t="n">
        <v>0.001348429314259837</v>
      </c>
      <c r="E69" s="5" t="n">
        <v>0.002630657300877183</v>
      </c>
      <c r="F69" s="5" t="n">
        <v>-0.003860394278164578</v>
      </c>
      <c r="G69" s="5" t="n">
        <v>0.004598165692195319</v>
      </c>
      <c r="H69" s="5" t="n">
        <v>-0.001847215187849671</v>
      </c>
      <c r="I69" s="5" t="n">
        <v>0.001078517303524606</v>
      </c>
      <c r="J69" s="5" t="n">
        <v>0.003672491221924605</v>
      </c>
      <c r="K69" s="5" t="n">
        <v>0.001006653954824818</v>
      </c>
      <c r="L69" s="5" t="n">
        <v>-0.002603948783716523</v>
      </c>
      <c r="M69" s="5">
        <f>SUMPRODUCT(Exposures!$B$6:$K$6,B69:K69)</f>
        <v/>
      </c>
      <c r="N69" s="5">
        <f>IF(AND($A69&gt;=DATE(2020,2,1),$A69&lt;=DATE(2020,5,31)),$M69,"")</f>
        <v/>
      </c>
      <c r="O69" s="5">
        <f>IF(AND($A69&gt;=DATE(2022,1,1),$A69&lt;=DATE(2022,10,31)),$M69,"")</f>
        <v/>
      </c>
      <c r="P69" s="5">
        <f>IF(AND($A69&gt;=DATE(2018,10,1),$A69&lt;=DATE(2018,12,31)),$M69,"")</f>
        <v/>
      </c>
      <c r="Q69" s="5">
        <f>SUMPRODUCT(Exposures!$B$8:$K$8,B69:K69)</f>
        <v/>
      </c>
      <c r="R69" s="5">
        <f>SUMPRODUCT(Exposures!$B$9:$K$9,B69:K69)</f>
        <v/>
      </c>
      <c r="S69" s="5">
        <f>SUMPRODUCT(Exposures!$B$10:$K$10,B69:K69)</f>
        <v/>
      </c>
    </row>
    <row r="70">
      <c r="A70" s="1" t="n">
        <v>42559</v>
      </c>
      <c r="B70" s="5" t="n">
        <v>0.006722968082852616</v>
      </c>
      <c r="C70" s="5" t="n">
        <v>0.0002198140522321594</v>
      </c>
      <c r="D70" s="5" t="n">
        <v>-0.001301295089972939</v>
      </c>
      <c r="E70" s="5" t="n">
        <v>0.001256338861067787</v>
      </c>
      <c r="F70" s="5" t="n">
        <v>-0.001605169084749284</v>
      </c>
      <c r="G70" s="5" t="n">
        <v>0.02262938690918788</v>
      </c>
      <c r="H70" s="5" t="n">
        <v>-0.001942784538314939</v>
      </c>
      <c r="I70" s="5" t="n">
        <v>-0.001292494153697558</v>
      </c>
      <c r="J70" s="5" t="n">
        <v>0.001935396922686508</v>
      </c>
      <c r="K70" s="5" t="n">
        <v>-0.00168206668361761</v>
      </c>
      <c r="L70" s="5" t="n">
        <v>-0.0004957437381046031</v>
      </c>
      <c r="M70" s="5">
        <f>SUMPRODUCT(Exposures!$B$6:$K$6,B70:K70)</f>
        <v/>
      </c>
      <c r="N70" s="5">
        <f>IF(AND($A70&gt;=DATE(2020,2,1),$A70&lt;=DATE(2020,5,31)),$M70,"")</f>
        <v/>
      </c>
      <c r="O70" s="5">
        <f>IF(AND($A70&gt;=DATE(2022,1,1),$A70&lt;=DATE(2022,10,31)),$M70,"")</f>
        <v/>
      </c>
      <c r="P70" s="5">
        <f>IF(AND($A70&gt;=DATE(2018,10,1),$A70&lt;=DATE(2018,12,31)),$M70,"")</f>
        <v/>
      </c>
      <c r="Q70" s="5">
        <f>SUMPRODUCT(Exposures!$B$8:$K$8,B70:K70)</f>
        <v/>
      </c>
      <c r="R70" s="5">
        <f>SUMPRODUCT(Exposures!$B$9:$K$9,B70:K70)</f>
        <v/>
      </c>
      <c r="S70" s="5">
        <f>SUMPRODUCT(Exposures!$B$10:$K$10,B70:K70)</f>
        <v/>
      </c>
    </row>
    <row r="71">
      <c r="A71" s="1" t="n">
        <v>42562</v>
      </c>
      <c r="B71" s="5" t="n">
        <v>0.002304629988038476</v>
      </c>
      <c r="C71" s="5" t="n">
        <v>0.001662829481796535</v>
      </c>
      <c r="D71" s="5" t="n">
        <v>0.001205121374504051</v>
      </c>
      <c r="E71" s="5" t="n">
        <v>0.00247862258419326</v>
      </c>
      <c r="F71" s="5" t="n">
        <v>-0.002065122343639998</v>
      </c>
      <c r="G71" s="5" t="n">
        <v>0.007635165405722795</v>
      </c>
      <c r="H71" s="5" t="n">
        <v>-0.0002516913725371621</v>
      </c>
      <c r="I71" s="5" t="n">
        <v>0.00122368738211703</v>
      </c>
      <c r="J71" s="5" t="n">
        <v>0.002100775048973868</v>
      </c>
      <c r="K71" s="5" t="n">
        <v>-0.0005655777898404062</v>
      </c>
      <c r="L71" s="5" t="n">
        <v>0.0012701782351554</v>
      </c>
      <c r="M71" s="5">
        <f>SUMPRODUCT(Exposures!$B$6:$K$6,B71:K71)</f>
        <v/>
      </c>
      <c r="N71" s="5">
        <f>IF(AND($A71&gt;=DATE(2020,2,1),$A71&lt;=DATE(2020,5,31)),$M71,"")</f>
        <v/>
      </c>
      <c r="O71" s="5">
        <f>IF(AND($A71&gt;=DATE(2022,1,1),$A71&lt;=DATE(2022,10,31)),$M71,"")</f>
        <v/>
      </c>
      <c r="P71" s="5">
        <f>IF(AND($A71&gt;=DATE(2018,10,1),$A71&lt;=DATE(2018,12,31)),$M71,"")</f>
        <v/>
      </c>
      <c r="Q71" s="5">
        <f>SUMPRODUCT(Exposures!$B$8:$K$8,B71:K71)</f>
        <v/>
      </c>
      <c r="R71" s="5">
        <f>SUMPRODUCT(Exposures!$B$9:$K$9,B71:K71)</f>
        <v/>
      </c>
      <c r="S71" s="5">
        <f>SUMPRODUCT(Exposures!$B$10:$K$10,B71:K71)</f>
        <v/>
      </c>
    </row>
    <row r="72">
      <c r="A72" s="1" t="n">
        <v>42563</v>
      </c>
      <c r="B72" s="5" t="n">
        <v>0.008342798591209266</v>
      </c>
      <c r="C72" s="5" t="n">
        <v>0.0009291398259437737</v>
      </c>
      <c r="D72" s="5" t="n">
        <v>0.0005609647922950588</v>
      </c>
      <c r="E72" s="5" t="n">
        <v>0.001673291003859747</v>
      </c>
      <c r="F72" s="5" t="n">
        <v>-0.0007665300981415449</v>
      </c>
      <c r="G72" s="5" t="n">
        <v>0.01178582401445295</v>
      </c>
      <c r="H72" s="5" t="n">
        <v>-0.004114107657483638</v>
      </c>
      <c r="I72" s="5" t="n">
        <v>-0.0008974563870404587</v>
      </c>
      <c r="J72" s="5" t="n">
        <v>3.884128661439668e-05</v>
      </c>
      <c r="K72" s="5" t="n">
        <v>-0.001739167071539668</v>
      </c>
      <c r="L72" s="5" t="n">
        <v>6.323478344174964e-05</v>
      </c>
      <c r="M72" s="5">
        <f>SUMPRODUCT(Exposures!$B$6:$K$6,B72:K72)</f>
        <v/>
      </c>
      <c r="N72" s="5">
        <f>IF(AND($A72&gt;=DATE(2020,2,1),$A72&lt;=DATE(2020,5,31)),$M72,"")</f>
        <v/>
      </c>
      <c r="O72" s="5">
        <f>IF(AND($A72&gt;=DATE(2022,1,1),$A72&lt;=DATE(2022,10,31)),$M72,"")</f>
        <v/>
      </c>
      <c r="P72" s="5">
        <f>IF(AND($A72&gt;=DATE(2018,10,1),$A72&lt;=DATE(2018,12,31)),$M72,"")</f>
        <v/>
      </c>
      <c r="Q72" s="5">
        <f>SUMPRODUCT(Exposures!$B$8:$K$8,B72:K72)</f>
        <v/>
      </c>
      <c r="R72" s="5">
        <f>SUMPRODUCT(Exposures!$B$9:$K$9,B72:K72)</f>
        <v/>
      </c>
      <c r="S72" s="5">
        <f>SUMPRODUCT(Exposures!$B$10:$K$10,B72:K72)</f>
        <v/>
      </c>
    </row>
    <row r="73">
      <c r="A73" s="1" t="n">
        <v>42564</v>
      </c>
      <c r="B73" s="5" t="n">
        <v>-0.005628020781413759</v>
      </c>
      <c r="C73" s="5" t="n">
        <v>0.0005044898235988134</v>
      </c>
      <c r="D73" s="5" t="n">
        <v>-0.003697552107617706</v>
      </c>
      <c r="E73" s="5" t="n">
        <v>-0.0009548628653668302</v>
      </c>
      <c r="F73" s="5" t="n">
        <v>-0.0005191857433782098</v>
      </c>
      <c r="G73" s="5" t="n">
        <v>-0.00095470240867163</v>
      </c>
      <c r="H73" s="5" t="n">
        <v>-0.0004245903813177789</v>
      </c>
      <c r="I73" s="5" t="n">
        <v>-0.00214802692692313</v>
      </c>
      <c r="J73" s="5" t="n">
        <v>0.0005423809367703539</v>
      </c>
      <c r="K73" s="5" t="n">
        <v>0.002981358225789472</v>
      </c>
      <c r="L73" s="5" t="n">
        <v>0.001552980715592905</v>
      </c>
      <c r="M73" s="5">
        <f>SUMPRODUCT(Exposures!$B$6:$K$6,B73:K73)</f>
        <v/>
      </c>
      <c r="N73" s="5">
        <f>IF(AND($A73&gt;=DATE(2020,2,1),$A73&lt;=DATE(2020,5,31)),$M73,"")</f>
        <v/>
      </c>
      <c r="O73" s="5">
        <f>IF(AND($A73&gt;=DATE(2022,1,1),$A73&lt;=DATE(2022,10,31)),$M73,"")</f>
        <v/>
      </c>
      <c r="P73" s="5">
        <f>IF(AND($A73&gt;=DATE(2018,10,1),$A73&lt;=DATE(2018,12,31)),$M73,"")</f>
        <v/>
      </c>
      <c r="Q73" s="5">
        <f>SUMPRODUCT(Exposures!$B$8:$K$8,B73:K73)</f>
        <v/>
      </c>
      <c r="R73" s="5">
        <f>SUMPRODUCT(Exposures!$B$9:$K$9,B73:K73)</f>
        <v/>
      </c>
      <c r="S73" s="5">
        <f>SUMPRODUCT(Exposures!$B$10:$K$10,B73:K73)</f>
        <v/>
      </c>
    </row>
    <row r="74">
      <c r="A74" s="1" t="n">
        <v>42565</v>
      </c>
      <c r="B74" s="5" t="n">
        <v>0.004447279162939161</v>
      </c>
      <c r="C74" s="5" t="n">
        <v>0.001563579385902339</v>
      </c>
      <c r="D74" s="5" t="n">
        <v>-4.71832340941139e-05</v>
      </c>
      <c r="E74" s="5" t="n">
        <v>0.0006383564580327597</v>
      </c>
      <c r="F74" s="5" t="n">
        <v>0.004721540575086458</v>
      </c>
      <c r="G74" s="5" t="n">
        <v>0.004127534139197858</v>
      </c>
      <c r="H74" s="5" t="n">
        <v>-0.002943024592830162</v>
      </c>
      <c r="I74" s="5" t="n">
        <v>-0.0009667665506926655</v>
      </c>
      <c r="J74" s="5" t="n">
        <v>-0.0009990783480272715</v>
      </c>
      <c r="K74" s="5" t="n">
        <v>-0.002036034554747769</v>
      </c>
      <c r="L74" s="5" t="n">
        <v>0.000667087279389762</v>
      </c>
      <c r="M74" s="5">
        <f>SUMPRODUCT(Exposures!$B$6:$K$6,B74:K74)</f>
        <v/>
      </c>
      <c r="N74" s="5">
        <f>IF(AND($A74&gt;=DATE(2020,2,1),$A74&lt;=DATE(2020,5,31)),$M74,"")</f>
        <v/>
      </c>
      <c r="O74" s="5">
        <f>IF(AND($A74&gt;=DATE(2022,1,1),$A74&lt;=DATE(2022,10,31)),$M74,"")</f>
        <v/>
      </c>
      <c r="P74" s="5">
        <f>IF(AND($A74&gt;=DATE(2018,10,1),$A74&lt;=DATE(2018,12,31)),$M74,"")</f>
        <v/>
      </c>
      <c r="Q74" s="5">
        <f>SUMPRODUCT(Exposures!$B$8:$K$8,B74:K74)</f>
        <v/>
      </c>
      <c r="R74" s="5">
        <f>SUMPRODUCT(Exposures!$B$9:$K$9,B74:K74)</f>
        <v/>
      </c>
      <c r="S74" s="5">
        <f>SUMPRODUCT(Exposures!$B$10:$K$10,B74:K74)</f>
        <v/>
      </c>
    </row>
    <row r="75">
      <c r="A75" s="1" t="n">
        <v>42566</v>
      </c>
      <c r="B75" s="5" t="n">
        <v>0.0005861324919273145</v>
      </c>
      <c r="C75" s="5" t="n">
        <v>-0.0007313938717083291</v>
      </c>
      <c r="D75" s="5" t="n">
        <v>-0.0007078048346708908</v>
      </c>
      <c r="E75" s="5" t="n">
        <v>0.0006401912740981706</v>
      </c>
      <c r="F75" s="5" t="n">
        <v>-0.004289023166424643</v>
      </c>
      <c r="G75" s="5" t="n">
        <v>0.002411057117315518</v>
      </c>
      <c r="H75" s="5" t="n">
        <v>-0.001784589411868139</v>
      </c>
      <c r="I75" s="5" t="n">
        <v>0.0003975080641369057</v>
      </c>
      <c r="J75" s="5" t="n">
        <v>0.002813254445239242</v>
      </c>
      <c r="K75" s="5" t="n">
        <v>0.003252727145820386</v>
      </c>
      <c r="L75" s="5" t="n">
        <v>-0.00061699228545789</v>
      </c>
      <c r="M75" s="5">
        <f>SUMPRODUCT(Exposures!$B$6:$K$6,B75:K75)</f>
        <v/>
      </c>
      <c r="N75" s="5">
        <f>IF(AND($A75&gt;=DATE(2020,2,1),$A75&lt;=DATE(2020,5,31)),$M75,"")</f>
        <v/>
      </c>
      <c r="O75" s="5">
        <f>IF(AND($A75&gt;=DATE(2022,1,1),$A75&lt;=DATE(2022,10,31)),$M75,"")</f>
        <v/>
      </c>
      <c r="P75" s="5">
        <f>IF(AND($A75&gt;=DATE(2018,10,1),$A75&lt;=DATE(2018,12,31)),$M75,"")</f>
        <v/>
      </c>
      <c r="Q75" s="5">
        <f>SUMPRODUCT(Exposures!$B$8:$K$8,B75:K75)</f>
        <v/>
      </c>
      <c r="R75" s="5">
        <f>SUMPRODUCT(Exposures!$B$9:$K$9,B75:K75)</f>
        <v/>
      </c>
      <c r="S75" s="5">
        <f>SUMPRODUCT(Exposures!$B$10:$K$10,B75:K75)</f>
        <v/>
      </c>
    </row>
    <row r="76">
      <c r="A76" s="1" t="n">
        <v>42569</v>
      </c>
      <c r="B76" s="5" t="n">
        <v>0.002067665308945785</v>
      </c>
      <c r="C76" s="5" t="n">
        <v>0.0009561263239724626</v>
      </c>
      <c r="D76" s="5" t="n">
        <v>0.002046195798864585</v>
      </c>
      <c r="E76" s="5" t="n">
        <v>-7.639222335331208e-05</v>
      </c>
      <c r="F76" s="5" t="n">
        <v>0.0007739867434658522</v>
      </c>
      <c r="G76" s="5" t="n">
        <v>0.00388816337272077</v>
      </c>
      <c r="H76" s="5" t="n">
        <v>0.001465896877320576</v>
      </c>
      <c r="I76" s="5" t="n">
        <v>-0.0004554799813439142</v>
      </c>
      <c r="J76" s="5" t="n">
        <v>0.00417991767661864</v>
      </c>
      <c r="K76" s="5" t="n">
        <v>0.001019435407980885</v>
      </c>
      <c r="L76" s="5" t="n">
        <v>0.00159815136436633</v>
      </c>
      <c r="M76" s="5">
        <f>SUMPRODUCT(Exposures!$B$6:$K$6,B76:K76)</f>
        <v/>
      </c>
      <c r="N76" s="5">
        <f>IF(AND($A76&gt;=DATE(2020,2,1),$A76&lt;=DATE(2020,5,31)),$M76,"")</f>
        <v/>
      </c>
      <c r="O76" s="5">
        <f>IF(AND($A76&gt;=DATE(2022,1,1),$A76&lt;=DATE(2022,10,31)),$M76,"")</f>
        <v/>
      </c>
      <c r="P76" s="5">
        <f>IF(AND($A76&gt;=DATE(2018,10,1),$A76&lt;=DATE(2018,12,31)),$M76,"")</f>
        <v/>
      </c>
      <c r="Q76" s="5">
        <f>SUMPRODUCT(Exposures!$B$8:$K$8,B76:K76)</f>
        <v/>
      </c>
      <c r="R76" s="5">
        <f>SUMPRODUCT(Exposures!$B$9:$K$9,B76:K76)</f>
        <v/>
      </c>
      <c r="S76" s="5">
        <f>SUMPRODUCT(Exposures!$B$10:$K$10,B76:K76)</f>
        <v/>
      </c>
    </row>
    <row r="77">
      <c r="A77" s="1" t="n">
        <v>42570</v>
      </c>
      <c r="B77" s="5" t="n">
        <v>-0.001005668717185961</v>
      </c>
      <c r="C77" s="5" t="n">
        <v>0.0001897982741637408</v>
      </c>
      <c r="D77" s="5" t="n">
        <v>1.156368864576714e-05</v>
      </c>
      <c r="E77" s="5" t="n">
        <v>-4.701512879674928e-05</v>
      </c>
      <c r="F77" s="5" t="n">
        <v>-0.0009976950364883577</v>
      </c>
      <c r="G77" s="5" t="n">
        <v>-0.002801335400765463</v>
      </c>
      <c r="H77" s="5" t="n">
        <v>0.001751854927773079</v>
      </c>
      <c r="I77" s="5" t="n">
        <v>0.0007332068414772151</v>
      </c>
      <c r="J77" s="5" t="n">
        <v>-0.004350200763754304</v>
      </c>
      <c r="K77" s="5" t="n">
        <v>-0.0005277182830875048</v>
      </c>
      <c r="L77" s="5" t="n">
        <v>0.0004642762622353525</v>
      </c>
      <c r="M77" s="5">
        <f>SUMPRODUCT(Exposures!$B$6:$K$6,B77:K77)</f>
        <v/>
      </c>
      <c r="N77" s="5">
        <f>IF(AND($A77&gt;=DATE(2020,2,1),$A77&lt;=DATE(2020,5,31)),$M77,"")</f>
        <v/>
      </c>
      <c r="O77" s="5">
        <f>IF(AND($A77&gt;=DATE(2022,1,1),$A77&lt;=DATE(2022,10,31)),$M77,"")</f>
        <v/>
      </c>
      <c r="P77" s="5">
        <f>IF(AND($A77&gt;=DATE(2018,10,1),$A77&lt;=DATE(2018,12,31)),$M77,"")</f>
        <v/>
      </c>
      <c r="Q77" s="5">
        <f>SUMPRODUCT(Exposures!$B$8:$K$8,B77:K77)</f>
        <v/>
      </c>
      <c r="R77" s="5">
        <f>SUMPRODUCT(Exposures!$B$9:$K$9,B77:K77)</f>
        <v/>
      </c>
      <c r="S77" s="5">
        <f>SUMPRODUCT(Exposures!$B$10:$K$10,B77:K77)</f>
        <v/>
      </c>
    </row>
    <row r="78">
      <c r="A78" s="1" t="n">
        <v>42571</v>
      </c>
      <c r="B78" s="5" t="n">
        <v>0.005615460541563731</v>
      </c>
      <c r="C78" s="5" t="n">
        <v>-8.675408186427781e-05</v>
      </c>
      <c r="D78" s="5" t="n">
        <v>0.001600602266047252</v>
      </c>
      <c r="E78" s="5" t="n">
        <v>-0.001447880313925132</v>
      </c>
      <c r="F78" s="5" t="n">
        <v>0.002421835116796532</v>
      </c>
      <c r="G78" s="5" t="n">
        <v>0.007311478495533244</v>
      </c>
      <c r="H78" s="5" t="n">
        <v>-0.002519655349545872</v>
      </c>
      <c r="I78" s="5" t="n">
        <v>0.001575930750508853</v>
      </c>
      <c r="J78" s="5" t="n">
        <v>-7.870097438657849e-05</v>
      </c>
      <c r="K78" s="5" t="n">
        <v>-0.004297303958133827</v>
      </c>
      <c r="L78" s="5" t="n">
        <v>-0.001379723463504892</v>
      </c>
      <c r="M78" s="5">
        <f>SUMPRODUCT(Exposures!$B$6:$K$6,B78:K78)</f>
        <v/>
      </c>
      <c r="N78" s="5">
        <f>IF(AND($A78&gt;=DATE(2020,2,1),$A78&lt;=DATE(2020,5,31)),$M78,"")</f>
        <v/>
      </c>
      <c r="O78" s="5">
        <f>IF(AND($A78&gt;=DATE(2022,1,1),$A78&lt;=DATE(2022,10,31)),$M78,"")</f>
        <v/>
      </c>
      <c r="P78" s="5">
        <f>IF(AND($A78&gt;=DATE(2018,10,1),$A78&lt;=DATE(2018,12,31)),$M78,"")</f>
        <v/>
      </c>
      <c r="Q78" s="5">
        <f>SUMPRODUCT(Exposures!$B$8:$K$8,B78:K78)</f>
        <v/>
      </c>
      <c r="R78" s="5">
        <f>SUMPRODUCT(Exposures!$B$9:$K$9,B78:K78)</f>
        <v/>
      </c>
      <c r="S78" s="5">
        <f>SUMPRODUCT(Exposures!$B$10:$K$10,B78:K78)</f>
        <v/>
      </c>
    </row>
    <row r="79">
      <c r="A79" s="1" t="n">
        <v>42572</v>
      </c>
      <c r="B79" s="5" t="n">
        <v>-0.004466396703842154</v>
      </c>
      <c r="C79" s="5" t="n">
        <v>-0.001446335854353047</v>
      </c>
      <c r="D79" s="5" t="n">
        <v>-0.002996981919690213</v>
      </c>
      <c r="E79" s="5" t="n">
        <v>-0.0005274308457372079</v>
      </c>
      <c r="F79" s="5" t="n">
        <v>0.003076622783506793</v>
      </c>
      <c r="G79" s="5" t="n">
        <v>-0.002557221847320483</v>
      </c>
      <c r="H79" s="5" t="n">
        <v>-0.004925955662187824</v>
      </c>
      <c r="I79" s="5" t="n">
        <v>-0.001206700269626744</v>
      </c>
      <c r="J79" s="5" t="n">
        <v>0.003354568649140199</v>
      </c>
      <c r="K79" s="5" t="n">
        <v>0.002188963386808048</v>
      </c>
      <c r="L79" s="5" t="n">
        <v>0.0005284443626802171</v>
      </c>
      <c r="M79" s="5">
        <f>SUMPRODUCT(Exposures!$B$6:$K$6,B79:K79)</f>
        <v/>
      </c>
      <c r="N79" s="5">
        <f>IF(AND($A79&gt;=DATE(2020,2,1),$A79&lt;=DATE(2020,5,31)),$M79,"")</f>
        <v/>
      </c>
      <c r="O79" s="5">
        <f>IF(AND($A79&gt;=DATE(2022,1,1),$A79&lt;=DATE(2022,10,31)),$M79,"")</f>
        <v/>
      </c>
      <c r="P79" s="5">
        <f>IF(AND($A79&gt;=DATE(2018,10,1),$A79&lt;=DATE(2018,12,31)),$M79,"")</f>
        <v/>
      </c>
      <c r="Q79" s="5">
        <f>SUMPRODUCT(Exposures!$B$8:$K$8,B79:K79)</f>
        <v/>
      </c>
      <c r="R79" s="5">
        <f>SUMPRODUCT(Exposures!$B$9:$K$9,B79:K79)</f>
        <v/>
      </c>
      <c r="S79" s="5">
        <f>SUMPRODUCT(Exposures!$B$10:$K$10,B79:K79)</f>
        <v/>
      </c>
    </row>
    <row r="80">
      <c r="A80" s="1" t="n">
        <v>42573</v>
      </c>
      <c r="B80" s="5" t="n">
        <v>0.0005082403694209828</v>
      </c>
      <c r="C80" s="5" t="n">
        <v>-0.003724630146709523</v>
      </c>
      <c r="D80" s="5" t="n">
        <v>-0.00012892512489699</v>
      </c>
      <c r="E80" s="5" t="n">
        <v>-0.0003001783051464156</v>
      </c>
      <c r="F80" s="5" t="n">
        <v>0.002297445463939497</v>
      </c>
      <c r="G80" s="5" t="n">
        <v>0.00806604365375135</v>
      </c>
      <c r="H80" s="5" t="n">
        <v>0.003174121240244511</v>
      </c>
      <c r="I80" s="5" t="n">
        <v>0.0004794993095505954</v>
      </c>
      <c r="J80" s="5" t="n">
        <v>0.001696330004657012</v>
      </c>
      <c r="K80" s="5" t="n">
        <v>-0.00288783650575852</v>
      </c>
      <c r="L80" s="5" t="n">
        <v>-0.0006337810910086619</v>
      </c>
      <c r="M80" s="5">
        <f>SUMPRODUCT(Exposures!$B$6:$K$6,B80:K80)</f>
        <v/>
      </c>
      <c r="N80" s="5">
        <f>IF(AND($A80&gt;=DATE(2020,2,1),$A80&lt;=DATE(2020,5,31)),$M80,"")</f>
        <v/>
      </c>
      <c r="O80" s="5">
        <f>IF(AND($A80&gt;=DATE(2022,1,1),$A80&lt;=DATE(2022,10,31)),$M80,"")</f>
        <v/>
      </c>
      <c r="P80" s="5">
        <f>IF(AND($A80&gt;=DATE(2018,10,1),$A80&lt;=DATE(2018,12,31)),$M80,"")</f>
        <v/>
      </c>
      <c r="Q80" s="5">
        <f>SUMPRODUCT(Exposures!$B$8:$K$8,B80:K80)</f>
        <v/>
      </c>
      <c r="R80" s="5">
        <f>SUMPRODUCT(Exposures!$B$9:$K$9,B80:K80)</f>
        <v/>
      </c>
      <c r="S80" s="5">
        <f>SUMPRODUCT(Exposures!$B$10:$K$10,B80:K80)</f>
        <v/>
      </c>
    </row>
    <row r="81">
      <c r="A81" s="1" t="n">
        <v>42576</v>
      </c>
      <c r="B81" s="5" t="n">
        <v>0.004072056806314371</v>
      </c>
      <c r="C81" s="5" t="n">
        <v>0.0009763993543288286</v>
      </c>
      <c r="D81" s="5" t="n">
        <v>0.0008320449108866943</v>
      </c>
      <c r="E81" s="5" t="n">
        <v>0.0005019694928106301</v>
      </c>
      <c r="F81" s="5" t="n">
        <v>0.0003366523682597263</v>
      </c>
      <c r="G81" s="5" t="n">
        <v>-0.001448826843353056</v>
      </c>
      <c r="H81" s="5" t="n">
        <v>0.003760728054192338</v>
      </c>
      <c r="I81" s="5" t="n">
        <v>-0.001170259459181147</v>
      </c>
      <c r="J81" s="5" t="n">
        <v>0.0002985417898444015</v>
      </c>
      <c r="K81" s="5" t="n">
        <v>-0.002521402053993311</v>
      </c>
      <c r="L81" s="5" t="n">
        <v>-0.002420816258750734</v>
      </c>
      <c r="M81" s="5">
        <f>SUMPRODUCT(Exposures!$B$6:$K$6,B81:K81)</f>
        <v/>
      </c>
      <c r="N81" s="5">
        <f>IF(AND($A81&gt;=DATE(2020,2,1),$A81&lt;=DATE(2020,5,31)),$M81,"")</f>
        <v/>
      </c>
      <c r="O81" s="5">
        <f>IF(AND($A81&gt;=DATE(2022,1,1),$A81&lt;=DATE(2022,10,31)),$M81,"")</f>
        <v/>
      </c>
      <c r="P81" s="5">
        <f>IF(AND($A81&gt;=DATE(2018,10,1),$A81&lt;=DATE(2018,12,31)),$M81,"")</f>
        <v/>
      </c>
      <c r="Q81" s="5">
        <f>SUMPRODUCT(Exposures!$B$8:$K$8,B81:K81)</f>
        <v/>
      </c>
      <c r="R81" s="5">
        <f>SUMPRODUCT(Exposures!$B$9:$K$9,B81:K81)</f>
        <v/>
      </c>
      <c r="S81" s="5">
        <f>SUMPRODUCT(Exposures!$B$10:$K$10,B81:K81)</f>
        <v/>
      </c>
    </row>
    <row r="82">
      <c r="A82" s="1" t="n">
        <v>42577</v>
      </c>
      <c r="B82" s="5" t="n">
        <v>0.005158246219144253</v>
      </c>
      <c r="C82" s="5" t="n">
        <v>0.0005830387780944</v>
      </c>
      <c r="D82" s="5" t="n">
        <v>-0.001360237753722139</v>
      </c>
      <c r="E82" s="5" t="n">
        <v>-0.0006920143819795456</v>
      </c>
      <c r="F82" s="5" t="n">
        <v>-0.004093417739644927</v>
      </c>
      <c r="G82" s="5" t="n">
        <v>0.006974823813576456</v>
      </c>
      <c r="H82" s="5" t="n">
        <v>8.849881292876359e-08</v>
      </c>
      <c r="I82" s="5" t="n">
        <v>-0.001368045438948716</v>
      </c>
      <c r="J82" s="5" t="n">
        <v>0.006416373147009534</v>
      </c>
      <c r="K82" s="5" t="n">
        <v>0.003071249524988299</v>
      </c>
      <c r="L82" s="5" t="n">
        <v>0.002046239172926598</v>
      </c>
      <c r="M82" s="5">
        <f>SUMPRODUCT(Exposures!$B$6:$K$6,B82:K82)</f>
        <v/>
      </c>
      <c r="N82" s="5">
        <f>IF(AND($A82&gt;=DATE(2020,2,1),$A82&lt;=DATE(2020,5,31)),$M82,"")</f>
        <v/>
      </c>
      <c r="O82" s="5">
        <f>IF(AND($A82&gt;=DATE(2022,1,1),$A82&lt;=DATE(2022,10,31)),$M82,"")</f>
        <v/>
      </c>
      <c r="P82" s="5">
        <f>IF(AND($A82&gt;=DATE(2018,10,1),$A82&lt;=DATE(2018,12,31)),$M82,"")</f>
        <v/>
      </c>
      <c r="Q82" s="5">
        <f>SUMPRODUCT(Exposures!$B$8:$K$8,B82:K82)</f>
        <v/>
      </c>
      <c r="R82" s="5">
        <f>SUMPRODUCT(Exposures!$B$9:$K$9,B82:K82)</f>
        <v/>
      </c>
      <c r="S82" s="5">
        <f>SUMPRODUCT(Exposures!$B$10:$K$10,B82:K82)</f>
        <v/>
      </c>
    </row>
    <row r="83">
      <c r="A83" s="1" t="n">
        <v>42578</v>
      </c>
      <c r="B83" s="5" t="n">
        <v>0.006289901594223768</v>
      </c>
      <c r="C83" s="5" t="n">
        <v>0.002969672551917438</v>
      </c>
      <c r="D83" s="5" t="n">
        <v>-0.0007959901556825929</v>
      </c>
      <c r="E83" s="5" t="n">
        <v>-0.0009071007454205839</v>
      </c>
      <c r="F83" s="5" t="n">
        <v>0.002163498867886329</v>
      </c>
      <c r="G83" s="5" t="n">
        <v>0.000189465635083131</v>
      </c>
      <c r="H83" s="5" t="n">
        <v>0.001940712566924142</v>
      </c>
      <c r="I83" s="5" t="n">
        <v>0.008203716965104971</v>
      </c>
      <c r="J83" s="5" t="n">
        <v>0.00239564651768307</v>
      </c>
      <c r="K83" s="5" t="n">
        <v>-0.007382934949206643</v>
      </c>
      <c r="L83" s="5" t="n">
        <v>-0.001100756145352273</v>
      </c>
      <c r="M83" s="5">
        <f>SUMPRODUCT(Exposures!$B$6:$K$6,B83:K83)</f>
        <v/>
      </c>
      <c r="N83" s="5">
        <f>IF(AND($A83&gt;=DATE(2020,2,1),$A83&lt;=DATE(2020,5,31)),$M83,"")</f>
        <v/>
      </c>
      <c r="O83" s="5">
        <f>IF(AND($A83&gt;=DATE(2022,1,1),$A83&lt;=DATE(2022,10,31)),$M83,"")</f>
        <v/>
      </c>
      <c r="P83" s="5">
        <f>IF(AND($A83&gt;=DATE(2018,10,1),$A83&lt;=DATE(2018,12,31)),$M83,"")</f>
        <v/>
      </c>
      <c r="Q83" s="5">
        <f>SUMPRODUCT(Exposures!$B$8:$K$8,B83:K83)</f>
        <v/>
      </c>
      <c r="R83" s="5">
        <f>SUMPRODUCT(Exposures!$B$9:$K$9,B83:K83)</f>
        <v/>
      </c>
      <c r="S83" s="5">
        <f>SUMPRODUCT(Exposures!$B$10:$K$10,B83:K83)</f>
        <v/>
      </c>
    </row>
    <row r="84">
      <c r="A84" s="1" t="n">
        <v>42579</v>
      </c>
      <c r="B84" s="5" t="n">
        <v>-0.004660533960028516</v>
      </c>
      <c r="C84" s="5" t="n">
        <v>-0.002986888614890554</v>
      </c>
      <c r="D84" s="5" t="n">
        <v>0.003402821467350338</v>
      </c>
      <c r="E84" s="5" t="n">
        <v>-0.001668558636185008</v>
      </c>
      <c r="F84" s="5" t="n">
        <v>0.00492227796611564</v>
      </c>
      <c r="G84" s="5" t="n">
        <v>0.002054929500179014</v>
      </c>
      <c r="H84" s="5" t="n">
        <v>0.0007888139089818715</v>
      </c>
      <c r="I84" s="5" t="n">
        <v>-0.002884182181239146</v>
      </c>
      <c r="J84" s="5" t="n">
        <v>0.004841576694383259</v>
      </c>
      <c r="K84" s="5" t="n">
        <v>-8.883796563523283e-05</v>
      </c>
      <c r="L84" s="5" t="n">
        <v>0.001782464756586322</v>
      </c>
      <c r="M84" s="5">
        <f>SUMPRODUCT(Exposures!$B$6:$K$6,B84:K84)</f>
        <v/>
      </c>
      <c r="N84" s="5">
        <f>IF(AND($A84&gt;=DATE(2020,2,1),$A84&lt;=DATE(2020,5,31)),$M84,"")</f>
        <v/>
      </c>
      <c r="O84" s="5">
        <f>IF(AND($A84&gt;=DATE(2022,1,1),$A84&lt;=DATE(2022,10,31)),$M84,"")</f>
        <v/>
      </c>
      <c r="P84" s="5">
        <f>IF(AND($A84&gt;=DATE(2018,10,1),$A84&lt;=DATE(2018,12,31)),$M84,"")</f>
        <v/>
      </c>
      <c r="Q84" s="5">
        <f>SUMPRODUCT(Exposures!$B$8:$K$8,B84:K84)</f>
        <v/>
      </c>
      <c r="R84" s="5">
        <f>SUMPRODUCT(Exposures!$B$9:$K$9,B84:K84)</f>
        <v/>
      </c>
      <c r="S84" s="5">
        <f>SUMPRODUCT(Exposures!$B$10:$K$10,B84:K84)</f>
        <v/>
      </c>
    </row>
    <row r="85">
      <c r="A85" s="1" t="n">
        <v>42580</v>
      </c>
      <c r="B85" s="5" t="n">
        <v>-0.004449205108258222</v>
      </c>
      <c r="C85" s="5" t="n">
        <v>-0.0008503574430440013</v>
      </c>
      <c r="D85" s="5" t="n">
        <v>0.0009406435999713445</v>
      </c>
      <c r="E85" s="5" t="n">
        <v>-0.002842396101271861</v>
      </c>
      <c r="F85" s="5" t="n">
        <v>-0.001008162535327274</v>
      </c>
      <c r="G85" s="5" t="n">
        <v>0.003102216374052191</v>
      </c>
      <c r="H85" s="5" t="n">
        <v>0.0004892768523659661</v>
      </c>
      <c r="I85" s="5" t="n">
        <v>-0.0009422943844101254</v>
      </c>
      <c r="J85" s="5" t="n">
        <v>0.00588459256730512</v>
      </c>
      <c r="K85" s="5" t="n">
        <v>0.002226795725281767</v>
      </c>
      <c r="L85" s="5" t="n">
        <v>0.002636644618730316</v>
      </c>
      <c r="M85" s="5">
        <f>SUMPRODUCT(Exposures!$B$6:$K$6,B85:K85)</f>
        <v/>
      </c>
      <c r="N85" s="5">
        <f>IF(AND($A85&gt;=DATE(2020,2,1),$A85&lt;=DATE(2020,5,31)),$M85,"")</f>
        <v/>
      </c>
      <c r="O85" s="5">
        <f>IF(AND($A85&gt;=DATE(2022,1,1),$A85&lt;=DATE(2022,10,31)),$M85,"")</f>
        <v/>
      </c>
      <c r="P85" s="5">
        <f>IF(AND($A85&gt;=DATE(2018,10,1),$A85&lt;=DATE(2018,12,31)),$M85,"")</f>
        <v/>
      </c>
      <c r="Q85" s="5">
        <f>SUMPRODUCT(Exposures!$B$8:$K$8,B85:K85)</f>
        <v/>
      </c>
      <c r="R85" s="5">
        <f>SUMPRODUCT(Exposures!$B$9:$K$9,B85:K85)</f>
        <v/>
      </c>
      <c r="S85" s="5">
        <f>SUMPRODUCT(Exposures!$B$10:$K$10,B85:K85)</f>
        <v/>
      </c>
    </row>
    <row r="86">
      <c r="A86" s="1" t="n">
        <v>42583</v>
      </c>
      <c r="B86" s="5" t="n">
        <v>-0.002156533441968418</v>
      </c>
      <c r="C86" s="5" t="n">
        <v>0.002335705439138339</v>
      </c>
      <c r="D86" s="5" t="n">
        <v>0.008781764507971385</v>
      </c>
      <c r="E86" s="5" t="n">
        <v>-0.002045009605024526</v>
      </c>
      <c r="F86" s="5" t="n">
        <v>0.004965079645787321</v>
      </c>
      <c r="G86" s="5" t="n">
        <v>-0.001190543842202325</v>
      </c>
      <c r="H86" s="5" t="n">
        <v>-0.0008079104602982658</v>
      </c>
      <c r="I86" s="5" t="n">
        <v>0.004674855370841384</v>
      </c>
      <c r="J86" s="5" t="n">
        <v>0.0009779122613917271</v>
      </c>
      <c r="K86" s="5" t="n">
        <v>-0.004626551945913255</v>
      </c>
      <c r="L86" s="5" t="n">
        <v>-0.003080551455926666</v>
      </c>
      <c r="M86" s="5">
        <f>SUMPRODUCT(Exposures!$B$6:$K$6,B86:K86)</f>
        <v/>
      </c>
      <c r="N86" s="5">
        <f>IF(AND($A86&gt;=DATE(2020,2,1),$A86&lt;=DATE(2020,5,31)),$M86,"")</f>
        <v/>
      </c>
      <c r="O86" s="5">
        <f>IF(AND($A86&gt;=DATE(2022,1,1),$A86&lt;=DATE(2022,10,31)),$M86,"")</f>
        <v/>
      </c>
      <c r="P86" s="5">
        <f>IF(AND($A86&gt;=DATE(2018,10,1),$A86&lt;=DATE(2018,12,31)),$M86,"")</f>
        <v/>
      </c>
      <c r="Q86" s="5">
        <f>SUMPRODUCT(Exposures!$B$8:$K$8,B86:K86)</f>
        <v/>
      </c>
      <c r="R86" s="5">
        <f>SUMPRODUCT(Exposures!$B$9:$K$9,B86:K86)</f>
        <v/>
      </c>
      <c r="S86" s="5">
        <f>SUMPRODUCT(Exposures!$B$10:$K$10,B86:K86)</f>
        <v/>
      </c>
    </row>
    <row r="87">
      <c r="A87" s="1" t="n">
        <v>42584</v>
      </c>
      <c r="B87" s="5" t="n">
        <v>-0.006136969313124701</v>
      </c>
      <c r="C87" s="5" t="n">
        <v>-0.002056338697054028</v>
      </c>
      <c r="D87" s="5" t="n">
        <v>-0.01289776595160932</v>
      </c>
      <c r="E87" s="5" t="n">
        <v>-0.001979656170926593</v>
      </c>
      <c r="F87" s="5" t="n">
        <v>-0.0002149977534300707</v>
      </c>
      <c r="G87" s="5" t="n">
        <v>-0.01188405035262457</v>
      </c>
      <c r="H87" s="5" t="n">
        <v>-0.002725758524883865</v>
      </c>
      <c r="I87" s="5" t="n">
        <v>0.003131029575996599</v>
      </c>
      <c r="J87" s="5" t="n">
        <v>-0.0005193470305558359</v>
      </c>
      <c r="K87" s="5" t="n">
        <v>0.005366066851700692</v>
      </c>
      <c r="L87" s="5" t="n">
        <v>0.0006737206590008396</v>
      </c>
      <c r="M87" s="5">
        <f>SUMPRODUCT(Exposures!$B$6:$K$6,B87:K87)</f>
        <v/>
      </c>
      <c r="N87" s="5">
        <f>IF(AND($A87&gt;=DATE(2020,2,1),$A87&lt;=DATE(2020,5,31)),$M87,"")</f>
        <v/>
      </c>
      <c r="O87" s="5">
        <f>IF(AND($A87&gt;=DATE(2022,1,1),$A87&lt;=DATE(2022,10,31)),$M87,"")</f>
        <v/>
      </c>
      <c r="P87" s="5">
        <f>IF(AND($A87&gt;=DATE(2018,10,1),$A87&lt;=DATE(2018,12,31)),$M87,"")</f>
        <v/>
      </c>
      <c r="Q87" s="5">
        <f>SUMPRODUCT(Exposures!$B$8:$K$8,B87:K87)</f>
        <v/>
      </c>
      <c r="R87" s="5">
        <f>SUMPRODUCT(Exposures!$B$9:$K$9,B87:K87)</f>
        <v/>
      </c>
      <c r="S87" s="5">
        <f>SUMPRODUCT(Exposures!$B$10:$K$10,B87:K87)</f>
        <v/>
      </c>
    </row>
    <row r="88">
      <c r="A88" s="1" t="n">
        <v>42585</v>
      </c>
      <c r="B88" s="5" t="n">
        <v>0.003284116025973529</v>
      </c>
      <c r="C88" s="5" t="n">
        <v>-0.002262203686818956</v>
      </c>
      <c r="D88" s="5" t="n">
        <v>0.0005160735939139073</v>
      </c>
      <c r="E88" s="5" t="n">
        <v>0.0009090673096977266</v>
      </c>
      <c r="F88" s="5" t="n">
        <v>5.953924673723519e-05</v>
      </c>
      <c r="G88" s="5" t="n">
        <v>0.006268191840783669</v>
      </c>
      <c r="H88" s="5" t="n">
        <v>-0.003148098716622462</v>
      </c>
      <c r="I88" s="5" t="n">
        <v>-0.0003666730996325266</v>
      </c>
      <c r="J88" s="5" t="n">
        <v>0.001650769940831185</v>
      </c>
      <c r="K88" s="5" t="n">
        <v>-8.662900891746265e-05</v>
      </c>
      <c r="L88" s="5" t="n">
        <v>0.003996127318996363</v>
      </c>
      <c r="M88" s="5">
        <f>SUMPRODUCT(Exposures!$B$6:$K$6,B88:K88)</f>
        <v/>
      </c>
      <c r="N88" s="5">
        <f>IF(AND($A88&gt;=DATE(2020,2,1),$A88&lt;=DATE(2020,5,31)),$M88,"")</f>
        <v/>
      </c>
      <c r="O88" s="5">
        <f>IF(AND($A88&gt;=DATE(2022,1,1),$A88&lt;=DATE(2022,10,31)),$M88,"")</f>
        <v/>
      </c>
      <c r="P88" s="5">
        <f>IF(AND($A88&gt;=DATE(2018,10,1),$A88&lt;=DATE(2018,12,31)),$M88,"")</f>
        <v/>
      </c>
      <c r="Q88" s="5">
        <f>SUMPRODUCT(Exposures!$B$8:$K$8,B88:K88)</f>
        <v/>
      </c>
      <c r="R88" s="5">
        <f>SUMPRODUCT(Exposures!$B$9:$K$9,B88:K88)</f>
        <v/>
      </c>
      <c r="S88" s="5">
        <f>SUMPRODUCT(Exposures!$B$10:$K$10,B88:K88)</f>
        <v/>
      </c>
    </row>
    <row r="89">
      <c r="A89" s="1" t="n">
        <v>42586</v>
      </c>
      <c r="B89" s="5" t="n">
        <v>0.0008581988895785621</v>
      </c>
      <c r="C89" s="5" t="n">
        <v>-0.0008383952298524301</v>
      </c>
      <c r="D89" s="5" t="n">
        <v>-0.005451231303333619</v>
      </c>
      <c r="E89" s="5" t="n">
        <v>0.002462748519529211</v>
      </c>
      <c r="F89" s="5" t="n">
        <v>0.003338327352347825</v>
      </c>
      <c r="G89" s="5" t="n">
        <v>-0.002182247238844014</v>
      </c>
      <c r="H89" s="5" t="n">
        <v>0.004612133049668432</v>
      </c>
      <c r="I89" s="5" t="n">
        <v>-0.0006886497263527836</v>
      </c>
      <c r="J89" s="5" t="n">
        <v>-0.002680779307663361</v>
      </c>
      <c r="K89" s="5" t="n">
        <v>-0.002589849778907099</v>
      </c>
      <c r="L89" s="5" t="n">
        <v>-0.001447140310271735</v>
      </c>
      <c r="M89" s="5">
        <f>SUMPRODUCT(Exposures!$B$6:$K$6,B89:K89)</f>
        <v/>
      </c>
      <c r="N89" s="5">
        <f>IF(AND($A89&gt;=DATE(2020,2,1),$A89&lt;=DATE(2020,5,31)),$M89,"")</f>
        <v/>
      </c>
      <c r="O89" s="5">
        <f>IF(AND($A89&gt;=DATE(2022,1,1),$A89&lt;=DATE(2022,10,31)),$M89,"")</f>
        <v/>
      </c>
      <c r="P89" s="5">
        <f>IF(AND($A89&gt;=DATE(2018,10,1),$A89&lt;=DATE(2018,12,31)),$M89,"")</f>
        <v/>
      </c>
      <c r="Q89" s="5">
        <f>SUMPRODUCT(Exposures!$B$8:$K$8,B89:K89)</f>
        <v/>
      </c>
      <c r="R89" s="5">
        <f>SUMPRODUCT(Exposures!$B$9:$K$9,B89:K89)</f>
        <v/>
      </c>
      <c r="S89" s="5">
        <f>SUMPRODUCT(Exposures!$B$10:$K$10,B89:K89)</f>
        <v/>
      </c>
    </row>
    <row r="90">
      <c r="A90" s="1" t="n">
        <v>42587</v>
      </c>
      <c r="B90" s="5" t="n">
        <v>0.006030167860816149</v>
      </c>
      <c r="C90" s="5" t="n">
        <v>-0.0003943600925625638</v>
      </c>
      <c r="D90" s="5" t="n">
        <v>0.0003373050413941255</v>
      </c>
      <c r="E90" s="5" t="n">
        <v>0.001099617829384593</v>
      </c>
      <c r="F90" s="5" t="n">
        <v>0.003332780386847338</v>
      </c>
      <c r="G90" s="5" t="n">
        <v>0.01029052044765631</v>
      </c>
      <c r="H90" s="5" t="n">
        <v>-0.006997309262298227</v>
      </c>
      <c r="I90" s="5" t="n">
        <v>-0.0009559137055059924</v>
      </c>
      <c r="J90" s="5" t="n">
        <v>-0.001788113759852944</v>
      </c>
      <c r="K90" s="5" t="n">
        <v>-0.007245613961855461</v>
      </c>
      <c r="L90" s="5" t="n">
        <v>0.003792336950508337</v>
      </c>
      <c r="M90" s="5">
        <f>SUMPRODUCT(Exposures!$B$6:$K$6,B90:K90)</f>
        <v/>
      </c>
      <c r="N90" s="5">
        <f>IF(AND($A90&gt;=DATE(2020,2,1),$A90&lt;=DATE(2020,5,31)),$M90,"")</f>
        <v/>
      </c>
      <c r="O90" s="5">
        <f>IF(AND($A90&gt;=DATE(2022,1,1),$A90&lt;=DATE(2022,10,31)),$M90,"")</f>
        <v/>
      </c>
      <c r="P90" s="5">
        <f>IF(AND($A90&gt;=DATE(2018,10,1),$A90&lt;=DATE(2018,12,31)),$M90,"")</f>
        <v/>
      </c>
      <c r="Q90" s="5">
        <f>SUMPRODUCT(Exposures!$B$8:$K$8,B90:K90)</f>
        <v/>
      </c>
      <c r="R90" s="5">
        <f>SUMPRODUCT(Exposures!$B$9:$K$9,B90:K90)</f>
        <v/>
      </c>
      <c r="S90" s="5">
        <f>SUMPRODUCT(Exposures!$B$10:$K$10,B90:K90)</f>
        <v/>
      </c>
    </row>
    <row r="91">
      <c r="A91" s="1" t="n">
        <v>42590</v>
      </c>
      <c r="B91" s="5" t="n">
        <v>-0.001812558658866402</v>
      </c>
      <c r="C91" s="5" t="n">
        <v>-0.0001222313699921242</v>
      </c>
      <c r="D91" s="5" t="n">
        <v>1.418210709065368e-05</v>
      </c>
      <c r="E91" s="5" t="n">
        <v>0.001326796247635981</v>
      </c>
      <c r="F91" s="5" t="n">
        <v>0.0005960029736647002</v>
      </c>
      <c r="G91" s="5" t="n">
        <v>-0.0005380876014448153</v>
      </c>
      <c r="H91" s="5" t="n">
        <v>-0.0002219944883151576</v>
      </c>
      <c r="I91" s="5" t="n">
        <v>0.0001334180230119868</v>
      </c>
      <c r="J91" s="5" t="n">
        <v>0.001558307609038957</v>
      </c>
      <c r="K91" s="5" t="n">
        <v>-0.000698872487029715</v>
      </c>
      <c r="L91" s="5" t="n">
        <v>0.001616137753676115</v>
      </c>
      <c r="M91" s="5">
        <f>SUMPRODUCT(Exposures!$B$6:$K$6,B91:K91)</f>
        <v/>
      </c>
      <c r="N91" s="5">
        <f>IF(AND($A91&gt;=DATE(2020,2,1),$A91&lt;=DATE(2020,5,31)),$M91,"")</f>
        <v/>
      </c>
      <c r="O91" s="5">
        <f>IF(AND($A91&gt;=DATE(2022,1,1),$A91&lt;=DATE(2022,10,31)),$M91,"")</f>
        <v/>
      </c>
      <c r="P91" s="5">
        <f>IF(AND($A91&gt;=DATE(2018,10,1),$A91&lt;=DATE(2018,12,31)),$M91,"")</f>
        <v/>
      </c>
      <c r="Q91" s="5">
        <f>SUMPRODUCT(Exposures!$B$8:$K$8,B91:K91)</f>
        <v/>
      </c>
      <c r="R91" s="5">
        <f>SUMPRODUCT(Exposures!$B$9:$K$9,B91:K91)</f>
        <v/>
      </c>
      <c r="S91" s="5">
        <f>SUMPRODUCT(Exposures!$B$10:$K$10,B91:K91)</f>
        <v/>
      </c>
    </row>
    <row r="92">
      <c r="A92" s="1" t="n">
        <v>42591</v>
      </c>
      <c r="B92" s="5" t="n">
        <v>0.001353276504521033</v>
      </c>
      <c r="C92" s="5" t="n">
        <v>-0.002091238623113351</v>
      </c>
      <c r="D92" s="5" t="n">
        <v>0.005010582327858057</v>
      </c>
      <c r="E92" s="5" t="n">
        <v>0.003158426746030292</v>
      </c>
      <c r="F92" s="5" t="n">
        <v>0.006190445825558518</v>
      </c>
      <c r="G92" s="5" t="n">
        <v>0.0021152120584645</v>
      </c>
      <c r="H92" s="5" t="n">
        <v>0.002938789480809082</v>
      </c>
      <c r="I92" s="5" t="n">
        <v>0.006310732202833159</v>
      </c>
      <c r="J92" s="5" t="n">
        <v>-0.001810052938665675</v>
      </c>
      <c r="K92" s="5" t="n">
        <v>-0.01056730216823051</v>
      </c>
      <c r="L92" s="5" t="n">
        <v>-0.003338769017885072</v>
      </c>
      <c r="M92" s="5">
        <f>SUMPRODUCT(Exposures!$B$6:$K$6,B92:K92)</f>
        <v/>
      </c>
      <c r="N92" s="5">
        <f>IF(AND($A92&gt;=DATE(2020,2,1),$A92&lt;=DATE(2020,5,31)),$M92,"")</f>
        <v/>
      </c>
      <c r="O92" s="5">
        <f>IF(AND($A92&gt;=DATE(2022,1,1),$A92&lt;=DATE(2022,10,31)),$M92,"")</f>
        <v/>
      </c>
      <c r="P92" s="5">
        <f>IF(AND($A92&gt;=DATE(2018,10,1),$A92&lt;=DATE(2018,12,31)),$M92,"")</f>
        <v/>
      </c>
      <c r="Q92" s="5">
        <f>SUMPRODUCT(Exposures!$B$8:$K$8,B92:K92)</f>
        <v/>
      </c>
      <c r="R92" s="5">
        <f>SUMPRODUCT(Exposures!$B$9:$K$9,B92:K92)</f>
        <v/>
      </c>
      <c r="S92" s="5">
        <f>SUMPRODUCT(Exposures!$B$10:$K$10,B92:K92)</f>
        <v/>
      </c>
    </row>
    <row r="93">
      <c r="A93" s="1" t="n">
        <v>42592</v>
      </c>
      <c r="B93" s="5" t="n">
        <v>-0.001697038985848527</v>
      </c>
      <c r="C93" s="5" t="n">
        <v>0.002955640874727127</v>
      </c>
      <c r="D93" s="5" t="n">
        <v>0.001766569312057754</v>
      </c>
      <c r="E93" s="5" t="n">
        <v>5.583721326942638e-05</v>
      </c>
      <c r="F93" s="5" t="n">
        <v>0.0005326526577872881</v>
      </c>
      <c r="G93" s="5" t="n">
        <v>-0.003320582701316282</v>
      </c>
      <c r="H93" s="5" t="n">
        <v>0.003071971098016748</v>
      </c>
      <c r="I93" s="5" t="n">
        <v>0.0008692166944944109</v>
      </c>
      <c r="J93" s="5" t="n">
        <v>-0.0007207924437118809</v>
      </c>
      <c r="K93" s="5" t="n">
        <v>-0.002122373195912953</v>
      </c>
      <c r="L93" s="5" t="n">
        <v>-0.001871830697286524</v>
      </c>
      <c r="M93" s="5">
        <f>SUMPRODUCT(Exposures!$B$6:$K$6,B93:K93)</f>
        <v/>
      </c>
      <c r="N93" s="5">
        <f>IF(AND($A93&gt;=DATE(2020,2,1),$A93&lt;=DATE(2020,5,31)),$M93,"")</f>
        <v/>
      </c>
      <c r="O93" s="5">
        <f>IF(AND($A93&gt;=DATE(2022,1,1),$A93&lt;=DATE(2022,10,31)),$M93,"")</f>
        <v/>
      </c>
      <c r="P93" s="5">
        <f>IF(AND($A93&gt;=DATE(2018,10,1),$A93&lt;=DATE(2018,12,31)),$M93,"")</f>
        <v/>
      </c>
      <c r="Q93" s="5">
        <f>SUMPRODUCT(Exposures!$B$8:$K$8,B93:K93)</f>
        <v/>
      </c>
      <c r="R93" s="5">
        <f>SUMPRODUCT(Exposures!$B$9:$K$9,B93:K93)</f>
        <v/>
      </c>
      <c r="S93" s="5">
        <f>SUMPRODUCT(Exposures!$B$10:$K$10,B93:K93)</f>
        <v/>
      </c>
    </row>
    <row r="94">
      <c r="A94" s="1" t="n">
        <v>42593</v>
      </c>
      <c r="B94" s="5" t="n">
        <v>0.0001046759692808952</v>
      </c>
      <c r="C94" s="5" t="n">
        <v>0.003486948537324129</v>
      </c>
      <c r="D94" s="5" t="n">
        <v>0.00774569080196994</v>
      </c>
      <c r="E94" s="5" t="n">
        <v>-0.000564932863327892</v>
      </c>
      <c r="F94" s="5" t="n">
        <v>0.000213483598161587</v>
      </c>
      <c r="G94" s="5" t="n">
        <v>0.00767344408405359</v>
      </c>
      <c r="H94" s="5" t="n">
        <v>-0.002106144179670028</v>
      </c>
      <c r="I94" s="5" t="n">
        <v>0.0003139697768110838</v>
      </c>
      <c r="J94" s="5" t="n">
        <v>0.006669915907302992</v>
      </c>
      <c r="K94" s="5" t="n">
        <v>0.001820946420442456</v>
      </c>
      <c r="L94" s="5" t="n">
        <v>-0.0009940872324929123</v>
      </c>
      <c r="M94" s="5">
        <f>SUMPRODUCT(Exposures!$B$6:$K$6,B94:K94)</f>
        <v/>
      </c>
      <c r="N94" s="5">
        <f>IF(AND($A94&gt;=DATE(2020,2,1),$A94&lt;=DATE(2020,5,31)),$M94,"")</f>
        <v/>
      </c>
      <c r="O94" s="5">
        <f>IF(AND($A94&gt;=DATE(2022,1,1),$A94&lt;=DATE(2022,10,31)),$M94,"")</f>
        <v/>
      </c>
      <c r="P94" s="5">
        <f>IF(AND($A94&gt;=DATE(2018,10,1),$A94&lt;=DATE(2018,12,31)),$M94,"")</f>
        <v/>
      </c>
      <c r="Q94" s="5">
        <f>SUMPRODUCT(Exposures!$B$8:$K$8,B94:K94)</f>
        <v/>
      </c>
      <c r="R94" s="5">
        <f>SUMPRODUCT(Exposures!$B$9:$K$9,B94:K94)</f>
        <v/>
      </c>
      <c r="S94" s="5">
        <f>SUMPRODUCT(Exposures!$B$10:$K$10,B94:K94)</f>
        <v/>
      </c>
    </row>
    <row r="95">
      <c r="A95" s="1" t="n">
        <v>42594</v>
      </c>
      <c r="B95" s="5" t="n">
        <v>-0.002938727794708456</v>
      </c>
      <c r="C95" s="5" t="n">
        <v>0.001780648093121408</v>
      </c>
      <c r="D95" s="5" t="n">
        <v>-0.005932932796732908</v>
      </c>
      <c r="E95" s="5" t="n">
        <v>-0.00198068781345365</v>
      </c>
      <c r="F95" s="5" t="n">
        <v>-0.003286735711510632</v>
      </c>
      <c r="G95" s="5" t="n">
        <v>0.001563340314116459</v>
      </c>
      <c r="H95" s="5" t="n">
        <v>0.0008183736214996712</v>
      </c>
      <c r="I95" s="5" t="n">
        <v>0.0005771931173410478</v>
      </c>
      <c r="J95" s="5" t="n">
        <v>0.006498589945246527</v>
      </c>
      <c r="K95" s="5" t="n">
        <v>0.006981452671087207</v>
      </c>
      <c r="L95" s="5" t="n">
        <v>0.002043660868104159</v>
      </c>
      <c r="M95" s="5">
        <f>SUMPRODUCT(Exposures!$B$6:$K$6,B95:K95)</f>
        <v/>
      </c>
      <c r="N95" s="5">
        <f>IF(AND($A95&gt;=DATE(2020,2,1),$A95&lt;=DATE(2020,5,31)),$M95,"")</f>
        <v/>
      </c>
      <c r="O95" s="5">
        <f>IF(AND($A95&gt;=DATE(2022,1,1),$A95&lt;=DATE(2022,10,31)),$M95,"")</f>
        <v/>
      </c>
      <c r="P95" s="5">
        <f>IF(AND($A95&gt;=DATE(2018,10,1),$A95&lt;=DATE(2018,12,31)),$M95,"")</f>
        <v/>
      </c>
      <c r="Q95" s="5">
        <f>SUMPRODUCT(Exposures!$B$8:$K$8,B95:K95)</f>
        <v/>
      </c>
      <c r="R95" s="5">
        <f>SUMPRODUCT(Exposures!$B$9:$K$9,B95:K95)</f>
        <v/>
      </c>
      <c r="S95" s="5">
        <f>SUMPRODUCT(Exposures!$B$10:$K$10,B95:K95)</f>
        <v/>
      </c>
    </row>
    <row r="96">
      <c r="A96" s="1" t="n">
        <v>42597</v>
      </c>
      <c r="B96" s="5" t="n">
        <v>0.006662527174567056</v>
      </c>
      <c r="C96" s="5" t="n">
        <v>0.0001778010000030917</v>
      </c>
      <c r="D96" s="5" t="n">
        <v>4.303446535198035e-05</v>
      </c>
      <c r="E96" s="5" t="n">
        <v>0.0007523475268818667</v>
      </c>
      <c r="F96" s="5" t="n">
        <v>-0.002745854109959391</v>
      </c>
      <c r="G96" s="5" t="n">
        <v>0.007688889413589776</v>
      </c>
      <c r="H96" s="5" t="n">
        <v>-0.0005224178420492435</v>
      </c>
      <c r="I96" s="5" t="n">
        <v>-0.001641311002523827</v>
      </c>
      <c r="J96" s="5" t="n">
        <v>0.003308438215253195</v>
      </c>
      <c r="K96" s="5" t="n">
        <v>0.001840040529380762</v>
      </c>
      <c r="L96" s="5" t="n">
        <v>9.438266633142266e-05</v>
      </c>
      <c r="M96" s="5">
        <f>SUMPRODUCT(Exposures!$B$6:$K$6,B96:K96)</f>
        <v/>
      </c>
      <c r="N96" s="5">
        <f>IF(AND($A96&gt;=DATE(2020,2,1),$A96&lt;=DATE(2020,5,31)),$M96,"")</f>
        <v/>
      </c>
      <c r="O96" s="5">
        <f>IF(AND($A96&gt;=DATE(2022,1,1),$A96&lt;=DATE(2022,10,31)),$M96,"")</f>
        <v/>
      </c>
      <c r="P96" s="5">
        <f>IF(AND($A96&gt;=DATE(2018,10,1),$A96&lt;=DATE(2018,12,31)),$M96,"")</f>
        <v/>
      </c>
      <c r="Q96" s="5">
        <f>SUMPRODUCT(Exposures!$B$8:$K$8,B96:K96)</f>
        <v/>
      </c>
      <c r="R96" s="5">
        <f>SUMPRODUCT(Exposures!$B$9:$K$9,B96:K96)</f>
        <v/>
      </c>
      <c r="S96" s="5">
        <f>SUMPRODUCT(Exposures!$B$10:$K$10,B96:K96)</f>
        <v/>
      </c>
    </row>
    <row r="97">
      <c r="A97" s="1" t="n">
        <v>42598</v>
      </c>
      <c r="B97" s="5" t="n">
        <v>-0.001007171011594264</v>
      </c>
      <c r="C97" s="5" t="n">
        <v>0.0002566950158303668</v>
      </c>
      <c r="D97" s="5" t="n">
        <v>-0.001421218587444309</v>
      </c>
      <c r="E97" s="5" t="n">
        <v>0.001454718060739052</v>
      </c>
      <c r="F97" s="5" t="n">
        <v>0.002509637515290387</v>
      </c>
      <c r="G97" s="5" t="n">
        <v>-0.008590244435573966</v>
      </c>
      <c r="H97" s="5" t="n">
        <v>-0.003117993002722205</v>
      </c>
      <c r="I97" s="5" t="n">
        <v>-3.016726861855275e-05</v>
      </c>
      <c r="J97" s="5" t="n">
        <v>-0.001834312973464616</v>
      </c>
      <c r="K97" s="5" t="n">
        <v>0.0001508478089308359</v>
      </c>
      <c r="L97" s="5" t="n">
        <v>0.001275377020108575</v>
      </c>
      <c r="M97" s="5">
        <f>SUMPRODUCT(Exposures!$B$6:$K$6,B97:K97)</f>
        <v/>
      </c>
      <c r="N97" s="5">
        <f>IF(AND($A97&gt;=DATE(2020,2,1),$A97&lt;=DATE(2020,5,31)),$M97,"")</f>
        <v/>
      </c>
      <c r="O97" s="5">
        <f>IF(AND($A97&gt;=DATE(2022,1,1),$A97&lt;=DATE(2022,10,31)),$M97,"")</f>
        <v/>
      </c>
      <c r="P97" s="5">
        <f>IF(AND($A97&gt;=DATE(2018,10,1),$A97&lt;=DATE(2018,12,31)),$M97,"")</f>
        <v/>
      </c>
      <c r="Q97" s="5">
        <f>SUMPRODUCT(Exposures!$B$8:$K$8,B97:K97)</f>
        <v/>
      </c>
      <c r="R97" s="5">
        <f>SUMPRODUCT(Exposures!$B$9:$K$9,B97:K97)</f>
        <v/>
      </c>
      <c r="S97" s="5">
        <f>SUMPRODUCT(Exposures!$B$10:$K$10,B97:K97)</f>
        <v/>
      </c>
    </row>
    <row r="98">
      <c r="A98" s="1" t="n">
        <v>42599</v>
      </c>
      <c r="B98" s="5" t="n">
        <v>-0.001174042113711375</v>
      </c>
      <c r="C98" s="5" t="n">
        <v>-6.687922141478207e-06</v>
      </c>
      <c r="D98" s="5" t="n">
        <v>-0.00496693900952252</v>
      </c>
      <c r="E98" s="5" t="n">
        <v>0.0002461312667912502</v>
      </c>
      <c r="F98" s="5" t="n">
        <v>-0.0008632883235410642</v>
      </c>
      <c r="G98" s="5" t="n">
        <v>-0.001873144309611999</v>
      </c>
      <c r="H98" s="5" t="n">
        <v>0.0005467683059053762</v>
      </c>
      <c r="I98" s="5" t="n">
        <v>-0.001386543920503954</v>
      </c>
      <c r="J98" s="5" t="n">
        <v>-0.00180503611054355</v>
      </c>
      <c r="K98" s="5" t="n">
        <v>0.002315817273848773</v>
      </c>
      <c r="L98" s="5" t="n">
        <v>0.001953868313834793</v>
      </c>
      <c r="M98" s="5">
        <f>SUMPRODUCT(Exposures!$B$6:$K$6,B98:K98)</f>
        <v/>
      </c>
      <c r="N98" s="5">
        <f>IF(AND($A98&gt;=DATE(2020,2,1),$A98&lt;=DATE(2020,5,31)),$M98,"")</f>
        <v/>
      </c>
      <c r="O98" s="5">
        <f>IF(AND($A98&gt;=DATE(2022,1,1),$A98&lt;=DATE(2022,10,31)),$M98,"")</f>
        <v/>
      </c>
      <c r="P98" s="5">
        <f>IF(AND($A98&gt;=DATE(2018,10,1),$A98&lt;=DATE(2018,12,31)),$M98,"")</f>
        <v/>
      </c>
      <c r="Q98" s="5">
        <f>SUMPRODUCT(Exposures!$B$8:$K$8,B98:K98)</f>
        <v/>
      </c>
      <c r="R98" s="5">
        <f>SUMPRODUCT(Exposures!$B$9:$K$9,B98:K98)</f>
        <v/>
      </c>
      <c r="S98" s="5">
        <f>SUMPRODUCT(Exposures!$B$10:$K$10,B98:K98)</f>
        <v/>
      </c>
    </row>
    <row r="99">
      <c r="A99" s="1" t="n">
        <v>42600</v>
      </c>
      <c r="B99" s="5" t="n">
        <v>0.001784017708127254</v>
      </c>
      <c r="C99" s="5" t="n">
        <v>-0.001621105672154174</v>
      </c>
      <c r="D99" s="5" t="n">
        <v>-0.004473504107570974</v>
      </c>
      <c r="E99" s="5" t="n">
        <v>-0.0007274334859932695</v>
      </c>
      <c r="F99" s="5" t="n">
        <v>-0.0009591522802414184</v>
      </c>
      <c r="G99" s="5" t="n">
        <v>0.004387036398236663</v>
      </c>
      <c r="H99" s="5" t="n">
        <v>0.004130171963187375</v>
      </c>
      <c r="I99" s="5" t="n">
        <v>-0.001446161486383567</v>
      </c>
      <c r="J99" s="5" t="n">
        <v>0.002485543037525199</v>
      </c>
      <c r="K99" s="5" t="n">
        <v>0.0008963559968765435</v>
      </c>
      <c r="L99" s="5" t="n">
        <v>0.0009913008179715779</v>
      </c>
      <c r="M99" s="5">
        <f>SUMPRODUCT(Exposures!$B$6:$K$6,B99:K99)</f>
        <v/>
      </c>
      <c r="N99" s="5">
        <f>IF(AND($A99&gt;=DATE(2020,2,1),$A99&lt;=DATE(2020,5,31)),$M99,"")</f>
        <v/>
      </c>
      <c r="O99" s="5">
        <f>IF(AND($A99&gt;=DATE(2022,1,1),$A99&lt;=DATE(2022,10,31)),$M99,"")</f>
        <v/>
      </c>
      <c r="P99" s="5">
        <f>IF(AND($A99&gt;=DATE(2018,10,1),$A99&lt;=DATE(2018,12,31)),$M99,"")</f>
        <v/>
      </c>
      <c r="Q99" s="5">
        <f>SUMPRODUCT(Exposures!$B$8:$K$8,B99:K99)</f>
        <v/>
      </c>
      <c r="R99" s="5">
        <f>SUMPRODUCT(Exposures!$B$9:$K$9,B99:K99)</f>
        <v/>
      </c>
      <c r="S99" s="5">
        <f>SUMPRODUCT(Exposures!$B$10:$K$10,B99:K99)</f>
        <v/>
      </c>
    </row>
    <row r="100">
      <c r="A100" s="1" t="n">
        <v>42601</v>
      </c>
      <c r="B100" s="5" t="n">
        <v>0.004265757617491297</v>
      </c>
      <c r="C100" s="5" t="n">
        <v>0.0004901260957867726</v>
      </c>
      <c r="D100" s="5" t="n">
        <v>0.006651084583109884</v>
      </c>
      <c r="E100" s="5" t="n">
        <v>-0.001631563036173648</v>
      </c>
      <c r="F100" s="5" t="n">
        <v>0.0006995907014977374</v>
      </c>
      <c r="G100" s="5" t="n">
        <v>0.001780269537562456</v>
      </c>
      <c r="H100" s="5" t="n">
        <v>0.00364301674442511</v>
      </c>
      <c r="I100" s="5" t="n">
        <v>0.001499468600865901</v>
      </c>
      <c r="J100" s="5" t="n">
        <v>0.001626187196637251</v>
      </c>
      <c r="K100" s="5" t="n">
        <v>-0.002316292289434977</v>
      </c>
      <c r="L100" s="5" t="n">
        <v>-0.0004277159433088178</v>
      </c>
      <c r="M100" s="5">
        <f>SUMPRODUCT(Exposures!$B$6:$K$6,B100:K100)</f>
        <v/>
      </c>
      <c r="N100" s="5">
        <f>IF(AND($A100&gt;=DATE(2020,2,1),$A100&lt;=DATE(2020,5,31)),$M100,"")</f>
        <v/>
      </c>
      <c r="O100" s="5">
        <f>IF(AND($A100&gt;=DATE(2022,1,1),$A100&lt;=DATE(2022,10,31)),$M100,"")</f>
        <v/>
      </c>
      <c r="P100" s="5">
        <f>IF(AND($A100&gt;=DATE(2018,10,1),$A100&lt;=DATE(2018,12,31)),$M100,"")</f>
        <v/>
      </c>
      <c r="Q100" s="5">
        <f>SUMPRODUCT(Exposures!$B$8:$K$8,B100:K100)</f>
        <v/>
      </c>
      <c r="R100" s="5">
        <f>SUMPRODUCT(Exposures!$B$9:$K$9,B100:K100)</f>
        <v/>
      </c>
      <c r="S100" s="5">
        <f>SUMPRODUCT(Exposures!$B$10:$K$10,B100:K100)</f>
        <v/>
      </c>
    </row>
    <row r="101">
      <c r="A101" s="1" t="n">
        <v>42604</v>
      </c>
      <c r="B101" s="5" t="n">
        <v>-0.0005845629811296338</v>
      </c>
      <c r="C101" s="5" t="n">
        <v>-0.0008784204435872189</v>
      </c>
      <c r="D101" s="5" t="n">
        <v>-0.006254466559277639</v>
      </c>
      <c r="E101" s="5" t="n">
        <v>0.000439644042851365</v>
      </c>
      <c r="F101" s="5" t="n">
        <v>-0.001820773784684321</v>
      </c>
      <c r="G101" s="5" t="n">
        <v>0.002303116704530693</v>
      </c>
      <c r="H101" s="5" t="n">
        <v>-0.002090904807411205</v>
      </c>
      <c r="I101" s="5" t="n">
        <v>-0.0009169986361015047</v>
      </c>
      <c r="J101" s="5" t="n">
        <v>0.001390346659102067</v>
      </c>
      <c r="K101" s="5" t="n">
        <v>0.00121599119307794</v>
      </c>
      <c r="L101" s="5" t="n">
        <v>-0.0005050345685461234</v>
      </c>
      <c r="M101" s="5">
        <f>SUMPRODUCT(Exposures!$B$6:$K$6,B101:K101)</f>
        <v/>
      </c>
      <c r="N101" s="5">
        <f>IF(AND($A101&gt;=DATE(2020,2,1),$A101&lt;=DATE(2020,5,31)),$M101,"")</f>
        <v/>
      </c>
      <c r="O101" s="5">
        <f>IF(AND($A101&gt;=DATE(2022,1,1),$A101&lt;=DATE(2022,10,31)),$M101,"")</f>
        <v/>
      </c>
      <c r="P101" s="5">
        <f>IF(AND($A101&gt;=DATE(2018,10,1),$A101&lt;=DATE(2018,12,31)),$M101,"")</f>
        <v/>
      </c>
      <c r="Q101" s="5">
        <f>SUMPRODUCT(Exposures!$B$8:$K$8,B101:K101)</f>
        <v/>
      </c>
      <c r="R101" s="5">
        <f>SUMPRODUCT(Exposures!$B$9:$K$9,B101:K101)</f>
        <v/>
      </c>
      <c r="S101" s="5">
        <f>SUMPRODUCT(Exposures!$B$10:$K$10,B101:K101)</f>
        <v/>
      </c>
    </row>
    <row r="102">
      <c r="A102" s="1" t="n">
        <v>42605</v>
      </c>
      <c r="B102" s="5" t="n">
        <v>0.002326426542782768</v>
      </c>
      <c r="C102" s="5" t="n">
        <v>0.004412800055962961</v>
      </c>
      <c r="D102" s="5" t="n">
        <v>0.007167604552328339</v>
      </c>
      <c r="E102" s="5" t="n">
        <v>-0.0003940743249557758</v>
      </c>
      <c r="F102" s="5" t="n">
        <v>-0.001861252583170212</v>
      </c>
      <c r="G102" s="5" t="n">
        <v>0.005450376593213505</v>
      </c>
      <c r="H102" s="5" t="n">
        <v>-0.0009648586124355477</v>
      </c>
      <c r="I102" s="5" t="n">
        <v>-0.001299232239755739</v>
      </c>
      <c r="J102" s="5" t="n">
        <v>0.002787335364034882</v>
      </c>
      <c r="K102" s="5" t="n">
        <v>0.0004492973286888855</v>
      </c>
      <c r="L102" s="5" t="n">
        <v>-0.001153019884778952</v>
      </c>
      <c r="M102" s="5">
        <f>SUMPRODUCT(Exposures!$B$6:$K$6,B102:K102)</f>
        <v/>
      </c>
      <c r="N102" s="5">
        <f>IF(AND($A102&gt;=DATE(2020,2,1),$A102&lt;=DATE(2020,5,31)),$M102,"")</f>
        <v/>
      </c>
      <c r="O102" s="5">
        <f>IF(AND($A102&gt;=DATE(2022,1,1),$A102&lt;=DATE(2022,10,31)),$M102,"")</f>
        <v/>
      </c>
      <c r="P102" s="5">
        <f>IF(AND($A102&gt;=DATE(2018,10,1),$A102&lt;=DATE(2018,12,31)),$M102,"")</f>
        <v/>
      </c>
      <c r="Q102" s="5">
        <f>SUMPRODUCT(Exposures!$B$8:$K$8,B102:K102)</f>
        <v/>
      </c>
      <c r="R102" s="5">
        <f>SUMPRODUCT(Exposures!$B$9:$K$9,B102:K102)</f>
        <v/>
      </c>
      <c r="S102" s="5">
        <f>SUMPRODUCT(Exposures!$B$10:$K$10,B102:K102)</f>
        <v/>
      </c>
    </row>
    <row r="103">
      <c r="A103" s="1" t="n">
        <v>42606</v>
      </c>
      <c r="B103" s="5" t="n">
        <v>-0.001762139990308695</v>
      </c>
      <c r="C103" s="5" t="n">
        <v>-0.0001445172452480438</v>
      </c>
      <c r="D103" s="5" t="n">
        <v>-0.01277765438174973</v>
      </c>
      <c r="E103" s="5" t="n">
        <v>0.002297686881512839</v>
      </c>
      <c r="F103" s="5" t="n">
        <v>0.002767926880547307</v>
      </c>
      <c r="G103" s="5" t="n">
        <v>-0.009382174314086019</v>
      </c>
      <c r="H103" s="5" t="n">
        <v>-0.0002910548288436428</v>
      </c>
      <c r="I103" s="5" t="n">
        <v>0.001499206637961611</v>
      </c>
      <c r="J103" s="5" t="n">
        <v>-0.009918223912787551</v>
      </c>
      <c r="K103" s="5" t="n">
        <v>-0.006981522598133325</v>
      </c>
      <c r="L103" s="5" t="n">
        <v>0.001071586471669073</v>
      </c>
      <c r="M103" s="5">
        <f>SUMPRODUCT(Exposures!$B$6:$K$6,B103:K103)</f>
        <v/>
      </c>
      <c r="N103" s="5">
        <f>IF(AND($A103&gt;=DATE(2020,2,1),$A103&lt;=DATE(2020,5,31)),$M103,"")</f>
        <v/>
      </c>
      <c r="O103" s="5">
        <f>IF(AND($A103&gt;=DATE(2022,1,1),$A103&lt;=DATE(2022,10,31)),$M103,"")</f>
        <v/>
      </c>
      <c r="P103" s="5">
        <f>IF(AND($A103&gt;=DATE(2018,10,1),$A103&lt;=DATE(2018,12,31)),$M103,"")</f>
        <v/>
      </c>
      <c r="Q103" s="5">
        <f>SUMPRODUCT(Exposures!$B$8:$K$8,B103:K103)</f>
        <v/>
      </c>
      <c r="R103" s="5">
        <f>SUMPRODUCT(Exposures!$B$9:$K$9,B103:K103)</f>
        <v/>
      </c>
      <c r="S103" s="5">
        <f>SUMPRODUCT(Exposures!$B$10:$K$10,B103:K103)</f>
        <v/>
      </c>
    </row>
    <row r="104">
      <c r="A104" s="1" t="n">
        <v>42607</v>
      </c>
      <c r="B104" s="5" t="n">
        <v>0.002881730309417399</v>
      </c>
      <c r="C104" s="5" t="n">
        <v>0.0009671473714831744</v>
      </c>
      <c r="D104" s="5" t="n">
        <v>0.009809460809910351</v>
      </c>
      <c r="E104" s="5" t="n">
        <v>0.0009635556896981685</v>
      </c>
      <c r="F104" s="5" t="n">
        <v>-0.0007388197223014491</v>
      </c>
      <c r="G104" s="5" t="n">
        <v>0.001555426957515311</v>
      </c>
      <c r="H104" s="5" t="n">
        <v>0.00348280473200013</v>
      </c>
      <c r="I104" s="5" t="n">
        <v>0.0008371535199853847</v>
      </c>
      <c r="J104" s="5" t="n">
        <v>0.0005644902719876086</v>
      </c>
      <c r="K104" s="5" t="n">
        <v>-0.002584655507825646</v>
      </c>
      <c r="L104" s="5" t="n">
        <v>0.0009361058129309253</v>
      </c>
      <c r="M104" s="5">
        <f>SUMPRODUCT(Exposures!$B$6:$K$6,B104:K104)</f>
        <v/>
      </c>
      <c r="N104" s="5">
        <f>IF(AND($A104&gt;=DATE(2020,2,1),$A104&lt;=DATE(2020,5,31)),$M104,"")</f>
        <v/>
      </c>
      <c r="O104" s="5">
        <f>IF(AND($A104&gt;=DATE(2022,1,1),$A104&lt;=DATE(2022,10,31)),$M104,"")</f>
        <v/>
      </c>
      <c r="P104" s="5">
        <f>IF(AND($A104&gt;=DATE(2018,10,1),$A104&lt;=DATE(2018,12,31)),$M104,"")</f>
        <v/>
      </c>
      <c r="Q104" s="5">
        <f>SUMPRODUCT(Exposures!$B$8:$K$8,B104:K104)</f>
        <v/>
      </c>
      <c r="R104" s="5">
        <f>SUMPRODUCT(Exposures!$B$9:$K$9,B104:K104)</f>
        <v/>
      </c>
      <c r="S104" s="5">
        <f>SUMPRODUCT(Exposures!$B$10:$K$10,B104:K104)</f>
        <v/>
      </c>
    </row>
    <row r="105">
      <c r="A105" s="1" t="n">
        <v>42608</v>
      </c>
      <c r="B105" s="5" t="n">
        <v>0.006970378656766515</v>
      </c>
      <c r="C105" s="5" t="n">
        <v>-0.000944609035753601</v>
      </c>
      <c r="D105" s="5" t="n">
        <v>-0.001233618881972202</v>
      </c>
      <c r="E105" s="5" t="n">
        <v>-0.0003411752649081283</v>
      </c>
      <c r="F105" s="5" t="n">
        <v>0.001767185807626213</v>
      </c>
      <c r="G105" s="5" t="n">
        <v>-0.00162802553990981</v>
      </c>
      <c r="H105" s="5" t="n">
        <v>0.001284745007756337</v>
      </c>
      <c r="I105" s="5" t="n">
        <v>0.0002257986236537711</v>
      </c>
      <c r="J105" s="5" t="n">
        <v>-0.0001288158372242843</v>
      </c>
      <c r="K105" s="5" t="n">
        <v>0.0001503460070155721</v>
      </c>
      <c r="L105" s="5" t="n">
        <v>-0.0001612945177504821</v>
      </c>
      <c r="M105" s="5">
        <f>SUMPRODUCT(Exposures!$B$6:$K$6,B105:K105)</f>
        <v/>
      </c>
      <c r="N105" s="5">
        <f>IF(AND($A105&gt;=DATE(2020,2,1),$A105&lt;=DATE(2020,5,31)),$M105,"")</f>
        <v/>
      </c>
      <c r="O105" s="5">
        <f>IF(AND($A105&gt;=DATE(2022,1,1),$A105&lt;=DATE(2022,10,31)),$M105,"")</f>
        <v/>
      </c>
      <c r="P105" s="5">
        <f>IF(AND($A105&gt;=DATE(2018,10,1),$A105&lt;=DATE(2018,12,31)),$M105,"")</f>
        <v/>
      </c>
      <c r="Q105" s="5">
        <f>SUMPRODUCT(Exposures!$B$8:$K$8,B105:K105)</f>
        <v/>
      </c>
      <c r="R105" s="5">
        <f>SUMPRODUCT(Exposures!$B$9:$K$9,B105:K105)</f>
        <v/>
      </c>
      <c r="S105" s="5">
        <f>SUMPRODUCT(Exposures!$B$10:$K$10,B105:K105)</f>
        <v/>
      </c>
    </row>
    <row r="106">
      <c r="A106" s="1" t="n">
        <v>42611</v>
      </c>
      <c r="B106" s="5" t="n">
        <v>-0.0003607311822960049</v>
      </c>
      <c r="C106" s="5" t="n">
        <v>-0.0005148398216622563</v>
      </c>
      <c r="D106" s="5" t="n">
        <v>-0.001048885328189959</v>
      </c>
      <c r="E106" s="5" t="n">
        <v>0.001641814938498636</v>
      </c>
      <c r="F106" s="5" t="n">
        <v>-0.001464410280222179</v>
      </c>
      <c r="G106" s="5" t="n">
        <v>0.007213550960604353</v>
      </c>
      <c r="H106" s="5" t="n">
        <v>-0.0002755332924400954</v>
      </c>
      <c r="I106" s="5" t="n">
        <v>-0.001332459851482166</v>
      </c>
      <c r="J106" s="5" t="n">
        <v>0.002104137724169706</v>
      </c>
      <c r="K106" s="5" t="n">
        <v>-8.604802363302352e-05</v>
      </c>
      <c r="L106" s="5" t="n">
        <v>0.002028029482736283</v>
      </c>
      <c r="M106" s="5">
        <f>SUMPRODUCT(Exposures!$B$6:$K$6,B106:K106)</f>
        <v/>
      </c>
      <c r="N106" s="5">
        <f>IF(AND($A106&gt;=DATE(2020,2,1),$A106&lt;=DATE(2020,5,31)),$M106,"")</f>
        <v/>
      </c>
      <c r="O106" s="5">
        <f>IF(AND($A106&gt;=DATE(2022,1,1),$A106&lt;=DATE(2022,10,31)),$M106,"")</f>
        <v/>
      </c>
      <c r="P106" s="5">
        <f>IF(AND($A106&gt;=DATE(2018,10,1),$A106&lt;=DATE(2018,12,31)),$M106,"")</f>
        <v/>
      </c>
      <c r="Q106" s="5">
        <f>SUMPRODUCT(Exposures!$B$8:$K$8,B106:K106)</f>
        <v/>
      </c>
      <c r="R106" s="5">
        <f>SUMPRODUCT(Exposures!$B$9:$K$9,B106:K106)</f>
        <v/>
      </c>
      <c r="S106" s="5">
        <f>SUMPRODUCT(Exposures!$B$10:$K$10,B106:K106)</f>
        <v/>
      </c>
    </row>
    <row r="107">
      <c r="A107" s="1" t="n">
        <v>42612</v>
      </c>
      <c r="B107" s="5" t="n">
        <v>0.005858570365339356</v>
      </c>
      <c r="C107" s="5" t="n">
        <v>0.004511414112107517</v>
      </c>
      <c r="D107" s="5" t="n">
        <v>-0.01077516910914678</v>
      </c>
      <c r="E107" s="5" t="n">
        <v>0.003407128273761205</v>
      </c>
      <c r="F107" s="5" t="n">
        <v>-0.00767499387250208</v>
      </c>
      <c r="G107" s="5" t="n">
        <v>-0.002089881734140289</v>
      </c>
      <c r="H107" s="5" t="n">
        <v>-0.001801689167137219</v>
      </c>
      <c r="I107" s="5" t="n">
        <v>-0.0008032404800029972</v>
      </c>
      <c r="J107" s="5" t="n">
        <v>-0.003901552410899322</v>
      </c>
      <c r="K107" s="5" t="n">
        <v>0.004547938238448794</v>
      </c>
      <c r="L107" s="5" t="n">
        <v>0.0006232033109007059</v>
      </c>
      <c r="M107" s="5">
        <f>SUMPRODUCT(Exposures!$B$6:$K$6,B107:K107)</f>
        <v/>
      </c>
      <c r="N107" s="5">
        <f>IF(AND($A107&gt;=DATE(2020,2,1),$A107&lt;=DATE(2020,5,31)),$M107,"")</f>
        <v/>
      </c>
      <c r="O107" s="5">
        <f>IF(AND($A107&gt;=DATE(2022,1,1),$A107&lt;=DATE(2022,10,31)),$M107,"")</f>
        <v/>
      </c>
      <c r="P107" s="5">
        <f>IF(AND($A107&gt;=DATE(2018,10,1),$A107&lt;=DATE(2018,12,31)),$M107,"")</f>
        <v/>
      </c>
      <c r="Q107" s="5">
        <f>SUMPRODUCT(Exposures!$B$8:$K$8,B107:K107)</f>
        <v/>
      </c>
      <c r="R107" s="5">
        <f>SUMPRODUCT(Exposures!$B$9:$K$9,B107:K107)</f>
        <v/>
      </c>
      <c r="S107" s="5">
        <f>SUMPRODUCT(Exposures!$B$10:$K$10,B107:K107)</f>
        <v/>
      </c>
    </row>
    <row r="108">
      <c r="A108" s="1" t="n">
        <v>42613</v>
      </c>
      <c r="B108" s="5" t="n">
        <v>-0.002406282820601765</v>
      </c>
      <c r="C108" s="5" t="n">
        <v>-0.001361606154693297</v>
      </c>
      <c r="D108" s="5" t="n">
        <v>-0.02148805174199192</v>
      </c>
      <c r="E108" s="5" t="n">
        <v>0.0001251783614942607</v>
      </c>
      <c r="F108" s="5" t="n">
        <v>-5.619094954229615e-05</v>
      </c>
      <c r="G108" s="5" t="n">
        <v>-0.004422472963076599</v>
      </c>
      <c r="H108" s="5" t="n">
        <v>9.551222639650429e-05</v>
      </c>
      <c r="I108" s="5" t="n">
        <v>0.0003974837823380932</v>
      </c>
      <c r="J108" s="5" t="n">
        <v>-0.00182526119501195</v>
      </c>
      <c r="K108" s="5" t="n">
        <v>0.00180284125997005</v>
      </c>
      <c r="L108" s="5" t="n">
        <v>0.002244989377303852</v>
      </c>
      <c r="M108" s="5">
        <f>SUMPRODUCT(Exposures!$B$6:$K$6,B108:K108)</f>
        <v/>
      </c>
      <c r="N108" s="5">
        <f>IF(AND($A108&gt;=DATE(2020,2,1),$A108&lt;=DATE(2020,5,31)),$M108,"")</f>
        <v/>
      </c>
      <c r="O108" s="5">
        <f>IF(AND($A108&gt;=DATE(2022,1,1),$A108&lt;=DATE(2022,10,31)),$M108,"")</f>
        <v/>
      </c>
      <c r="P108" s="5">
        <f>IF(AND($A108&gt;=DATE(2018,10,1),$A108&lt;=DATE(2018,12,31)),$M108,"")</f>
        <v/>
      </c>
      <c r="Q108" s="5">
        <f>SUMPRODUCT(Exposures!$B$8:$K$8,B108:K108)</f>
        <v/>
      </c>
      <c r="R108" s="5">
        <f>SUMPRODUCT(Exposures!$B$9:$K$9,B108:K108)</f>
        <v/>
      </c>
      <c r="S108" s="5">
        <f>SUMPRODUCT(Exposures!$B$10:$K$10,B108:K108)</f>
        <v/>
      </c>
    </row>
    <row r="109">
      <c r="A109" s="1" t="n">
        <v>42614</v>
      </c>
      <c r="B109" s="5" t="n">
        <v>-0.001243251572964451</v>
      </c>
      <c r="C109" s="5" t="n">
        <v>-0.0007706150896474046</v>
      </c>
      <c r="D109" s="5" t="n">
        <v>-0.0003480485496782289</v>
      </c>
      <c r="E109" s="5" t="n">
        <v>-0.0004444089837078925</v>
      </c>
      <c r="F109" s="5" t="n">
        <v>0.004010029457900889</v>
      </c>
      <c r="G109" s="5" t="n">
        <v>0.001959216871409315</v>
      </c>
      <c r="H109" s="5" t="n">
        <v>0.001687615371786552</v>
      </c>
      <c r="I109" s="5" t="n">
        <v>0.003628903472806692</v>
      </c>
      <c r="J109" s="5" t="n">
        <v>0.002619883458997651</v>
      </c>
      <c r="K109" s="5" t="n">
        <v>-0.005743306624406861</v>
      </c>
      <c r="L109" s="5" t="n">
        <v>-0.002253760867970418</v>
      </c>
      <c r="M109" s="5">
        <f>SUMPRODUCT(Exposures!$B$6:$K$6,B109:K109)</f>
        <v/>
      </c>
      <c r="N109" s="5">
        <f>IF(AND($A109&gt;=DATE(2020,2,1),$A109&lt;=DATE(2020,5,31)),$M109,"")</f>
        <v/>
      </c>
      <c r="O109" s="5">
        <f>IF(AND($A109&gt;=DATE(2022,1,1),$A109&lt;=DATE(2022,10,31)),$M109,"")</f>
        <v/>
      </c>
      <c r="P109" s="5">
        <f>IF(AND($A109&gt;=DATE(2018,10,1),$A109&lt;=DATE(2018,12,31)),$M109,"")</f>
        <v/>
      </c>
      <c r="Q109" s="5">
        <f>SUMPRODUCT(Exposures!$B$8:$K$8,B109:K109)</f>
        <v/>
      </c>
      <c r="R109" s="5">
        <f>SUMPRODUCT(Exposures!$B$9:$K$9,B109:K109)</f>
        <v/>
      </c>
      <c r="S109" s="5">
        <f>SUMPRODUCT(Exposures!$B$10:$K$10,B109:K109)</f>
        <v/>
      </c>
    </row>
    <row r="110">
      <c r="A110" s="1" t="n">
        <v>42615</v>
      </c>
      <c r="B110" s="5" t="n">
        <v>-0.0001320816872585196</v>
      </c>
      <c r="C110" s="5" t="n">
        <v>0.001079974382754066</v>
      </c>
      <c r="D110" s="5" t="n">
        <v>0.0006683066987527881</v>
      </c>
      <c r="E110" s="5" t="n">
        <v>-0.0003903195418163571</v>
      </c>
      <c r="F110" s="5" t="n">
        <v>-0.003942529703855918</v>
      </c>
      <c r="G110" s="5" t="n">
        <v>0.007726632053621132</v>
      </c>
      <c r="H110" s="5" t="n">
        <v>0.001590104975719273</v>
      </c>
      <c r="I110" s="5" t="n">
        <v>-0.001390718362565163</v>
      </c>
      <c r="J110" s="5" t="n">
        <v>0.00226967669149027</v>
      </c>
      <c r="K110" s="5" t="n">
        <v>0.003964797422616792</v>
      </c>
      <c r="L110" s="5" t="n">
        <v>0.001408081182176789</v>
      </c>
      <c r="M110" s="5">
        <f>SUMPRODUCT(Exposures!$B$6:$K$6,B110:K110)</f>
        <v/>
      </c>
      <c r="N110" s="5">
        <f>IF(AND($A110&gt;=DATE(2020,2,1),$A110&lt;=DATE(2020,5,31)),$M110,"")</f>
        <v/>
      </c>
      <c r="O110" s="5">
        <f>IF(AND($A110&gt;=DATE(2022,1,1),$A110&lt;=DATE(2022,10,31)),$M110,"")</f>
        <v/>
      </c>
      <c r="P110" s="5">
        <f>IF(AND($A110&gt;=DATE(2018,10,1),$A110&lt;=DATE(2018,12,31)),$M110,"")</f>
        <v/>
      </c>
      <c r="Q110" s="5">
        <f>SUMPRODUCT(Exposures!$B$8:$K$8,B110:K110)</f>
        <v/>
      </c>
      <c r="R110" s="5">
        <f>SUMPRODUCT(Exposures!$B$9:$K$9,B110:K110)</f>
        <v/>
      </c>
      <c r="S110" s="5">
        <f>SUMPRODUCT(Exposures!$B$10:$K$10,B110:K110)</f>
        <v/>
      </c>
    </row>
    <row r="111">
      <c r="A111" s="1" t="n">
        <v>42619</v>
      </c>
      <c r="B111" s="5" t="n">
        <v>-0.004162307066803513</v>
      </c>
      <c r="C111" s="5" t="n">
        <v>-0.002780445308445421</v>
      </c>
      <c r="D111" s="5" t="n">
        <v>-0.001119833043357116</v>
      </c>
      <c r="E111" s="5" t="n">
        <v>-0.001023359246930903</v>
      </c>
      <c r="F111" s="5" t="n">
        <v>0.004031665292586691</v>
      </c>
      <c r="G111" s="5" t="n">
        <v>0.001666678257916136</v>
      </c>
      <c r="H111" s="5" t="n">
        <v>0.0008559958120113553</v>
      </c>
      <c r="I111" s="5" t="n">
        <v>0.0006148796157086555</v>
      </c>
      <c r="J111" s="5" t="n">
        <v>0.004409543137586409</v>
      </c>
      <c r="K111" s="5" t="n">
        <v>0.001046903511656542</v>
      </c>
      <c r="L111" s="5" t="n">
        <v>0.002189985771963097</v>
      </c>
      <c r="M111" s="5">
        <f>SUMPRODUCT(Exposures!$B$6:$K$6,B111:K111)</f>
        <v/>
      </c>
      <c r="N111" s="5">
        <f>IF(AND($A111&gt;=DATE(2020,2,1),$A111&lt;=DATE(2020,5,31)),$M111,"")</f>
        <v/>
      </c>
      <c r="O111" s="5">
        <f>IF(AND($A111&gt;=DATE(2022,1,1),$A111&lt;=DATE(2022,10,31)),$M111,"")</f>
        <v/>
      </c>
      <c r="P111" s="5">
        <f>IF(AND($A111&gt;=DATE(2018,10,1),$A111&lt;=DATE(2018,12,31)),$M111,"")</f>
        <v/>
      </c>
      <c r="Q111" s="5">
        <f>SUMPRODUCT(Exposures!$B$8:$K$8,B111:K111)</f>
        <v/>
      </c>
      <c r="R111" s="5">
        <f>SUMPRODUCT(Exposures!$B$9:$K$9,B111:K111)</f>
        <v/>
      </c>
      <c r="S111" s="5">
        <f>SUMPRODUCT(Exposures!$B$10:$K$10,B111:K111)</f>
        <v/>
      </c>
    </row>
    <row r="112">
      <c r="A112" s="1" t="n">
        <v>42620</v>
      </c>
      <c r="B112" s="5" t="n">
        <v>0.002560132504806043</v>
      </c>
      <c r="C112" s="5" t="n">
        <v>-0.004168681224615241</v>
      </c>
      <c r="D112" s="5" t="n">
        <v>-0.006892380061705602</v>
      </c>
      <c r="E112" s="5" t="n">
        <v>0.001477163934905105</v>
      </c>
      <c r="F112" s="5" t="n">
        <v>0.009537335999872821</v>
      </c>
      <c r="G112" s="5" t="n">
        <v>0.00702080150228478</v>
      </c>
      <c r="H112" s="5" t="n">
        <v>-0.007032452190446152</v>
      </c>
      <c r="I112" s="5" t="n">
        <v>0.004197134528333361</v>
      </c>
      <c r="J112" s="5" t="n">
        <v>-0.003270875137035305</v>
      </c>
      <c r="K112" s="5" t="n">
        <v>-0.01648666997893747</v>
      </c>
      <c r="L112" s="5" t="n">
        <v>-0.001220922133544019</v>
      </c>
      <c r="M112" s="5">
        <f>SUMPRODUCT(Exposures!$B$6:$K$6,B112:K112)</f>
        <v/>
      </c>
      <c r="N112" s="5">
        <f>IF(AND($A112&gt;=DATE(2020,2,1),$A112&lt;=DATE(2020,5,31)),$M112,"")</f>
        <v/>
      </c>
      <c r="O112" s="5">
        <f>IF(AND($A112&gt;=DATE(2022,1,1),$A112&lt;=DATE(2022,10,31)),$M112,"")</f>
        <v/>
      </c>
      <c r="P112" s="5">
        <f>IF(AND($A112&gt;=DATE(2018,10,1),$A112&lt;=DATE(2018,12,31)),$M112,"")</f>
        <v/>
      </c>
      <c r="Q112" s="5">
        <f>SUMPRODUCT(Exposures!$B$8:$K$8,B112:K112)</f>
        <v/>
      </c>
      <c r="R112" s="5">
        <f>SUMPRODUCT(Exposures!$B$9:$K$9,B112:K112)</f>
        <v/>
      </c>
      <c r="S112" s="5">
        <f>SUMPRODUCT(Exposures!$B$10:$K$10,B112:K112)</f>
        <v/>
      </c>
    </row>
    <row r="113">
      <c r="A113" s="1" t="n">
        <v>42621</v>
      </c>
      <c r="B113" s="5" t="n">
        <v>7.604759474489058e-05</v>
      </c>
      <c r="C113" s="5" t="n">
        <v>-5.538137168364659e-05</v>
      </c>
      <c r="D113" s="5" t="n">
        <v>-0.0008450997911496823</v>
      </c>
      <c r="E113" s="5" t="n">
        <v>0.0004835543277168207</v>
      </c>
      <c r="F113" s="5" t="n">
        <v>-0.004500954754829542</v>
      </c>
      <c r="G113" s="5" t="n">
        <v>-0.004024964591399898</v>
      </c>
      <c r="H113" s="5" t="n">
        <v>-0.004740231553318148</v>
      </c>
      <c r="I113" s="5" t="n">
        <v>-0.001170984745859679</v>
      </c>
      <c r="J113" s="5" t="n">
        <v>-0.0007193101248326283</v>
      </c>
      <c r="K113" s="5" t="n">
        <v>0.004785365868784631</v>
      </c>
      <c r="L113" s="5" t="n">
        <v>0.002605827052093057</v>
      </c>
      <c r="M113" s="5">
        <f>SUMPRODUCT(Exposures!$B$6:$K$6,B113:K113)</f>
        <v/>
      </c>
      <c r="N113" s="5">
        <f>IF(AND($A113&gt;=DATE(2020,2,1),$A113&lt;=DATE(2020,5,31)),$M113,"")</f>
        <v/>
      </c>
      <c r="O113" s="5">
        <f>IF(AND($A113&gt;=DATE(2022,1,1),$A113&lt;=DATE(2022,10,31)),$M113,"")</f>
        <v/>
      </c>
      <c r="P113" s="5">
        <f>IF(AND($A113&gt;=DATE(2018,10,1),$A113&lt;=DATE(2018,12,31)),$M113,"")</f>
        <v/>
      </c>
      <c r="Q113" s="5">
        <f>SUMPRODUCT(Exposures!$B$8:$K$8,B113:K113)</f>
        <v/>
      </c>
      <c r="R113" s="5">
        <f>SUMPRODUCT(Exposures!$B$9:$K$9,B113:K113)</f>
        <v/>
      </c>
      <c r="S113" s="5">
        <f>SUMPRODUCT(Exposures!$B$10:$K$10,B113:K113)</f>
        <v/>
      </c>
    </row>
    <row r="114">
      <c r="A114" s="1" t="n">
        <v>42622</v>
      </c>
      <c r="B114" s="5" t="n">
        <v>-0.003061288455562048</v>
      </c>
      <c r="C114" s="5" t="n">
        <v>0.001468695523554144</v>
      </c>
      <c r="D114" s="5" t="n">
        <v>0.002221944447700135</v>
      </c>
      <c r="E114" s="5" t="n">
        <v>-0.0008810187566451983</v>
      </c>
      <c r="F114" s="5" t="n">
        <v>-0.002364701879355178</v>
      </c>
      <c r="G114" s="5" t="n">
        <v>-0.02947844624535446</v>
      </c>
      <c r="H114" s="5" t="n">
        <v>-0.006040648118538775</v>
      </c>
      <c r="I114" s="5" t="n">
        <v>0.001648804681706616</v>
      </c>
      <c r="J114" s="5" t="n">
        <v>-0.005067425955615232</v>
      </c>
      <c r="K114" s="5" t="n">
        <v>0.00245148953369195</v>
      </c>
      <c r="L114" s="5" t="n">
        <v>0.00323947853403325</v>
      </c>
      <c r="M114" s="5">
        <f>SUMPRODUCT(Exposures!$B$6:$K$6,B114:K114)</f>
        <v/>
      </c>
      <c r="N114" s="5">
        <f>IF(AND($A114&gt;=DATE(2020,2,1),$A114&lt;=DATE(2020,5,31)),$M114,"")</f>
        <v/>
      </c>
      <c r="O114" s="5">
        <f>IF(AND($A114&gt;=DATE(2022,1,1),$A114&lt;=DATE(2022,10,31)),$M114,"")</f>
        <v/>
      </c>
      <c r="P114" s="5">
        <f>IF(AND($A114&gt;=DATE(2018,10,1),$A114&lt;=DATE(2018,12,31)),$M114,"")</f>
        <v/>
      </c>
      <c r="Q114" s="5">
        <f>SUMPRODUCT(Exposures!$B$8:$K$8,B114:K114)</f>
        <v/>
      </c>
      <c r="R114" s="5">
        <f>SUMPRODUCT(Exposures!$B$9:$K$9,B114:K114)</f>
        <v/>
      </c>
      <c r="S114" s="5">
        <f>SUMPRODUCT(Exposures!$B$10:$K$10,B114:K114)</f>
        <v/>
      </c>
    </row>
    <row r="115">
      <c r="A115" s="1" t="n">
        <v>42625</v>
      </c>
      <c r="B115" s="5" t="n">
        <v>0.001727256084533503</v>
      </c>
      <c r="C115" s="5" t="n">
        <v>0.0005426561550434417</v>
      </c>
      <c r="D115" s="5" t="n">
        <v>-0.002815819250058216</v>
      </c>
      <c r="E115" s="5" t="n">
        <v>-0.0002150189029157259</v>
      </c>
      <c r="F115" s="5" t="n">
        <v>0.001274488521416984</v>
      </c>
      <c r="G115" s="5" t="n">
        <v>0.01513827165821225</v>
      </c>
      <c r="H115" s="5" t="n">
        <v>0.0003278506133504802</v>
      </c>
      <c r="I115" s="5" t="n">
        <v>-0.001225059956161329</v>
      </c>
      <c r="J115" s="5" t="n">
        <v>0.002887804997949969</v>
      </c>
      <c r="K115" s="5" t="n">
        <v>0.0006963073879561949</v>
      </c>
      <c r="L115" s="5" t="n">
        <v>-0.0009808095809892379</v>
      </c>
      <c r="M115" s="5">
        <f>SUMPRODUCT(Exposures!$B$6:$K$6,B115:K115)</f>
        <v/>
      </c>
      <c r="N115" s="5">
        <f>IF(AND($A115&gt;=DATE(2020,2,1),$A115&lt;=DATE(2020,5,31)),$M115,"")</f>
        <v/>
      </c>
      <c r="O115" s="5">
        <f>IF(AND($A115&gt;=DATE(2022,1,1),$A115&lt;=DATE(2022,10,31)),$M115,"")</f>
        <v/>
      </c>
      <c r="P115" s="5">
        <f>IF(AND($A115&gt;=DATE(2018,10,1),$A115&lt;=DATE(2018,12,31)),$M115,"")</f>
        <v/>
      </c>
      <c r="Q115" s="5">
        <f>SUMPRODUCT(Exposures!$B$8:$K$8,B115:K115)</f>
        <v/>
      </c>
      <c r="R115" s="5">
        <f>SUMPRODUCT(Exposures!$B$9:$K$9,B115:K115)</f>
        <v/>
      </c>
      <c r="S115" s="5">
        <f>SUMPRODUCT(Exposures!$B$10:$K$10,B115:K115)</f>
        <v/>
      </c>
    </row>
    <row r="116">
      <c r="A116" s="1" t="n">
        <v>42626</v>
      </c>
      <c r="B116" s="5" t="n">
        <v>-0.001496397474135193</v>
      </c>
      <c r="C116" s="5" t="n">
        <v>0.003002508000168966</v>
      </c>
      <c r="D116" s="5" t="n">
        <v>-0.0006154407869813752</v>
      </c>
      <c r="E116" s="5" t="n">
        <v>-0.0002026556152589986</v>
      </c>
      <c r="F116" s="5" t="n">
        <v>0.003681966850245155</v>
      </c>
      <c r="G116" s="5" t="n">
        <v>-0.01687587074577324</v>
      </c>
      <c r="H116" s="5" t="n">
        <v>0.0002696162995524492</v>
      </c>
      <c r="I116" s="5" t="n">
        <v>0.001045482218942368</v>
      </c>
      <c r="J116" s="5" t="n">
        <v>-0.002468253637106729</v>
      </c>
      <c r="K116" s="5" t="n">
        <v>-0.002933160773221364</v>
      </c>
      <c r="L116" s="5" t="n">
        <v>-0.001985712407910947</v>
      </c>
      <c r="M116" s="5">
        <f>SUMPRODUCT(Exposures!$B$6:$K$6,B116:K116)</f>
        <v/>
      </c>
      <c r="N116" s="5">
        <f>IF(AND($A116&gt;=DATE(2020,2,1),$A116&lt;=DATE(2020,5,31)),$M116,"")</f>
        <v/>
      </c>
      <c r="O116" s="5">
        <f>IF(AND($A116&gt;=DATE(2022,1,1),$A116&lt;=DATE(2022,10,31)),$M116,"")</f>
        <v/>
      </c>
      <c r="P116" s="5">
        <f>IF(AND($A116&gt;=DATE(2018,10,1),$A116&lt;=DATE(2018,12,31)),$M116,"")</f>
        <v/>
      </c>
      <c r="Q116" s="5">
        <f>SUMPRODUCT(Exposures!$B$8:$K$8,B116:K116)</f>
        <v/>
      </c>
      <c r="R116" s="5">
        <f>SUMPRODUCT(Exposures!$B$9:$K$9,B116:K116)</f>
        <v/>
      </c>
      <c r="S116" s="5">
        <f>SUMPRODUCT(Exposures!$B$10:$K$10,B116:K116)</f>
        <v/>
      </c>
    </row>
    <row r="117">
      <c r="A117" s="1" t="n">
        <v>42627</v>
      </c>
      <c r="B117" s="5" t="n">
        <v>0.001975058438544926</v>
      </c>
      <c r="C117" s="5" t="n">
        <v>0.003564613314016178</v>
      </c>
      <c r="D117" s="5" t="n">
        <v>-0.00100449106437481</v>
      </c>
      <c r="E117" s="5" t="n">
        <v>-0.00140130358221887</v>
      </c>
      <c r="F117" s="5" t="n">
        <v>0.0001976525141219366</v>
      </c>
      <c r="G117" s="5" t="n">
        <v>0.001640363180180116</v>
      </c>
      <c r="H117" s="5" t="n">
        <v>0.004852433529298409</v>
      </c>
      <c r="I117" s="5" t="n">
        <v>0.0002967641898334817</v>
      </c>
      <c r="J117" s="5" t="n">
        <v>0.006820046807958511</v>
      </c>
      <c r="K117" s="5" t="n">
        <v>0.0005085391271976492</v>
      </c>
      <c r="L117" s="5" t="n">
        <v>0.0001346839546221489</v>
      </c>
      <c r="M117" s="5">
        <f>SUMPRODUCT(Exposures!$B$6:$K$6,B117:K117)</f>
        <v/>
      </c>
      <c r="N117" s="5">
        <f>IF(AND($A117&gt;=DATE(2020,2,1),$A117&lt;=DATE(2020,5,31)),$M117,"")</f>
        <v/>
      </c>
      <c r="O117" s="5">
        <f>IF(AND($A117&gt;=DATE(2022,1,1),$A117&lt;=DATE(2022,10,31)),$M117,"")</f>
        <v/>
      </c>
      <c r="P117" s="5">
        <f>IF(AND($A117&gt;=DATE(2018,10,1),$A117&lt;=DATE(2018,12,31)),$M117,"")</f>
        <v/>
      </c>
      <c r="Q117" s="5">
        <f>SUMPRODUCT(Exposures!$B$8:$K$8,B117:K117)</f>
        <v/>
      </c>
      <c r="R117" s="5">
        <f>SUMPRODUCT(Exposures!$B$9:$K$9,B117:K117)</f>
        <v/>
      </c>
      <c r="S117" s="5">
        <f>SUMPRODUCT(Exposures!$B$10:$K$10,B117:K117)</f>
        <v/>
      </c>
    </row>
    <row r="118">
      <c r="A118" s="1" t="n">
        <v>42628</v>
      </c>
      <c r="B118" s="5" t="n">
        <v>0.002895353130122701</v>
      </c>
      <c r="C118" s="5" t="n">
        <v>0.0003471556263780408</v>
      </c>
      <c r="D118" s="5" t="n">
        <v>-0.001004066957575746</v>
      </c>
      <c r="E118" s="5" t="n">
        <v>-0.001890398796794301</v>
      </c>
      <c r="F118" s="5" t="n">
        <v>0.0007667285758451718</v>
      </c>
      <c r="G118" s="5" t="n">
        <v>0.01063718285169264</v>
      </c>
      <c r="H118" s="5" t="n">
        <v>0.002757579523242601</v>
      </c>
      <c r="I118" s="5" t="n">
        <v>0.001027679027686927</v>
      </c>
      <c r="J118" s="5" t="n">
        <v>0.000277541866600729</v>
      </c>
      <c r="K118" s="5" t="n">
        <v>-0.001792196379733972</v>
      </c>
      <c r="L118" s="5" t="n">
        <v>0.0004184216052723248</v>
      </c>
      <c r="M118" s="5">
        <f>SUMPRODUCT(Exposures!$B$6:$K$6,B118:K118)</f>
        <v/>
      </c>
      <c r="N118" s="5">
        <f>IF(AND($A118&gt;=DATE(2020,2,1),$A118&lt;=DATE(2020,5,31)),$M118,"")</f>
        <v/>
      </c>
      <c r="O118" s="5">
        <f>IF(AND($A118&gt;=DATE(2022,1,1),$A118&lt;=DATE(2022,10,31)),$M118,"")</f>
        <v/>
      </c>
      <c r="P118" s="5">
        <f>IF(AND($A118&gt;=DATE(2018,10,1),$A118&lt;=DATE(2018,12,31)),$M118,"")</f>
        <v/>
      </c>
      <c r="Q118" s="5">
        <f>SUMPRODUCT(Exposures!$B$8:$K$8,B118:K118)</f>
        <v/>
      </c>
      <c r="R118" s="5">
        <f>SUMPRODUCT(Exposures!$B$9:$K$9,B118:K118)</f>
        <v/>
      </c>
      <c r="S118" s="5">
        <f>SUMPRODUCT(Exposures!$B$10:$K$10,B118:K118)</f>
        <v/>
      </c>
    </row>
    <row r="119">
      <c r="A119" s="1" t="n">
        <v>42629</v>
      </c>
      <c r="B119" s="5" t="n">
        <v>-0.004418585408128891</v>
      </c>
      <c r="C119" s="5" t="n">
        <v>-0.001144774342015621</v>
      </c>
      <c r="D119" s="5" t="n">
        <v>-0.00126493112673166</v>
      </c>
      <c r="E119" s="5" t="n">
        <v>-0.0002736094415323591</v>
      </c>
      <c r="F119" s="5" t="n">
        <v>0.0019569230643005</v>
      </c>
      <c r="G119" s="5" t="n">
        <v>-0.003093824016253917</v>
      </c>
      <c r="H119" s="5" t="n">
        <v>-0.0004868086528922873</v>
      </c>
      <c r="I119" s="5" t="n">
        <v>-0.001651829016843565</v>
      </c>
      <c r="J119" s="5" t="n">
        <v>0.004931867617053652</v>
      </c>
      <c r="K119" s="5" t="n">
        <v>0.0008195126153531813</v>
      </c>
      <c r="L119" s="5" t="n">
        <v>-0.0009534113375470013</v>
      </c>
      <c r="M119" s="5">
        <f>SUMPRODUCT(Exposures!$B$6:$K$6,B119:K119)</f>
        <v/>
      </c>
      <c r="N119" s="5">
        <f>IF(AND($A119&gt;=DATE(2020,2,1),$A119&lt;=DATE(2020,5,31)),$M119,"")</f>
        <v/>
      </c>
      <c r="O119" s="5">
        <f>IF(AND($A119&gt;=DATE(2022,1,1),$A119&lt;=DATE(2022,10,31)),$M119,"")</f>
        <v/>
      </c>
      <c r="P119" s="5">
        <f>IF(AND($A119&gt;=DATE(2018,10,1),$A119&lt;=DATE(2018,12,31)),$M119,"")</f>
        <v/>
      </c>
      <c r="Q119" s="5">
        <f>SUMPRODUCT(Exposures!$B$8:$K$8,B119:K119)</f>
        <v/>
      </c>
      <c r="R119" s="5">
        <f>SUMPRODUCT(Exposures!$B$9:$K$9,B119:K119)</f>
        <v/>
      </c>
      <c r="S119" s="5">
        <f>SUMPRODUCT(Exposures!$B$10:$K$10,B119:K119)</f>
        <v/>
      </c>
    </row>
    <row r="120">
      <c r="A120" s="1" t="n">
        <v>42632</v>
      </c>
      <c r="B120" s="5" t="n">
        <v>0.002570977289602499</v>
      </c>
      <c r="C120" s="5" t="n">
        <v>-0.0007424048953177283</v>
      </c>
      <c r="D120" s="5" t="n">
        <v>-0.0005172477825859487</v>
      </c>
      <c r="E120" s="5" t="n">
        <v>-2.972055065040831e-05</v>
      </c>
      <c r="F120" s="5" t="n">
        <v>-0.004524149585766519</v>
      </c>
      <c r="G120" s="5" t="n">
        <v>0.0046334709189574</v>
      </c>
      <c r="H120" s="5" t="n">
        <v>0.002357857757197208</v>
      </c>
      <c r="I120" s="5" t="n">
        <v>-0.00237161648845594</v>
      </c>
      <c r="J120" s="5" t="n">
        <v>-0.0002331732103322253</v>
      </c>
      <c r="K120" s="5" t="n">
        <v>0.002096475541994571</v>
      </c>
      <c r="L120" s="5" t="n">
        <v>0.0004083859939242647</v>
      </c>
      <c r="M120" s="5">
        <f>SUMPRODUCT(Exposures!$B$6:$K$6,B120:K120)</f>
        <v/>
      </c>
      <c r="N120" s="5">
        <f>IF(AND($A120&gt;=DATE(2020,2,1),$A120&lt;=DATE(2020,5,31)),$M120,"")</f>
        <v/>
      </c>
      <c r="O120" s="5">
        <f>IF(AND($A120&gt;=DATE(2022,1,1),$A120&lt;=DATE(2022,10,31)),$M120,"")</f>
        <v/>
      </c>
      <c r="P120" s="5">
        <f>IF(AND($A120&gt;=DATE(2018,10,1),$A120&lt;=DATE(2018,12,31)),$M120,"")</f>
        <v/>
      </c>
      <c r="Q120" s="5">
        <f>SUMPRODUCT(Exposures!$B$8:$K$8,B120:K120)</f>
        <v/>
      </c>
      <c r="R120" s="5">
        <f>SUMPRODUCT(Exposures!$B$9:$K$9,B120:K120)</f>
        <v/>
      </c>
      <c r="S120" s="5">
        <f>SUMPRODUCT(Exposures!$B$10:$K$10,B120:K120)</f>
        <v/>
      </c>
    </row>
    <row r="121">
      <c r="A121" s="1" t="n">
        <v>42633</v>
      </c>
      <c r="B121" s="5" t="n">
        <v>-0.001062282060918531</v>
      </c>
      <c r="C121" s="5" t="n">
        <v>-0.003326582578610541</v>
      </c>
      <c r="D121" s="5" t="n">
        <v>-0.001857812228691222</v>
      </c>
      <c r="E121" s="5" t="n">
        <v>-0.0005009386378526059</v>
      </c>
      <c r="F121" s="5" t="n">
        <v>0.001755346062263264</v>
      </c>
      <c r="G121" s="5" t="n">
        <v>-0.001077845221047406</v>
      </c>
      <c r="H121" s="5" t="n">
        <v>0.0004379179151519177</v>
      </c>
      <c r="I121" s="5" t="n">
        <v>0.002122998838714106</v>
      </c>
      <c r="J121" s="5" t="n">
        <v>-0.001085603681556885</v>
      </c>
      <c r="K121" s="5" t="n">
        <v>-0.001010347613030075</v>
      </c>
      <c r="L121" s="5" t="n">
        <v>0.0001932260184739486</v>
      </c>
      <c r="M121" s="5">
        <f>SUMPRODUCT(Exposures!$B$6:$K$6,B121:K121)</f>
        <v/>
      </c>
      <c r="N121" s="5">
        <f>IF(AND($A121&gt;=DATE(2020,2,1),$A121&lt;=DATE(2020,5,31)),$M121,"")</f>
        <v/>
      </c>
      <c r="O121" s="5">
        <f>IF(AND($A121&gt;=DATE(2022,1,1),$A121&lt;=DATE(2022,10,31)),$M121,"")</f>
        <v/>
      </c>
      <c r="P121" s="5">
        <f>IF(AND($A121&gt;=DATE(2018,10,1),$A121&lt;=DATE(2018,12,31)),$M121,"")</f>
        <v/>
      </c>
      <c r="Q121" s="5">
        <f>SUMPRODUCT(Exposures!$B$8:$K$8,B121:K121)</f>
        <v/>
      </c>
      <c r="R121" s="5">
        <f>SUMPRODUCT(Exposures!$B$9:$K$9,B121:K121)</f>
        <v/>
      </c>
      <c r="S121" s="5">
        <f>SUMPRODUCT(Exposures!$B$10:$K$10,B121:K121)</f>
        <v/>
      </c>
    </row>
    <row r="122">
      <c r="A122" s="1" t="n">
        <v>42634</v>
      </c>
      <c r="B122" s="5" t="n">
        <v>0.0001443721758434271</v>
      </c>
      <c r="C122" s="5" t="n">
        <v>-0.0006155911617361805</v>
      </c>
      <c r="D122" s="5" t="n">
        <v>0.00234203571013449</v>
      </c>
      <c r="E122" s="5" t="n">
        <v>-0.0005114656079182591</v>
      </c>
      <c r="F122" s="5" t="n">
        <v>-0.001822897126847713</v>
      </c>
      <c r="G122" s="5" t="n">
        <v>0.01357842426160287</v>
      </c>
      <c r="H122" s="5" t="n">
        <v>0.005629802181267838</v>
      </c>
      <c r="I122" s="5" t="n">
        <v>-0.0001408101296130015</v>
      </c>
      <c r="J122" s="5" t="n">
        <v>0.005686902394608105</v>
      </c>
      <c r="K122" s="5" t="n">
        <v>0.004755424569021037</v>
      </c>
      <c r="L122" s="5" t="n">
        <v>0.0007314228954623022</v>
      </c>
      <c r="M122" s="5">
        <f>SUMPRODUCT(Exposures!$B$6:$K$6,B122:K122)</f>
        <v/>
      </c>
      <c r="N122" s="5">
        <f>IF(AND($A122&gt;=DATE(2020,2,1),$A122&lt;=DATE(2020,5,31)),$M122,"")</f>
        <v/>
      </c>
      <c r="O122" s="5">
        <f>IF(AND($A122&gt;=DATE(2022,1,1),$A122&lt;=DATE(2022,10,31)),$M122,"")</f>
        <v/>
      </c>
      <c r="P122" s="5">
        <f>IF(AND($A122&gt;=DATE(2018,10,1),$A122&lt;=DATE(2018,12,31)),$M122,"")</f>
        <v/>
      </c>
      <c r="Q122" s="5">
        <f>SUMPRODUCT(Exposures!$B$8:$K$8,B122:K122)</f>
        <v/>
      </c>
      <c r="R122" s="5">
        <f>SUMPRODUCT(Exposures!$B$9:$K$9,B122:K122)</f>
        <v/>
      </c>
      <c r="S122" s="5">
        <f>SUMPRODUCT(Exposures!$B$10:$K$10,B122:K122)</f>
        <v/>
      </c>
    </row>
    <row r="123">
      <c r="A123" s="1" t="n">
        <v>42635</v>
      </c>
      <c r="B123" s="5" t="n">
        <v>0.001455159628151076</v>
      </c>
      <c r="C123" s="5" t="n">
        <v>0.0007749253418709455</v>
      </c>
      <c r="D123" s="5" t="n">
        <v>-0.0008568622794011275</v>
      </c>
      <c r="E123" s="5" t="n">
        <v>0.0001730312329226848</v>
      </c>
      <c r="F123" s="5" t="n">
        <v>0.0004159812359185268</v>
      </c>
      <c r="G123" s="5" t="n">
        <v>0.008902259373185664</v>
      </c>
      <c r="H123" s="5" t="n">
        <v>0.001749259989030839</v>
      </c>
      <c r="I123" s="5" t="n">
        <v>0.001840480617118204</v>
      </c>
      <c r="J123" s="5" t="n">
        <v>-0.00132235890096652</v>
      </c>
      <c r="K123" s="5" t="n">
        <v>-0.002914152065156612</v>
      </c>
      <c r="L123" s="5" t="n">
        <v>-0.001052249911351788</v>
      </c>
      <c r="M123" s="5">
        <f>SUMPRODUCT(Exposures!$B$6:$K$6,B123:K123)</f>
        <v/>
      </c>
      <c r="N123" s="5">
        <f>IF(AND($A123&gt;=DATE(2020,2,1),$A123&lt;=DATE(2020,5,31)),$M123,"")</f>
        <v/>
      </c>
      <c r="O123" s="5">
        <f>IF(AND($A123&gt;=DATE(2022,1,1),$A123&lt;=DATE(2022,10,31)),$M123,"")</f>
        <v/>
      </c>
      <c r="P123" s="5">
        <f>IF(AND($A123&gt;=DATE(2018,10,1),$A123&lt;=DATE(2018,12,31)),$M123,"")</f>
        <v/>
      </c>
      <c r="Q123" s="5">
        <f>SUMPRODUCT(Exposures!$B$8:$K$8,B123:K123)</f>
        <v/>
      </c>
      <c r="R123" s="5">
        <f>SUMPRODUCT(Exposures!$B$9:$K$9,B123:K123)</f>
        <v/>
      </c>
      <c r="S123" s="5">
        <f>SUMPRODUCT(Exposures!$B$10:$K$10,B123:K123)</f>
        <v/>
      </c>
    </row>
    <row r="124">
      <c r="A124" s="1" t="n">
        <v>42636</v>
      </c>
      <c r="B124" s="5" t="n">
        <v>-0.0002278937398981379</v>
      </c>
      <c r="C124" s="5" t="n">
        <v>-0.001480067669814264</v>
      </c>
      <c r="D124" s="5" t="n">
        <v>0.00071753596155091</v>
      </c>
      <c r="E124" s="5" t="n">
        <v>0.0009004925284590986</v>
      </c>
      <c r="F124" s="5" t="n">
        <v>0.003542315484212108</v>
      </c>
      <c r="G124" s="5" t="n">
        <v>-0.004747426714484321</v>
      </c>
      <c r="H124" s="5" t="n">
        <v>-0.001178440544893628</v>
      </c>
      <c r="I124" s="5" t="n">
        <v>0.002333754348066783</v>
      </c>
      <c r="J124" s="5" t="n">
        <v>-0.003532689500581613</v>
      </c>
      <c r="K124" s="5" t="n">
        <v>-0.006705158122593234</v>
      </c>
      <c r="L124" s="5" t="n">
        <v>-0.001554962810083085</v>
      </c>
      <c r="M124" s="5">
        <f>SUMPRODUCT(Exposures!$B$6:$K$6,B124:K124)</f>
        <v/>
      </c>
      <c r="N124" s="5">
        <f>IF(AND($A124&gt;=DATE(2020,2,1),$A124&lt;=DATE(2020,5,31)),$M124,"")</f>
        <v/>
      </c>
      <c r="O124" s="5">
        <f>IF(AND($A124&gt;=DATE(2022,1,1),$A124&lt;=DATE(2022,10,31)),$M124,"")</f>
        <v/>
      </c>
      <c r="P124" s="5">
        <f>IF(AND($A124&gt;=DATE(2018,10,1),$A124&lt;=DATE(2018,12,31)),$M124,"")</f>
        <v/>
      </c>
      <c r="Q124" s="5">
        <f>SUMPRODUCT(Exposures!$B$8:$K$8,B124:K124)</f>
        <v/>
      </c>
      <c r="R124" s="5">
        <f>SUMPRODUCT(Exposures!$B$9:$K$9,B124:K124)</f>
        <v/>
      </c>
      <c r="S124" s="5">
        <f>SUMPRODUCT(Exposures!$B$10:$K$10,B124:K124)</f>
        <v/>
      </c>
    </row>
    <row r="125">
      <c r="A125" s="1" t="n">
        <v>42639</v>
      </c>
      <c r="B125" s="5" t="n">
        <v>-0.003010013193577799</v>
      </c>
      <c r="C125" s="5" t="n">
        <v>-0.001859016635190373</v>
      </c>
      <c r="D125" s="5" t="n">
        <v>-0.0005722922903652389</v>
      </c>
      <c r="E125" s="5" t="n">
        <v>-0.001451186415522861</v>
      </c>
      <c r="F125" s="5" t="n">
        <v>0.00178765011732464</v>
      </c>
      <c r="G125" s="5" t="n">
        <v>-0.008542560719184399</v>
      </c>
      <c r="H125" s="5" t="n">
        <v>0.000598523574909615</v>
      </c>
      <c r="I125" s="5" t="n">
        <v>0.001005532241621737</v>
      </c>
      <c r="J125" s="5" t="n">
        <v>-0.001910532535497912</v>
      </c>
      <c r="K125" s="5" t="n">
        <v>-0.003850964836021154</v>
      </c>
      <c r="L125" s="5" t="n">
        <v>-3.701442766939374e-05</v>
      </c>
      <c r="M125" s="5">
        <f>SUMPRODUCT(Exposures!$B$6:$K$6,B125:K125)</f>
        <v/>
      </c>
      <c r="N125" s="5">
        <f>IF(AND($A125&gt;=DATE(2020,2,1),$A125&lt;=DATE(2020,5,31)),$M125,"")</f>
        <v/>
      </c>
      <c r="O125" s="5">
        <f>IF(AND($A125&gt;=DATE(2022,1,1),$A125&lt;=DATE(2022,10,31)),$M125,"")</f>
        <v/>
      </c>
      <c r="P125" s="5">
        <f>IF(AND($A125&gt;=DATE(2018,10,1),$A125&lt;=DATE(2018,12,31)),$M125,"")</f>
        <v/>
      </c>
      <c r="Q125" s="5">
        <f>SUMPRODUCT(Exposures!$B$8:$K$8,B125:K125)</f>
        <v/>
      </c>
      <c r="R125" s="5">
        <f>SUMPRODUCT(Exposures!$B$9:$K$9,B125:K125)</f>
        <v/>
      </c>
      <c r="S125" s="5">
        <f>SUMPRODUCT(Exposures!$B$10:$K$10,B125:K125)</f>
        <v/>
      </c>
    </row>
    <row r="126">
      <c r="A126" s="1" t="n">
        <v>42640</v>
      </c>
      <c r="B126" s="5" t="n">
        <v>0.004158389501307242</v>
      </c>
      <c r="C126" s="5" t="n">
        <v>0.002512311225468408</v>
      </c>
      <c r="D126" s="5" t="n">
        <v>0.00115656743216653</v>
      </c>
      <c r="E126" s="5" t="n">
        <v>-0.0002672148398766271</v>
      </c>
      <c r="F126" s="5" t="n">
        <v>0.0007039381317744259</v>
      </c>
      <c r="G126" s="5" t="n">
        <v>0.006486024302027955</v>
      </c>
      <c r="H126" s="5" t="n">
        <v>0.001208592262989938</v>
      </c>
      <c r="I126" s="5" t="n">
        <v>-1.60160100334053e-05</v>
      </c>
      <c r="J126" s="5" t="n">
        <v>0.00335144528575548</v>
      </c>
      <c r="K126" s="5" t="n">
        <v>0.001985872698914379</v>
      </c>
      <c r="L126" s="5" t="n">
        <v>-0.00163439009743507</v>
      </c>
      <c r="M126" s="5">
        <f>SUMPRODUCT(Exposures!$B$6:$K$6,B126:K126)</f>
        <v/>
      </c>
      <c r="N126" s="5">
        <f>IF(AND($A126&gt;=DATE(2020,2,1),$A126&lt;=DATE(2020,5,31)),$M126,"")</f>
        <v/>
      </c>
      <c r="O126" s="5">
        <f>IF(AND($A126&gt;=DATE(2022,1,1),$A126&lt;=DATE(2022,10,31)),$M126,"")</f>
        <v/>
      </c>
      <c r="P126" s="5">
        <f>IF(AND($A126&gt;=DATE(2018,10,1),$A126&lt;=DATE(2018,12,31)),$M126,"")</f>
        <v/>
      </c>
      <c r="Q126" s="5">
        <f>SUMPRODUCT(Exposures!$B$8:$K$8,B126:K126)</f>
        <v/>
      </c>
      <c r="R126" s="5">
        <f>SUMPRODUCT(Exposures!$B$9:$K$9,B126:K126)</f>
        <v/>
      </c>
      <c r="S126" s="5">
        <f>SUMPRODUCT(Exposures!$B$10:$K$10,B126:K126)</f>
        <v/>
      </c>
    </row>
    <row r="127">
      <c r="A127" s="1" t="n">
        <v>42641</v>
      </c>
      <c r="B127" s="5" t="n">
        <v>0.002541516306542251</v>
      </c>
      <c r="C127" s="5" t="n">
        <v>-0.0009940603036895572</v>
      </c>
      <c r="D127" s="5" t="n">
        <v>0.003634080123177383</v>
      </c>
      <c r="E127" s="5" t="n">
        <v>-0.0002198887568575396</v>
      </c>
      <c r="F127" s="5" t="n">
        <v>-0.006450077208739776</v>
      </c>
      <c r="G127" s="5" t="n">
        <v>0.005131160872464794</v>
      </c>
      <c r="H127" s="5" t="n">
        <v>0.001459593355900364</v>
      </c>
      <c r="I127" s="5" t="n">
        <v>-0.001283369336052248</v>
      </c>
      <c r="J127" s="5" t="n">
        <v>0.0009628114625607328</v>
      </c>
      <c r="K127" s="5" t="n">
        <v>0.004781163947333518</v>
      </c>
      <c r="L127" s="5" t="n">
        <v>0.004761173534447547</v>
      </c>
      <c r="M127" s="5">
        <f>SUMPRODUCT(Exposures!$B$6:$K$6,B127:K127)</f>
        <v/>
      </c>
      <c r="N127" s="5">
        <f>IF(AND($A127&gt;=DATE(2020,2,1),$A127&lt;=DATE(2020,5,31)),$M127,"")</f>
        <v/>
      </c>
      <c r="O127" s="5">
        <f>IF(AND($A127&gt;=DATE(2022,1,1),$A127&lt;=DATE(2022,10,31)),$M127,"")</f>
        <v/>
      </c>
      <c r="P127" s="5">
        <f>IF(AND($A127&gt;=DATE(2018,10,1),$A127&lt;=DATE(2018,12,31)),$M127,"")</f>
        <v/>
      </c>
      <c r="Q127" s="5">
        <f>SUMPRODUCT(Exposures!$B$8:$K$8,B127:K127)</f>
        <v/>
      </c>
      <c r="R127" s="5">
        <f>SUMPRODUCT(Exposures!$B$9:$K$9,B127:K127)</f>
        <v/>
      </c>
      <c r="S127" s="5">
        <f>SUMPRODUCT(Exposures!$B$10:$K$10,B127:K127)</f>
        <v/>
      </c>
    </row>
    <row r="128">
      <c r="A128" s="1" t="n">
        <v>42642</v>
      </c>
      <c r="B128" s="5" t="n">
        <v>-0.001740394185290911</v>
      </c>
      <c r="C128" s="5" t="n">
        <v>0.001553437952609307</v>
      </c>
      <c r="D128" s="5" t="n">
        <v>0.003044259768459317</v>
      </c>
      <c r="E128" s="5" t="n">
        <v>-0.0002728708048610795</v>
      </c>
      <c r="F128" s="5" t="n">
        <v>0.004141289397854312</v>
      </c>
      <c r="G128" s="5" t="n">
        <v>-0.01267559365485233</v>
      </c>
      <c r="H128" s="5" t="n">
        <v>0.001214610855877398</v>
      </c>
      <c r="I128" s="5" t="n">
        <v>0.000173188126543913</v>
      </c>
      <c r="J128" s="5" t="n">
        <v>-0.002995232643912148</v>
      </c>
      <c r="K128" s="5" t="n">
        <v>-0.006261801383177709</v>
      </c>
      <c r="L128" s="5" t="n">
        <v>-0.001114035147027302</v>
      </c>
      <c r="M128" s="5">
        <f>SUMPRODUCT(Exposures!$B$6:$K$6,B128:K128)</f>
        <v/>
      </c>
      <c r="N128" s="5">
        <f>IF(AND($A128&gt;=DATE(2020,2,1),$A128&lt;=DATE(2020,5,31)),$M128,"")</f>
        <v/>
      </c>
      <c r="O128" s="5">
        <f>IF(AND($A128&gt;=DATE(2022,1,1),$A128&lt;=DATE(2022,10,31)),$M128,"")</f>
        <v/>
      </c>
      <c r="P128" s="5">
        <f>IF(AND($A128&gt;=DATE(2018,10,1),$A128&lt;=DATE(2018,12,31)),$M128,"")</f>
        <v/>
      </c>
      <c r="Q128" s="5">
        <f>SUMPRODUCT(Exposures!$B$8:$K$8,B128:K128)</f>
        <v/>
      </c>
      <c r="R128" s="5">
        <f>SUMPRODUCT(Exposures!$B$9:$K$9,B128:K128)</f>
        <v/>
      </c>
      <c r="S128" s="5">
        <f>SUMPRODUCT(Exposures!$B$10:$K$10,B128:K128)</f>
        <v/>
      </c>
    </row>
    <row r="129">
      <c r="A129" s="1" t="n">
        <v>42643</v>
      </c>
      <c r="B129" s="5" t="n">
        <v>0.007907971420295371</v>
      </c>
      <c r="C129" s="5" t="n">
        <v>0.003387131843636964</v>
      </c>
      <c r="D129" s="5" t="n">
        <v>0.001327051971880364</v>
      </c>
      <c r="E129" s="5" t="n">
        <v>0.001135452946281067</v>
      </c>
      <c r="F129" s="5" t="n">
        <v>0.001992894857373659</v>
      </c>
      <c r="G129" s="5" t="n">
        <v>0.008991160406333647</v>
      </c>
      <c r="H129" s="5" t="n">
        <v>0.001268026840866679</v>
      </c>
      <c r="I129" s="5" t="n">
        <v>0.001222504821655542</v>
      </c>
      <c r="J129" s="5" t="n">
        <v>-0.001778200199839571</v>
      </c>
      <c r="K129" s="5" t="n">
        <v>-0.003630887813852019</v>
      </c>
      <c r="L129" s="5" t="n">
        <v>-0.001685098076135189</v>
      </c>
      <c r="M129" s="5">
        <f>SUMPRODUCT(Exposures!$B$6:$K$6,B129:K129)</f>
        <v/>
      </c>
      <c r="N129" s="5">
        <f>IF(AND($A129&gt;=DATE(2020,2,1),$A129&lt;=DATE(2020,5,31)),$M129,"")</f>
        <v/>
      </c>
      <c r="O129" s="5">
        <f>IF(AND($A129&gt;=DATE(2022,1,1),$A129&lt;=DATE(2022,10,31)),$M129,"")</f>
        <v/>
      </c>
      <c r="P129" s="5">
        <f>IF(AND($A129&gt;=DATE(2018,10,1),$A129&lt;=DATE(2018,12,31)),$M129,"")</f>
        <v/>
      </c>
      <c r="Q129" s="5">
        <f>SUMPRODUCT(Exposures!$B$8:$K$8,B129:K129)</f>
        <v/>
      </c>
      <c r="R129" s="5">
        <f>SUMPRODUCT(Exposures!$B$9:$K$9,B129:K129)</f>
        <v/>
      </c>
      <c r="S129" s="5">
        <f>SUMPRODUCT(Exposures!$B$10:$K$10,B129:K129)</f>
        <v/>
      </c>
    </row>
    <row r="130">
      <c r="A130" s="1" t="n">
        <v>42646</v>
      </c>
      <c r="B130" s="5" t="n">
        <v>0.002353191854325113</v>
      </c>
      <c r="C130" s="5" t="n">
        <v>0.003251069158399112</v>
      </c>
      <c r="D130" s="5" t="n">
        <v>0.001566714691227344</v>
      </c>
      <c r="E130" s="5" t="n">
        <v>0.001731122766285673</v>
      </c>
      <c r="F130" s="5" t="n">
        <v>-0.000148095237946765</v>
      </c>
      <c r="G130" s="5" t="n">
        <v>-0.005580275357052976</v>
      </c>
      <c r="H130" s="5" t="n">
        <v>-0.002259388812141155</v>
      </c>
      <c r="I130" s="5" t="n">
        <v>0.001289574508268341</v>
      </c>
      <c r="J130" s="5" t="n">
        <v>-0.000321407747046451</v>
      </c>
      <c r="K130" s="5" t="n">
        <v>-5.620047630765538e-05</v>
      </c>
      <c r="L130" s="5" t="n">
        <v>-0.002911034071289048</v>
      </c>
      <c r="M130" s="5">
        <f>SUMPRODUCT(Exposures!$B$6:$K$6,B130:K130)</f>
        <v/>
      </c>
      <c r="N130" s="5">
        <f>IF(AND($A130&gt;=DATE(2020,2,1),$A130&lt;=DATE(2020,5,31)),$M130,"")</f>
        <v/>
      </c>
      <c r="O130" s="5">
        <f>IF(AND($A130&gt;=DATE(2022,1,1),$A130&lt;=DATE(2022,10,31)),$M130,"")</f>
        <v/>
      </c>
      <c r="P130" s="5">
        <f>IF(AND($A130&gt;=DATE(2018,10,1),$A130&lt;=DATE(2018,12,31)),$M130,"")</f>
        <v/>
      </c>
      <c r="Q130" s="5">
        <f>SUMPRODUCT(Exposures!$B$8:$K$8,B130:K130)</f>
        <v/>
      </c>
      <c r="R130" s="5">
        <f>SUMPRODUCT(Exposures!$B$9:$K$9,B130:K130)</f>
        <v/>
      </c>
      <c r="S130" s="5">
        <f>SUMPRODUCT(Exposures!$B$10:$K$10,B130:K130)</f>
        <v/>
      </c>
    </row>
    <row r="131">
      <c r="A131" s="1" t="n">
        <v>42647</v>
      </c>
      <c r="B131" s="5" t="n">
        <v>0.005362147429557487</v>
      </c>
      <c r="C131" s="5" t="n">
        <v>0.004445100591479117</v>
      </c>
      <c r="D131" s="5" t="n">
        <v>0.002515265745330644</v>
      </c>
      <c r="E131" s="5" t="n">
        <v>-0.001113802068078056</v>
      </c>
      <c r="F131" s="5" t="n">
        <v>-0.006698117134303051</v>
      </c>
      <c r="G131" s="5" t="n">
        <v>-0.005834563714447584</v>
      </c>
      <c r="H131" s="5" t="n">
        <v>-0.004356375037588466</v>
      </c>
      <c r="I131" s="5" t="n">
        <v>0.001177645352456556</v>
      </c>
      <c r="J131" s="5" t="n">
        <v>0.0002046028758625733</v>
      </c>
      <c r="K131" s="5" t="n">
        <v>0.006925757546291025</v>
      </c>
      <c r="L131" s="5" t="n">
        <v>0.001375387998337633</v>
      </c>
      <c r="M131" s="5">
        <f>SUMPRODUCT(Exposures!$B$6:$K$6,B131:K131)</f>
        <v/>
      </c>
      <c r="N131" s="5">
        <f>IF(AND($A131&gt;=DATE(2020,2,1),$A131&lt;=DATE(2020,5,31)),$M131,"")</f>
        <v/>
      </c>
      <c r="O131" s="5">
        <f>IF(AND($A131&gt;=DATE(2022,1,1),$A131&lt;=DATE(2022,10,31)),$M131,"")</f>
        <v/>
      </c>
      <c r="P131" s="5">
        <f>IF(AND($A131&gt;=DATE(2018,10,1),$A131&lt;=DATE(2018,12,31)),$M131,"")</f>
        <v/>
      </c>
      <c r="Q131" s="5">
        <f>SUMPRODUCT(Exposures!$B$8:$K$8,B131:K131)</f>
        <v/>
      </c>
      <c r="R131" s="5">
        <f>SUMPRODUCT(Exposures!$B$9:$K$9,B131:K131)</f>
        <v/>
      </c>
      <c r="S131" s="5">
        <f>SUMPRODUCT(Exposures!$B$10:$K$10,B131:K131)</f>
        <v/>
      </c>
    </row>
    <row r="132">
      <c r="A132" s="1" t="n">
        <v>42648</v>
      </c>
      <c r="B132" s="5" t="n">
        <v>0.005564306255256681</v>
      </c>
      <c r="C132" s="5" t="n">
        <v>0.00250675265612231</v>
      </c>
      <c r="D132" s="5" t="n">
        <v>0.002907653951758991</v>
      </c>
      <c r="E132" s="5" t="n">
        <v>0.001977544675301595</v>
      </c>
      <c r="F132" s="5" t="n">
        <v>-0.004039728052613326</v>
      </c>
      <c r="G132" s="5" t="n">
        <v>0.006467372000437182</v>
      </c>
      <c r="H132" s="5" t="n">
        <v>-0.002397506581938117</v>
      </c>
      <c r="I132" s="5" t="n">
        <v>-0.0001369437202132359</v>
      </c>
      <c r="J132" s="5" t="n">
        <v>0.003549476235608243</v>
      </c>
      <c r="K132" s="5" t="n">
        <v>0.00343712247538216</v>
      </c>
      <c r="L132" s="5" t="n">
        <v>0.001673659923890834</v>
      </c>
      <c r="M132" s="5">
        <f>SUMPRODUCT(Exposures!$B$6:$K$6,B132:K132)</f>
        <v/>
      </c>
      <c r="N132" s="5">
        <f>IF(AND($A132&gt;=DATE(2020,2,1),$A132&lt;=DATE(2020,5,31)),$M132,"")</f>
        <v/>
      </c>
      <c r="O132" s="5">
        <f>IF(AND($A132&gt;=DATE(2022,1,1),$A132&lt;=DATE(2022,10,31)),$M132,"")</f>
        <v/>
      </c>
      <c r="P132" s="5">
        <f>IF(AND($A132&gt;=DATE(2018,10,1),$A132&lt;=DATE(2018,12,31)),$M132,"")</f>
        <v/>
      </c>
      <c r="Q132" s="5">
        <f>SUMPRODUCT(Exposures!$B$8:$K$8,B132:K132)</f>
        <v/>
      </c>
      <c r="R132" s="5">
        <f>SUMPRODUCT(Exposures!$B$9:$K$9,B132:K132)</f>
        <v/>
      </c>
      <c r="S132" s="5">
        <f>SUMPRODUCT(Exposures!$B$10:$K$10,B132:K132)</f>
        <v/>
      </c>
    </row>
    <row r="133">
      <c r="A133" s="1" t="n">
        <v>42649</v>
      </c>
      <c r="B133" s="5" t="n">
        <v>-0.0009591297563442906</v>
      </c>
      <c r="C133" s="5" t="n">
        <v>0.003955019301839499</v>
      </c>
      <c r="D133" s="5" t="n">
        <v>-0.001321671000671362</v>
      </c>
      <c r="E133" s="5" t="n">
        <v>0.002483030281774956</v>
      </c>
      <c r="F133" s="5" t="n">
        <v>0.005659901850611217</v>
      </c>
      <c r="G133" s="5" t="n">
        <v>-0.004734908022865428</v>
      </c>
      <c r="H133" s="5" t="n">
        <v>0.007624280449108872</v>
      </c>
      <c r="I133" s="5" t="n">
        <v>0.003284007166614535</v>
      </c>
      <c r="J133" s="5" t="n">
        <v>-0.01245042661424487</v>
      </c>
      <c r="K133" s="5" t="n">
        <v>-0.01213752118792669</v>
      </c>
      <c r="L133" s="5" t="n">
        <v>-0.001923003788190672</v>
      </c>
      <c r="M133" s="5">
        <f>SUMPRODUCT(Exposures!$B$6:$K$6,B133:K133)</f>
        <v/>
      </c>
      <c r="N133" s="5">
        <f>IF(AND($A133&gt;=DATE(2020,2,1),$A133&lt;=DATE(2020,5,31)),$M133,"")</f>
        <v/>
      </c>
      <c r="O133" s="5">
        <f>IF(AND($A133&gt;=DATE(2022,1,1),$A133&lt;=DATE(2022,10,31)),$M133,"")</f>
        <v/>
      </c>
      <c r="P133" s="5">
        <f>IF(AND($A133&gt;=DATE(2018,10,1),$A133&lt;=DATE(2018,12,31)),$M133,"")</f>
        <v/>
      </c>
      <c r="Q133" s="5">
        <f>SUMPRODUCT(Exposures!$B$8:$K$8,B133:K133)</f>
        <v/>
      </c>
      <c r="R133" s="5">
        <f>SUMPRODUCT(Exposures!$B$9:$K$9,B133:K133)</f>
        <v/>
      </c>
      <c r="S133" s="5">
        <f>SUMPRODUCT(Exposures!$B$10:$K$10,B133:K133)</f>
        <v/>
      </c>
    </row>
    <row r="134">
      <c r="A134" s="1" t="n">
        <v>42650</v>
      </c>
      <c r="B134" s="5" t="n">
        <v>-0.002835138503281892</v>
      </c>
      <c r="C134" s="5" t="n">
        <v>-0.001686544185473428</v>
      </c>
      <c r="D134" s="5" t="n">
        <v>0.001185616489223436</v>
      </c>
      <c r="E134" s="5" t="n">
        <v>-0.001642365200719289</v>
      </c>
      <c r="F134" s="5" t="n">
        <v>0.00454564517243998</v>
      </c>
      <c r="G134" s="5" t="n">
        <v>-0.006990285322932404</v>
      </c>
      <c r="H134" s="5" t="n">
        <v>-0.0008771783478708037</v>
      </c>
      <c r="I134" s="5" t="n">
        <v>0.002872334565498828</v>
      </c>
      <c r="J134" s="5" t="n">
        <v>-0.00489566837246664</v>
      </c>
      <c r="K134" s="5" t="n">
        <v>-0.003658779589624436</v>
      </c>
      <c r="L134" s="5" t="n">
        <v>0.0005938930392185459</v>
      </c>
      <c r="M134" s="5">
        <f>SUMPRODUCT(Exposures!$B$6:$K$6,B134:K134)</f>
        <v/>
      </c>
      <c r="N134" s="5">
        <f>IF(AND($A134&gt;=DATE(2020,2,1),$A134&lt;=DATE(2020,5,31)),$M134,"")</f>
        <v/>
      </c>
      <c r="O134" s="5">
        <f>IF(AND($A134&gt;=DATE(2022,1,1),$A134&lt;=DATE(2022,10,31)),$M134,"")</f>
        <v/>
      </c>
      <c r="P134" s="5">
        <f>IF(AND($A134&gt;=DATE(2018,10,1),$A134&lt;=DATE(2018,12,31)),$M134,"")</f>
        <v/>
      </c>
      <c r="Q134" s="5">
        <f>SUMPRODUCT(Exposures!$B$8:$K$8,B134:K134)</f>
        <v/>
      </c>
      <c r="R134" s="5">
        <f>SUMPRODUCT(Exposures!$B$9:$K$9,B134:K134)</f>
        <v/>
      </c>
      <c r="S134" s="5">
        <f>SUMPRODUCT(Exposures!$B$10:$K$10,B134:K134)</f>
        <v/>
      </c>
    </row>
    <row r="135">
      <c r="A135" s="1" t="n">
        <v>42653</v>
      </c>
      <c r="B135" s="5" t="n">
        <v>0.003130530228057445</v>
      </c>
      <c r="C135" s="5" t="n">
        <v>-0.0004376557057090686</v>
      </c>
      <c r="D135" s="5" t="n">
        <v>-0.002279826095444223</v>
      </c>
      <c r="E135" s="5" t="n">
        <v>0.0003033606015706147</v>
      </c>
      <c r="F135" s="5" t="n">
        <v>0.005566872672587424</v>
      </c>
      <c r="G135" s="5" t="n">
        <v>0.006091625288698205</v>
      </c>
      <c r="H135" s="5" t="n">
        <v>0.0008397586860926082</v>
      </c>
      <c r="I135" s="5" t="n">
        <v>0.0002317601013889336</v>
      </c>
      <c r="J135" s="5" t="n">
        <v>-0.00153473920495243</v>
      </c>
      <c r="K135" s="5" t="n">
        <v>-0.007340297792842</v>
      </c>
      <c r="L135" s="5" t="n">
        <v>0.0009273088636054702</v>
      </c>
      <c r="M135" s="5">
        <f>SUMPRODUCT(Exposures!$B$6:$K$6,B135:K135)</f>
        <v/>
      </c>
      <c r="N135" s="5">
        <f>IF(AND($A135&gt;=DATE(2020,2,1),$A135&lt;=DATE(2020,5,31)),$M135,"")</f>
        <v/>
      </c>
      <c r="O135" s="5">
        <f>IF(AND($A135&gt;=DATE(2022,1,1),$A135&lt;=DATE(2022,10,31)),$M135,"")</f>
        <v/>
      </c>
      <c r="P135" s="5">
        <f>IF(AND($A135&gt;=DATE(2018,10,1),$A135&lt;=DATE(2018,12,31)),$M135,"")</f>
        <v/>
      </c>
      <c r="Q135" s="5">
        <f>SUMPRODUCT(Exposures!$B$8:$K$8,B135:K135)</f>
        <v/>
      </c>
      <c r="R135" s="5">
        <f>SUMPRODUCT(Exposures!$B$9:$K$9,B135:K135)</f>
        <v/>
      </c>
      <c r="S135" s="5">
        <f>SUMPRODUCT(Exposures!$B$10:$K$10,B135:K135)</f>
        <v/>
      </c>
    </row>
    <row r="136">
      <c r="A136" s="1" t="n">
        <v>42654</v>
      </c>
      <c r="B136" s="5" t="n">
        <v>-0.006385554893389662</v>
      </c>
      <c r="C136" s="5" t="n">
        <v>8.797549557107908e-05</v>
      </c>
      <c r="D136" s="5" t="n">
        <v>-0.00242586392502187</v>
      </c>
      <c r="E136" s="5" t="n">
        <v>0.0003783920941628713</v>
      </c>
      <c r="F136" s="5" t="n">
        <v>-0.004973077063812513</v>
      </c>
      <c r="G136" s="5" t="n">
        <v>-0.01638958764362229</v>
      </c>
      <c r="H136" s="5" t="n">
        <v>-0.002543533104405656</v>
      </c>
      <c r="I136" s="5" t="n">
        <v>-0.002893367737092918</v>
      </c>
      <c r="J136" s="5" t="n">
        <v>0.001890838024481344</v>
      </c>
      <c r="K136" s="5" t="n">
        <v>0.007501190568661331</v>
      </c>
      <c r="L136" s="5" t="n">
        <v>0.002768298034887727</v>
      </c>
      <c r="M136" s="5">
        <f>SUMPRODUCT(Exposures!$B$6:$K$6,B136:K136)</f>
        <v/>
      </c>
      <c r="N136" s="5">
        <f>IF(AND($A136&gt;=DATE(2020,2,1),$A136&lt;=DATE(2020,5,31)),$M136,"")</f>
        <v/>
      </c>
      <c r="O136" s="5">
        <f>IF(AND($A136&gt;=DATE(2022,1,1),$A136&lt;=DATE(2022,10,31)),$M136,"")</f>
        <v/>
      </c>
      <c r="P136" s="5">
        <f>IF(AND($A136&gt;=DATE(2018,10,1),$A136&lt;=DATE(2018,12,31)),$M136,"")</f>
        <v/>
      </c>
      <c r="Q136" s="5">
        <f>SUMPRODUCT(Exposures!$B$8:$K$8,B136:K136)</f>
        <v/>
      </c>
      <c r="R136" s="5">
        <f>SUMPRODUCT(Exposures!$B$9:$K$9,B136:K136)</f>
        <v/>
      </c>
      <c r="S136" s="5">
        <f>SUMPRODUCT(Exposures!$B$10:$K$10,B136:K136)</f>
        <v/>
      </c>
    </row>
    <row r="137">
      <c r="A137" s="1" t="n">
        <v>42655</v>
      </c>
      <c r="B137" s="5" t="n">
        <v>-0.005291148588737738</v>
      </c>
      <c r="C137" s="5" t="n">
        <v>-0.001115102419155255</v>
      </c>
      <c r="D137" s="5" t="n">
        <v>-0.0003071603727385918</v>
      </c>
      <c r="E137" s="5" t="n">
        <v>0.0005735448490379361</v>
      </c>
      <c r="F137" s="5" t="n">
        <v>-3.413022294892435e-05</v>
      </c>
      <c r="G137" s="5" t="n">
        <v>0.0009899069317565461</v>
      </c>
      <c r="H137" s="5" t="n">
        <v>0.002873020127781007</v>
      </c>
      <c r="I137" s="5" t="n">
        <v>-0.0005953684700096783</v>
      </c>
      <c r="J137" s="5" t="n">
        <v>-0.002286485276248521</v>
      </c>
      <c r="K137" s="5" t="n">
        <v>-0.002175921679452328</v>
      </c>
      <c r="L137" s="5" t="n">
        <v>0.0009224479124519082</v>
      </c>
      <c r="M137" s="5">
        <f>SUMPRODUCT(Exposures!$B$6:$K$6,B137:K137)</f>
        <v/>
      </c>
      <c r="N137" s="5">
        <f>IF(AND($A137&gt;=DATE(2020,2,1),$A137&lt;=DATE(2020,5,31)),$M137,"")</f>
        <v/>
      </c>
      <c r="O137" s="5">
        <f>IF(AND($A137&gt;=DATE(2022,1,1),$A137&lt;=DATE(2022,10,31)),$M137,"")</f>
        <v/>
      </c>
      <c r="P137" s="5">
        <f>IF(AND($A137&gt;=DATE(2018,10,1),$A137&lt;=DATE(2018,12,31)),$M137,"")</f>
        <v/>
      </c>
      <c r="Q137" s="5">
        <f>SUMPRODUCT(Exposures!$B$8:$K$8,B137:K137)</f>
        <v/>
      </c>
      <c r="R137" s="5">
        <f>SUMPRODUCT(Exposures!$B$9:$K$9,B137:K137)</f>
        <v/>
      </c>
      <c r="S137" s="5">
        <f>SUMPRODUCT(Exposures!$B$10:$K$10,B137:K137)</f>
        <v/>
      </c>
    </row>
    <row r="138">
      <c r="A138" s="1" t="n">
        <v>42656</v>
      </c>
      <c r="B138" s="5" t="n">
        <v>-0.004955530130181568</v>
      </c>
      <c r="C138" s="5" t="n">
        <v>0.0006193607848046181</v>
      </c>
      <c r="D138" s="5" t="n">
        <v>-0.00101407179798034</v>
      </c>
      <c r="E138" s="5" t="n">
        <v>0.001032725729160763</v>
      </c>
      <c r="F138" s="5" t="n">
        <v>0.002322991751454201</v>
      </c>
      <c r="G138" s="5" t="n">
        <v>-0.005291520448437528</v>
      </c>
      <c r="H138" s="5" t="n">
        <v>-0.001928106795429164</v>
      </c>
      <c r="I138" s="5" t="n">
        <v>-0.0008735035307699812</v>
      </c>
      <c r="J138" s="5" t="n">
        <v>5.054350645259699e-05</v>
      </c>
      <c r="K138" s="5" t="n">
        <v>-8.630936915962444e-05</v>
      </c>
      <c r="L138" s="5" t="n">
        <v>-0.00327045179202176</v>
      </c>
      <c r="M138" s="5">
        <f>SUMPRODUCT(Exposures!$B$6:$K$6,B138:K138)</f>
        <v/>
      </c>
      <c r="N138" s="5">
        <f>IF(AND($A138&gt;=DATE(2020,2,1),$A138&lt;=DATE(2020,5,31)),$M138,"")</f>
        <v/>
      </c>
      <c r="O138" s="5">
        <f>IF(AND($A138&gt;=DATE(2022,1,1),$A138&lt;=DATE(2022,10,31)),$M138,"")</f>
        <v/>
      </c>
      <c r="P138" s="5">
        <f>IF(AND($A138&gt;=DATE(2018,10,1),$A138&lt;=DATE(2018,12,31)),$M138,"")</f>
        <v/>
      </c>
      <c r="Q138" s="5">
        <f>SUMPRODUCT(Exposures!$B$8:$K$8,B138:K138)</f>
        <v/>
      </c>
      <c r="R138" s="5">
        <f>SUMPRODUCT(Exposures!$B$9:$K$9,B138:K138)</f>
        <v/>
      </c>
      <c r="S138" s="5">
        <f>SUMPRODUCT(Exposures!$B$10:$K$10,B138:K138)</f>
        <v/>
      </c>
    </row>
    <row r="139">
      <c r="A139" s="1" t="n">
        <v>42657</v>
      </c>
      <c r="B139" s="5" t="n">
        <v>0.001395492082407144</v>
      </c>
      <c r="C139" s="5" t="n">
        <v>0.0005837144510135198</v>
      </c>
      <c r="D139" s="5" t="n">
        <v>0.002199063099614639</v>
      </c>
      <c r="E139" s="5" t="n">
        <v>-0.0005862069475385551</v>
      </c>
      <c r="F139" s="5" t="n">
        <v>0.0005536011577576284</v>
      </c>
      <c r="G139" s="5" t="n">
        <v>-0.003452187674747111</v>
      </c>
      <c r="H139" s="5" t="n">
        <v>0.00393358666926757</v>
      </c>
      <c r="I139" s="5" t="n">
        <v>-0.0002802290334940261</v>
      </c>
      <c r="J139" s="5" t="n">
        <v>-0.005672774642593133</v>
      </c>
      <c r="K139" s="5" t="n">
        <v>-0.0008768209296229289</v>
      </c>
      <c r="L139" s="5" t="n">
        <v>0.001446741031289415</v>
      </c>
      <c r="M139" s="5">
        <f>SUMPRODUCT(Exposures!$B$6:$K$6,B139:K139)</f>
        <v/>
      </c>
      <c r="N139" s="5">
        <f>IF(AND($A139&gt;=DATE(2020,2,1),$A139&lt;=DATE(2020,5,31)),$M139,"")</f>
        <v/>
      </c>
      <c r="O139" s="5">
        <f>IF(AND($A139&gt;=DATE(2022,1,1),$A139&lt;=DATE(2022,10,31)),$M139,"")</f>
        <v/>
      </c>
      <c r="P139" s="5">
        <f>IF(AND($A139&gt;=DATE(2018,10,1),$A139&lt;=DATE(2018,12,31)),$M139,"")</f>
        <v/>
      </c>
      <c r="Q139" s="5">
        <f>SUMPRODUCT(Exposures!$B$8:$K$8,B139:K139)</f>
        <v/>
      </c>
      <c r="R139" s="5">
        <f>SUMPRODUCT(Exposures!$B$9:$K$9,B139:K139)</f>
        <v/>
      </c>
      <c r="S139" s="5">
        <f>SUMPRODUCT(Exposures!$B$10:$K$10,B139:K139)</f>
        <v/>
      </c>
    </row>
    <row r="140">
      <c r="A140" s="1" t="n">
        <v>42660</v>
      </c>
      <c r="B140" s="5" t="n">
        <v>0.0002929692250732502</v>
      </c>
      <c r="C140" s="5" t="n">
        <v>0.0001196200912990182</v>
      </c>
      <c r="D140" s="5" t="n">
        <v>-0.001031950747364112</v>
      </c>
      <c r="E140" s="5" t="n">
        <v>-0.0005868301579633309</v>
      </c>
      <c r="F140" s="5" t="n">
        <v>-0.005913983679119334</v>
      </c>
      <c r="G140" s="5" t="n">
        <v>-0.001316188255469074</v>
      </c>
      <c r="H140" s="5" t="n">
        <v>0.001540529824597</v>
      </c>
      <c r="I140" s="5" t="n">
        <v>-0.001500047617315225</v>
      </c>
      <c r="J140" s="5" t="n">
        <v>0.00439420155495015</v>
      </c>
      <c r="K140" s="5" t="n">
        <v>0.008134427090340313</v>
      </c>
      <c r="L140" s="5" t="n">
        <v>0.002776603844895225</v>
      </c>
      <c r="M140" s="5">
        <f>SUMPRODUCT(Exposures!$B$6:$K$6,B140:K140)</f>
        <v/>
      </c>
      <c r="N140" s="5">
        <f>IF(AND($A140&gt;=DATE(2020,2,1),$A140&lt;=DATE(2020,5,31)),$M140,"")</f>
        <v/>
      </c>
      <c r="O140" s="5">
        <f>IF(AND($A140&gt;=DATE(2022,1,1),$A140&lt;=DATE(2022,10,31)),$M140,"")</f>
        <v/>
      </c>
      <c r="P140" s="5">
        <f>IF(AND($A140&gt;=DATE(2018,10,1),$A140&lt;=DATE(2018,12,31)),$M140,"")</f>
        <v/>
      </c>
      <c r="Q140" s="5">
        <f>SUMPRODUCT(Exposures!$B$8:$K$8,B140:K140)</f>
        <v/>
      </c>
      <c r="R140" s="5">
        <f>SUMPRODUCT(Exposures!$B$9:$K$9,B140:K140)</f>
        <v/>
      </c>
      <c r="S140" s="5">
        <f>SUMPRODUCT(Exposures!$B$10:$K$10,B140:K140)</f>
        <v/>
      </c>
    </row>
    <row r="141">
      <c r="A141" s="1" t="n">
        <v>42661</v>
      </c>
      <c r="B141" s="5" t="n">
        <v>0.000241585031222262</v>
      </c>
      <c r="C141" s="5" t="n">
        <v>0.0006906543176246896</v>
      </c>
      <c r="D141" s="5" t="n">
        <v>-0.001173928943633681</v>
      </c>
      <c r="E141" s="5" t="n">
        <v>0.0008529448974033434</v>
      </c>
      <c r="F141" s="5" t="n">
        <v>4.700306008890799e-05</v>
      </c>
      <c r="G141" s="5" t="n">
        <v>0.00912927498308526</v>
      </c>
      <c r="H141" s="5" t="n">
        <v>-0.0003372139395323463</v>
      </c>
      <c r="I141" s="5" t="n">
        <v>-0.001773426947761786</v>
      </c>
      <c r="J141" s="5" t="n">
        <v>0.003305389626968221</v>
      </c>
      <c r="K141" s="5" t="n">
        <v>0.002204250877977436</v>
      </c>
      <c r="L141" s="5" t="n">
        <v>-0.0008371267845030146</v>
      </c>
      <c r="M141" s="5">
        <f>SUMPRODUCT(Exposures!$B$6:$K$6,B141:K141)</f>
        <v/>
      </c>
      <c r="N141" s="5">
        <f>IF(AND($A141&gt;=DATE(2020,2,1),$A141&lt;=DATE(2020,5,31)),$M141,"")</f>
        <v/>
      </c>
      <c r="O141" s="5">
        <f>IF(AND($A141&gt;=DATE(2022,1,1),$A141&lt;=DATE(2022,10,31)),$M141,"")</f>
        <v/>
      </c>
      <c r="P141" s="5">
        <f>IF(AND($A141&gt;=DATE(2018,10,1),$A141&lt;=DATE(2018,12,31)),$M141,"")</f>
        <v/>
      </c>
      <c r="Q141" s="5">
        <f>SUMPRODUCT(Exposures!$B$8:$K$8,B141:K141)</f>
        <v/>
      </c>
      <c r="R141" s="5">
        <f>SUMPRODUCT(Exposures!$B$9:$K$9,B141:K141)</f>
        <v/>
      </c>
      <c r="S141" s="5">
        <f>SUMPRODUCT(Exposures!$B$10:$K$10,B141:K141)</f>
        <v/>
      </c>
    </row>
    <row r="142">
      <c r="A142" s="1" t="n">
        <v>42662</v>
      </c>
      <c r="B142" s="5" t="n">
        <v>0.002634506127813593</v>
      </c>
      <c r="C142" s="5" t="n">
        <v>0.0006744376965630058</v>
      </c>
      <c r="D142" s="5" t="n">
        <v>0.0002616503012272041</v>
      </c>
      <c r="E142" s="5" t="n">
        <v>0.002746359131824807</v>
      </c>
      <c r="F142" s="5" t="n">
        <v>0.002132009047260483</v>
      </c>
      <c r="G142" s="5" t="n">
        <v>0.003404029843675282</v>
      </c>
      <c r="H142" s="5" t="n">
        <v>0.001739183969965182</v>
      </c>
      <c r="I142" s="5" t="n">
        <v>-0.0006059433039444887</v>
      </c>
      <c r="J142" s="5" t="n">
        <v>0.0001054968140410391</v>
      </c>
      <c r="K142" s="5" t="n">
        <v>-0.003272418496571428</v>
      </c>
      <c r="L142" s="5" t="n">
        <v>0.00222332445658478</v>
      </c>
      <c r="M142" s="5">
        <f>SUMPRODUCT(Exposures!$B$6:$K$6,B142:K142)</f>
        <v/>
      </c>
      <c r="N142" s="5">
        <f>IF(AND($A142&gt;=DATE(2020,2,1),$A142&lt;=DATE(2020,5,31)),$M142,"")</f>
        <v/>
      </c>
      <c r="O142" s="5">
        <f>IF(AND($A142&gt;=DATE(2022,1,1),$A142&lt;=DATE(2022,10,31)),$M142,"")</f>
        <v/>
      </c>
      <c r="P142" s="5">
        <f>IF(AND($A142&gt;=DATE(2018,10,1),$A142&lt;=DATE(2018,12,31)),$M142,"")</f>
        <v/>
      </c>
      <c r="Q142" s="5">
        <f>SUMPRODUCT(Exposures!$B$8:$K$8,B142:K142)</f>
        <v/>
      </c>
      <c r="R142" s="5">
        <f>SUMPRODUCT(Exposures!$B$9:$K$9,B142:K142)</f>
        <v/>
      </c>
      <c r="S142" s="5">
        <f>SUMPRODUCT(Exposures!$B$10:$K$10,B142:K142)</f>
        <v/>
      </c>
    </row>
    <row r="143">
      <c r="A143" s="1" t="n">
        <v>42663</v>
      </c>
      <c r="B143" s="5" t="n">
        <v>0.002618186202095398</v>
      </c>
      <c r="C143" s="5" t="n">
        <v>0.0007971073783814288</v>
      </c>
      <c r="D143" s="5" t="n">
        <v>0.0009333673972689654</v>
      </c>
      <c r="E143" s="5" t="n">
        <v>0.0012131593949292</v>
      </c>
      <c r="F143" s="5" t="n">
        <v>0.001217677396368225</v>
      </c>
      <c r="G143" s="5" t="n">
        <v>0.0006355841375592576</v>
      </c>
      <c r="H143" s="5" t="n">
        <v>-0.001540809867039511</v>
      </c>
      <c r="I143" s="5" t="n">
        <v>0.003464728902754928</v>
      </c>
      <c r="J143" s="5" t="n">
        <v>0.001692803072072161</v>
      </c>
      <c r="K143" s="5" t="n">
        <v>-0.0004817174100984609</v>
      </c>
      <c r="L143" s="5" t="n">
        <v>-0.002538145397308891</v>
      </c>
      <c r="M143" s="5">
        <f>SUMPRODUCT(Exposures!$B$6:$K$6,B143:K143)</f>
        <v/>
      </c>
      <c r="N143" s="5">
        <f>IF(AND($A143&gt;=DATE(2020,2,1),$A143&lt;=DATE(2020,5,31)),$M143,"")</f>
        <v/>
      </c>
      <c r="O143" s="5">
        <f>IF(AND($A143&gt;=DATE(2022,1,1),$A143&lt;=DATE(2022,10,31)),$M143,"")</f>
        <v/>
      </c>
      <c r="P143" s="5">
        <f>IF(AND($A143&gt;=DATE(2018,10,1),$A143&lt;=DATE(2018,12,31)),$M143,"")</f>
        <v/>
      </c>
      <c r="Q143" s="5">
        <f>SUMPRODUCT(Exposures!$B$8:$K$8,B143:K143)</f>
        <v/>
      </c>
      <c r="R143" s="5">
        <f>SUMPRODUCT(Exposures!$B$9:$K$9,B143:K143)</f>
        <v/>
      </c>
      <c r="S143" s="5">
        <f>SUMPRODUCT(Exposures!$B$10:$K$10,B143:K143)</f>
        <v/>
      </c>
    </row>
    <row r="144">
      <c r="A144" s="1" t="n">
        <v>42664</v>
      </c>
      <c r="B144" s="5" t="n">
        <v>-0.0002226574846402979</v>
      </c>
      <c r="C144" s="5" t="n">
        <v>0.001428238082344511</v>
      </c>
      <c r="D144" s="5" t="n">
        <v>0.0008699206850214566</v>
      </c>
      <c r="E144" s="5" t="n">
        <v>0.001131171146701825</v>
      </c>
      <c r="F144" s="5" t="n">
        <v>-0.0002754997120382316</v>
      </c>
      <c r="G144" s="5" t="n">
        <v>-0.001393304676911361</v>
      </c>
      <c r="H144" s="5" t="n">
        <v>-0.0010422029191781</v>
      </c>
      <c r="I144" s="5" t="n">
        <v>-0.0001523203159423068</v>
      </c>
      <c r="J144" s="5" t="n">
        <v>-0.001374954984263778</v>
      </c>
      <c r="K144" s="5" t="n">
        <v>-0.001146184849930352</v>
      </c>
      <c r="L144" s="5" t="n">
        <v>0.001135998112209085</v>
      </c>
      <c r="M144" s="5">
        <f>SUMPRODUCT(Exposures!$B$6:$K$6,B144:K144)</f>
        <v/>
      </c>
      <c r="N144" s="5">
        <f>IF(AND($A144&gt;=DATE(2020,2,1),$A144&lt;=DATE(2020,5,31)),$M144,"")</f>
        <v/>
      </c>
      <c r="O144" s="5">
        <f>IF(AND($A144&gt;=DATE(2022,1,1),$A144&lt;=DATE(2022,10,31)),$M144,"")</f>
        <v/>
      </c>
      <c r="P144" s="5">
        <f>IF(AND($A144&gt;=DATE(2018,10,1),$A144&lt;=DATE(2018,12,31)),$M144,"")</f>
        <v/>
      </c>
      <c r="Q144" s="5">
        <f>SUMPRODUCT(Exposures!$B$8:$K$8,B144:K144)</f>
        <v/>
      </c>
      <c r="R144" s="5">
        <f>SUMPRODUCT(Exposures!$B$9:$K$9,B144:K144)</f>
        <v/>
      </c>
      <c r="S144" s="5">
        <f>SUMPRODUCT(Exposures!$B$10:$K$10,B144:K144)</f>
        <v/>
      </c>
    </row>
    <row r="145">
      <c r="A145" s="1" t="n">
        <v>42667</v>
      </c>
      <c r="B145" s="5" t="n">
        <v>0.002369108919886052</v>
      </c>
      <c r="C145" s="5" t="n">
        <v>-0.0009767964626915845</v>
      </c>
      <c r="D145" s="5" t="n">
        <v>-0.00147942025118745</v>
      </c>
      <c r="E145" s="5" t="n">
        <v>0.0008423583243499035</v>
      </c>
      <c r="F145" s="5" t="n">
        <v>0.007940427126677651</v>
      </c>
      <c r="G145" s="5" t="n">
        <v>0.004594164255893497</v>
      </c>
      <c r="H145" s="5" t="n">
        <v>0.00326457432959142</v>
      </c>
      <c r="I145" s="5" t="n">
        <v>0.002202747392952911</v>
      </c>
      <c r="J145" s="5" t="n">
        <v>-0.003971840209573161</v>
      </c>
      <c r="K145" s="5" t="n">
        <v>-0.009050227647627153</v>
      </c>
      <c r="L145" s="5" t="n">
        <v>-0.00179806707828733</v>
      </c>
      <c r="M145" s="5">
        <f>SUMPRODUCT(Exposures!$B$6:$K$6,B145:K145)</f>
        <v/>
      </c>
      <c r="N145" s="5">
        <f>IF(AND($A145&gt;=DATE(2020,2,1),$A145&lt;=DATE(2020,5,31)),$M145,"")</f>
        <v/>
      </c>
      <c r="O145" s="5">
        <f>IF(AND($A145&gt;=DATE(2022,1,1),$A145&lt;=DATE(2022,10,31)),$M145,"")</f>
        <v/>
      </c>
      <c r="P145" s="5">
        <f>IF(AND($A145&gt;=DATE(2018,10,1),$A145&lt;=DATE(2018,12,31)),$M145,"")</f>
        <v/>
      </c>
      <c r="Q145" s="5">
        <f>SUMPRODUCT(Exposures!$B$8:$K$8,B145:K145)</f>
        <v/>
      </c>
      <c r="R145" s="5">
        <f>SUMPRODUCT(Exposures!$B$9:$K$9,B145:K145)</f>
        <v/>
      </c>
      <c r="S145" s="5">
        <f>SUMPRODUCT(Exposures!$B$10:$K$10,B145:K145)</f>
        <v/>
      </c>
    </row>
    <row r="146">
      <c r="A146" s="1" t="n">
        <v>42668</v>
      </c>
      <c r="B146" s="5" t="n">
        <v>-0.006915845243138471</v>
      </c>
      <c r="C146" s="5" t="n">
        <v>0.001441496682481819</v>
      </c>
      <c r="D146" s="5" t="n">
        <v>0.001818223706319187</v>
      </c>
      <c r="E146" s="5" t="n">
        <v>0.00139680798714356</v>
      </c>
      <c r="F146" s="5" t="n">
        <v>0.000442588583961491</v>
      </c>
      <c r="G146" s="5" t="n">
        <v>-0.006811574218135335</v>
      </c>
      <c r="H146" s="5" t="n">
        <v>0.0004069396832828938</v>
      </c>
      <c r="I146" s="5" t="n">
        <v>-0.0001274280916353837</v>
      </c>
      <c r="J146" s="5" t="n">
        <v>0.002516998522446282</v>
      </c>
      <c r="K146" s="5" t="n">
        <v>0.00313941537593164</v>
      </c>
      <c r="L146" s="5" t="n">
        <v>0.001742516714519486</v>
      </c>
      <c r="M146" s="5">
        <f>SUMPRODUCT(Exposures!$B$6:$K$6,B146:K146)</f>
        <v/>
      </c>
      <c r="N146" s="5">
        <f>IF(AND($A146&gt;=DATE(2020,2,1),$A146&lt;=DATE(2020,5,31)),$M146,"")</f>
        <v/>
      </c>
      <c r="O146" s="5">
        <f>IF(AND($A146&gt;=DATE(2022,1,1),$A146&lt;=DATE(2022,10,31)),$M146,"")</f>
        <v/>
      </c>
      <c r="P146" s="5">
        <f>IF(AND($A146&gt;=DATE(2018,10,1),$A146&lt;=DATE(2018,12,31)),$M146,"")</f>
        <v/>
      </c>
      <c r="Q146" s="5">
        <f>SUMPRODUCT(Exposures!$B$8:$K$8,B146:K146)</f>
        <v/>
      </c>
      <c r="R146" s="5">
        <f>SUMPRODUCT(Exposures!$B$9:$K$9,B146:K146)</f>
        <v/>
      </c>
      <c r="S146" s="5">
        <f>SUMPRODUCT(Exposures!$B$10:$K$10,B146:K146)</f>
        <v/>
      </c>
    </row>
    <row r="147">
      <c r="A147" s="1" t="n">
        <v>42669</v>
      </c>
      <c r="B147" s="5" t="n">
        <v>-0.0008185882415910867</v>
      </c>
      <c r="C147" s="5" t="n">
        <v>-0.0009419742157004127</v>
      </c>
      <c r="D147" s="5" t="n">
        <v>-0.001685616689053612</v>
      </c>
      <c r="E147" s="5" t="n">
        <v>0.0003033532098470196</v>
      </c>
      <c r="F147" s="5" t="n">
        <v>-0.006828421220453679</v>
      </c>
      <c r="G147" s="5" t="n">
        <v>-0.004509458220926147</v>
      </c>
      <c r="H147" s="5" t="n">
        <v>-0.004689698928836858</v>
      </c>
      <c r="I147" s="5" t="n">
        <v>-0.0001991189015724942</v>
      </c>
      <c r="J147" s="5" t="n">
        <v>0.002668001458576291</v>
      </c>
      <c r="K147" s="5" t="n">
        <v>0.009591347129669719</v>
      </c>
      <c r="L147" s="5" t="n">
        <v>0.001130701756582175</v>
      </c>
      <c r="M147" s="5">
        <f>SUMPRODUCT(Exposures!$B$6:$K$6,B147:K147)</f>
        <v/>
      </c>
      <c r="N147" s="5">
        <f>IF(AND($A147&gt;=DATE(2020,2,1),$A147&lt;=DATE(2020,5,31)),$M147,"")</f>
        <v/>
      </c>
      <c r="O147" s="5">
        <f>IF(AND($A147&gt;=DATE(2022,1,1),$A147&lt;=DATE(2022,10,31)),$M147,"")</f>
        <v/>
      </c>
      <c r="P147" s="5">
        <f>IF(AND($A147&gt;=DATE(2018,10,1),$A147&lt;=DATE(2018,12,31)),$M147,"")</f>
        <v/>
      </c>
      <c r="Q147" s="5">
        <f>SUMPRODUCT(Exposures!$B$8:$K$8,B147:K147)</f>
        <v/>
      </c>
      <c r="R147" s="5">
        <f>SUMPRODUCT(Exposures!$B$9:$K$9,B147:K147)</f>
        <v/>
      </c>
      <c r="S147" s="5">
        <f>SUMPRODUCT(Exposures!$B$10:$K$10,B147:K147)</f>
        <v/>
      </c>
    </row>
    <row r="148">
      <c r="A148" s="1" t="n">
        <v>42670</v>
      </c>
      <c r="B148" s="5" t="n">
        <v>-0.002201182078947293</v>
      </c>
      <c r="C148" s="5" t="n">
        <v>0.001279059229875612</v>
      </c>
      <c r="D148" s="5" t="n">
        <v>0.003053388960958301</v>
      </c>
      <c r="E148" s="5" t="n">
        <v>0.001818548342032008</v>
      </c>
      <c r="F148" s="5" t="n">
        <v>-0.0004701965349003909</v>
      </c>
      <c r="G148" s="5" t="n">
        <v>-0.008307601028787519</v>
      </c>
      <c r="H148" s="5" t="n">
        <v>-0.0001927632275105155</v>
      </c>
      <c r="I148" s="5" t="n">
        <v>0.000881366851287136</v>
      </c>
      <c r="J148" s="5" t="n">
        <v>-0.001899076955859217</v>
      </c>
      <c r="K148" s="5" t="n">
        <v>0.002362406930946484</v>
      </c>
      <c r="L148" s="5" t="n">
        <v>-0.0008884004191870116</v>
      </c>
      <c r="M148" s="5">
        <f>SUMPRODUCT(Exposures!$B$6:$K$6,B148:K148)</f>
        <v/>
      </c>
      <c r="N148" s="5">
        <f>IF(AND($A148&gt;=DATE(2020,2,1),$A148&lt;=DATE(2020,5,31)),$M148,"")</f>
        <v/>
      </c>
      <c r="O148" s="5">
        <f>IF(AND($A148&gt;=DATE(2022,1,1),$A148&lt;=DATE(2022,10,31)),$M148,"")</f>
        <v/>
      </c>
      <c r="P148" s="5">
        <f>IF(AND($A148&gt;=DATE(2018,10,1),$A148&lt;=DATE(2018,12,31)),$M148,"")</f>
        <v/>
      </c>
      <c r="Q148" s="5">
        <f>SUMPRODUCT(Exposures!$B$8:$K$8,B148:K148)</f>
        <v/>
      </c>
      <c r="R148" s="5">
        <f>SUMPRODUCT(Exposures!$B$9:$K$9,B148:K148)</f>
        <v/>
      </c>
      <c r="S148" s="5">
        <f>SUMPRODUCT(Exposures!$B$10:$K$10,B148:K148)</f>
        <v/>
      </c>
    </row>
    <row r="149">
      <c r="A149" s="1" t="n">
        <v>42671</v>
      </c>
      <c r="B149" s="5" t="n">
        <v>-0.001248028179331638</v>
      </c>
      <c r="C149" s="5" t="n">
        <v>-0.0009516784922827735</v>
      </c>
      <c r="D149" s="5" t="n">
        <v>-3.805825366880907e-06</v>
      </c>
      <c r="E149" s="5" t="n">
        <v>-0.004219498753621227</v>
      </c>
      <c r="F149" s="5" t="n">
        <v>-0.003629004383408167</v>
      </c>
      <c r="G149" s="5" t="n">
        <v>-0.003375146955205494</v>
      </c>
      <c r="H149" s="5" t="n">
        <v>0.004229231063822394</v>
      </c>
      <c r="I149" s="5" t="n">
        <v>-0.003333548444890383</v>
      </c>
      <c r="J149" s="5" t="n">
        <v>0.002162792592275331</v>
      </c>
      <c r="K149" s="5" t="n">
        <v>0.004262092018756318</v>
      </c>
      <c r="L149" s="5" t="n">
        <v>0.003091215602402034</v>
      </c>
      <c r="M149" s="5">
        <f>SUMPRODUCT(Exposures!$B$6:$K$6,B149:K149)</f>
        <v/>
      </c>
      <c r="N149" s="5">
        <f>IF(AND($A149&gt;=DATE(2020,2,1),$A149&lt;=DATE(2020,5,31)),$M149,"")</f>
        <v/>
      </c>
      <c r="O149" s="5">
        <f>IF(AND($A149&gt;=DATE(2022,1,1),$A149&lt;=DATE(2022,10,31)),$M149,"")</f>
        <v/>
      </c>
      <c r="P149" s="5">
        <f>IF(AND($A149&gt;=DATE(2018,10,1),$A149&lt;=DATE(2018,12,31)),$M149,"")</f>
        <v/>
      </c>
      <c r="Q149" s="5">
        <f>SUMPRODUCT(Exposures!$B$8:$K$8,B149:K149)</f>
        <v/>
      </c>
      <c r="R149" s="5">
        <f>SUMPRODUCT(Exposures!$B$9:$K$9,B149:K149)</f>
        <v/>
      </c>
      <c r="S149" s="5">
        <f>SUMPRODUCT(Exposures!$B$10:$K$10,B149:K149)</f>
        <v/>
      </c>
    </row>
    <row r="150">
      <c r="A150" s="1" t="n">
        <v>42674</v>
      </c>
      <c r="B150" s="5" t="n">
        <v>-0.003108895568186283</v>
      </c>
      <c r="C150" s="5" t="n">
        <v>-0.001264200726926854</v>
      </c>
      <c r="D150" s="5" t="n">
        <v>-0.0001433579004635145</v>
      </c>
      <c r="E150" s="5" t="n">
        <v>-0.001223022177770823</v>
      </c>
      <c r="F150" s="5" t="n">
        <v>0.003488692556827242</v>
      </c>
      <c r="G150" s="5" t="n">
        <v>-0.0005692782345932351</v>
      </c>
      <c r="H150" s="5" t="n">
        <v>0.002438985845739392</v>
      </c>
      <c r="I150" s="5" t="n">
        <v>-0.002009496638476472</v>
      </c>
      <c r="J150" s="5" t="n">
        <v>-0.007399482664195368</v>
      </c>
      <c r="K150" s="5" t="n">
        <v>-0.004885684644889472</v>
      </c>
      <c r="L150" s="5" t="n">
        <v>-2.095567948341808e-05</v>
      </c>
      <c r="M150" s="5">
        <f>SUMPRODUCT(Exposures!$B$6:$K$6,B150:K150)</f>
        <v/>
      </c>
      <c r="N150" s="5">
        <f>IF(AND($A150&gt;=DATE(2020,2,1),$A150&lt;=DATE(2020,5,31)),$M150,"")</f>
        <v/>
      </c>
      <c r="O150" s="5">
        <f>IF(AND($A150&gt;=DATE(2022,1,1),$A150&lt;=DATE(2022,10,31)),$M150,"")</f>
        <v/>
      </c>
      <c r="P150" s="5">
        <f>IF(AND($A150&gt;=DATE(2018,10,1),$A150&lt;=DATE(2018,12,31)),$M150,"")</f>
        <v/>
      </c>
      <c r="Q150" s="5">
        <f>SUMPRODUCT(Exposures!$B$8:$K$8,B150:K150)</f>
        <v/>
      </c>
      <c r="R150" s="5">
        <f>SUMPRODUCT(Exposures!$B$9:$K$9,B150:K150)</f>
        <v/>
      </c>
      <c r="S150" s="5">
        <f>SUMPRODUCT(Exposures!$B$10:$K$10,B150:K150)</f>
        <v/>
      </c>
    </row>
    <row r="151">
      <c r="A151" s="1" t="n">
        <v>42675</v>
      </c>
      <c r="B151" s="5" t="n">
        <v>-0.001163195032299143</v>
      </c>
      <c r="C151" s="5" t="n">
        <v>0.001992013217928178</v>
      </c>
      <c r="D151" s="5" t="n">
        <v>0.0001518147257635707</v>
      </c>
      <c r="E151" s="5" t="n">
        <v>-0.0003105194121772844</v>
      </c>
      <c r="F151" s="5" t="n">
        <v>-0.006478908152377294</v>
      </c>
      <c r="G151" s="5" t="n">
        <v>-0.007710924651489645</v>
      </c>
      <c r="H151" s="5" t="n">
        <v>-0.0002071997576654232</v>
      </c>
      <c r="I151" s="5" t="n">
        <v>-0.000773380528806678</v>
      </c>
      <c r="J151" s="5" t="n">
        <v>0.007099916169290007</v>
      </c>
      <c r="K151" s="5" t="n">
        <v>0.01061150483760993</v>
      </c>
      <c r="L151" s="5" t="n">
        <v>0.000937891006194474</v>
      </c>
      <c r="M151" s="5">
        <f>SUMPRODUCT(Exposures!$B$6:$K$6,B151:K151)</f>
        <v/>
      </c>
      <c r="N151" s="5">
        <f>IF(AND($A151&gt;=DATE(2020,2,1),$A151&lt;=DATE(2020,5,31)),$M151,"")</f>
        <v/>
      </c>
      <c r="O151" s="5">
        <f>IF(AND($A151&gt;=DATE(2022,1,1),$A151&lt;=DATE(2022,10,31)),$M151,"")</f>
        <v/>
      </c>
      <c r="P151" s="5">
        <f>IF(AND($A151&gt;=DATE(2018,10,1),$A151&lt;=DATE(2018,12,31)),$M151,"")</f>
        <v/>
      </c>
      <c r="Q151" s="5">
        <f>SUMPRODUCT(Exposures!$B$8:$K$8,B151:K151)</f>
        <v/>
      </c>
      <c r="R151" s="5">
        <f>SUMPRODUCT(Exposures!$B$9:$K$9,B151:K151)</f>
        <v/>
      </c>
      <c r="S151" s="5">
        <f>SUMPRODUCT(Exposures!$B$10:$K$10,B151:K151)</f>
        <v/>
      </c>
    </row>
    <row r="152">
      <c r="A152" s="1" t="n">
        <v>42676</v>
      </c>
      <c r="B152" s="5" t="n">
        <v>-0.004438690345216395</v>
      </c>
      <c r="C152" s="5" t="n">
        <v>0.0002666441089097636</v>
      </c>
      <c r="D152" s="5" t="n">
        <v>0.001336573692318676</v>
      </c>
      <c r="E152" s="5" t="n">
        <v>0.0008991265250609354</v>
      </c>
      <c r="F152" s="5" t="n">
        <v>0.005909087827426781</v>
      </c>
      <c r="G152" s="5" t="n">
        <v>-0.007082618527844785</v>
      </c>
      <c r="H152" s="5" t="n">
        <v>-0.004075429648144231</v>
      </c>
      <c r="I152" s="5" t="n">
        <v>0.002593549807185002</v>
      </c>
      <c r="J152" s="5" t="n">
        <v>-0.003265896400922027</v>
      </c>
      <c r="K152" s="5" t="n">
        <v>-0.008700234383867137</v>
      </c>
      <c r="L152" s="5" t="n">
        <v>-0.0002832080469347953</v>
      </c>
      <c r="M152" s="5">
        <f>SUMPRODUCT(Exposures!$B$6:$K$6,B152:K152)</f>
        <v/>
      </c>
      <c r="N152" s="5">
        <f>IF(AND($A152&gt;=DATE(2020,2,1),$A152&lt;=DATE(2020,5,31)),$M152,"")</f>
        <v/>
      </c>
      <c r="O152" s="5">
        <f>IF(AND($A152&gt;=DATE(2022,1,1),$A152&lt;=DATE(2022,10,31)),$M152,"")</f>
        <v/>
      </c>
      <c r="P152" s="5">
        <f>IF(AND($A152&gt;=DATE(2018,10,1),$A152&lt;=DATE(2018,12,31)),$M152,"")</f>
        <v/>
      </c>
      <c r="Q152" s="5">
        <f>SUMPRODUCT(Exposures!$B$8:$K$8,B152:K152)</f>
        <v/>
      </c>
      <c r="R152" s="5">
        <f>SUMPRODUCT(Exposures!$B$9:$K$9,B152:K152)</f>
        <v/>
      </c>
      <c r="S152" s="5">
        <f>SUMPRODUCT(Exposures!$B$10:$K$10,B152:K152)</f>
        <v/>
      </c>
    </row>
    <row r="153">
      <c r="A153" s="1" t="n">
        <v>42677</v>
      </c>
      <c r="B153" s="5" t="n">
        <v>0.002074838229025318</v>
      </c>
      <c r="C153" s="5" t="n">
        <v>0.001029702657031322</v>
      </c>
      <c r="D153" s="5" t="n">
        <v>0.0002753109291772854</v>
      </c>
      <c r="E153" s="5" t="n">
        <v>0.0009195954871573654</v>
      </c>
      <c r="F153" s="5" t="n">
        <v>-0.007706738739791101</v>
      </c>
      <c r="G153" s="5" t="n">
        <v>-0.003826140487485409</v>
      </c>
      <c r="H153" s="5" t="n">
        <v>0.005594990701387429</v>
      </c>
      <c r="I153" s="5" t="n">
        <v>-0.003431264387657455</v>
      </c>
      <c r="J153" s="5" t="n">
        <v>-0.00370440550341775</v>
      </c>
      <c r="K153" s="5" t="n">
        <v>0.00606517149215877</v>
      </c>
      <c r="L153" s="5" t="n">
        <v>0.0002302542746643652</v>
      </c>
      <c r="M153" s="5">
        <f>SUMPRODUCT(Exposures!$B$6:$K$6,B153:K153)</f>
        <v/>
      </c>
      <c r="N153" s="5">
        <f>IF(AND($A153&gt;=DATE(2020,2,1),$A153&lt;=DATE(2020,5,31)),$M153,"")</f>
        <v/>
      </c>
      <c r="O153" s="5">
        <f>IF(AND($A153&gt;=DATE(2022,1,1),$A153&lt;=DATE(2022,10,31)),$M153,"")</f>
        <v/>
      </c>
      <c r="P153" s="5">
        <f>IF(AND($A153&gt;=DATE(2018,10,1),$A153&lt;=DATE(2018,12,31)),$M153,"")</f>
        <v/>
      </c>
      <c r="Q153" s="5">
        <f>SUMPRODUCT(Exposures!$B$8:$K$8,B153:K153)</f>
        <v/>
      </c>
      <c r="R153" s="5">
        <f>SUMPRODUCT(Exposures!$B$9:$K$9,B153:K153)</f>
        <v/>
      </c>
      <c r="S153" s="5">
        <f>SUMPRODUCT(Exposures!$B$10:$K$10,B153:K153)</f>
        <v/>
      </c>
    </row>
    <row r="154">
      <c r="A154" s="1" t="n">
        <v>42678</v>
      </c>
      <c r="B154" s="5" t="n">
        <v>0.004488937023977792</v>
      </c>
      <c r="C154" s="5" t="n">
        <v>-0.001367784753222006</v>
      </c>
      <c r="D154" s="5" t="n">
        <v>0.0004923205899217979</v>
      </c>
      <c r="E154" s="5" t="n">
        <v>-0.002305025041459892</v>
      </c>
      <c r="F154" s="5" t="n">
        <v>-0.00264517915421757</v>
      </c>
      <c r="G154" s="5" t="n">
        <v>0.004857798275261836</v>
      </c>
      <c r="H154" s="5" t="n">
        <v>-0.002390496066800662</v>
      </c>
      <c r="I154" s="5" t="n">
        <v>0.0002187956510125448</v>
      </c>
      <c r="J154" s="5" t="n">
        <v>0.003343558762468552</v>
      </c>
      <c r="K154" s="5" t="n">
        <v>0.001057573634353506</v>
      </c>
      <c r="L154" s="5" t="n">
        <v>-0.0008436494808897847</v>
      </c>
      <c r="M154" s="5">
        <f>SUMPRODUCT(Exposures!$B$6:$K$6,B154:K154)</f>
        <v/>
      </c>
      <c r="N154" s="5">
        <f>IF(AND($A154&gt;=DATE(2020,2,1),$A154&lt;=DATE(2020,5,31)),$M154,"")</f>
        <v/>
      </c>
      <c r="O154" s="5">
        <f>IF(AND($A154&gt;=DATE(2022,1,1),$A154&lt;=DATE(2022,10,31)),$M154,"")</f>
        <v/>
      </c>
      <c r="P154" s="5">
        <f>IF(AND($A154&gt;=DATE(2018,10,1),$A154&lt;=DATE(2018,12,31)),$M154,"")</f>
        <v/>
      </c>
      <c r="Q154" s="5">
        <f>SUMPRODUCT(Exposures!$B$8:$K$8,B154:K154)</f>
        <v/>
      </c>
      <c r="R154" s="5">
        <f>SUMPRODUCT(Exposures!$B$9:$K$9,B154:K154)</f>
        <v/>
      </c>
      <c r="S154" s="5">
        <f>SUMPRODUCT(Exposures!$B$10:$K$10,B154:K154)</f>
        <v/>
      </c>
    </row>
    <row r="155">
      <c r="A155" s="1" t="n">
        <v>42681</v>
      </c>
      <c r="B155" s="5" t="n">
        <v>0.008746332095745192</v>
      </c>
      <c r="C155" s="5" t="n">
        <v>-1.863588618822472e-05</v>
      </c>
      <c r="D155" s="5" t="n">
        <v>-0.003009196682161206</v>
      </c>
      <c r="E155" s="5" t="n">
        <v>0.004059682943268032</v>
      </c>
      <c r="F155" s="5" t="n">
        <v>0.008193558562239567</v>
      </c>
      <c r="G155" s="5" t="n">
        <v>0.0256425381701961</v>
      </c>
      <c r="H155" s="5" t="n">
        <v>0.002261709588953035</v>
      </c>
      <c r="I155" s="5" t="n">
        <v>0.003973076974159927</v>
      </c>
      <c r="J155" s="5" t="n">
        <v>-0.0002028411201084614</v>
      </c>
      <c r="K155" s="5" t="n">
        <v>-0.0104753323861767</v>
      </c>
      <c r="L155" s="5" t="n">
        <v>-0.004870102402720973</v>
      </c>
      <c r="M155" s="5">
        <f>SUMPRODUCT(Exposures!$B$6:$K$6,B155:K155)</f>
        <v/>
      </c>
      <c r="N155" s="5">
        <f>IF(AND($A155&gt;=DATE(2020,2,1),$A155&lt;=DATE(2020,5,31)),$M155,"")</f>
        <v/>
      </c>
      <c r="O155" s="5">
        <f>IF(AND($A155&gt;=DATE(2022,1,1),$A155&lt;=DATE(2022,10,31)),$M155,"")</f>
        <v/>
      </c>
      <c r="P155" s="5">
        <f>IF(AND($A155&gt;=DATE(2018,10,1),$A155&lt;=DATE(2018,12,31)),$M155,"")</f>
        <v/>
      </c>
      <c r="Q155" s="5">
        <f>SUMPRODUCT(Exposures!$B$8:$K$8,B155:K155)</f>
        <v/>
      </c>
      <c r="R155" s="5">
        <f>SUMPRODUCT(Exposures!$B$9:$K$9,B155:K155)</f>
        <v/>
      </c>
      <c r="S155" s="5">
        <f>SUMPRODUCT(Exposures!$B$10:$K$10,B155:K155)</f>
        <v/>
      </c>
    </row>
    <row r="156">
      <c r="A156" s="1" t="n">
        <v>42682</v>
      </c>
      <c r="B156" s="5" t="n">
        <v>0.001885813266973365</v>
      </c>
      <c r="C156" s="5" t="n">
        <v>-0.0009105950650928154</v>
      </c>
      <c r="D156" s="5" t="n">
        <v>-0.00463481291352141</v>
      </c>
      <c r="E156" s="5" t="n">
        <v>-0.001052835977217572</v>
      </c>
      <c r="F156" s="5" t="n">
        <v>0.007240157718408677</v>
      </c>
      <c r="G156" s="5" t="n">
        <v>0.002519701986057025</v>
      </c>
      <c r="H156" s="5" t="n">
        <v>0.001873205016112292</v>
      </c>
      <c r="I156" s="5" t="n">
        <v>-0.002620305625630515</v>
      </c>
      <c r="J156" s="5" t="n">
        <v>0.000642246418401378</v>
      </c>
      <c r="K156" s="5" t="n">
        <v>-0.00502233908024284</v>
      </c>
      <c r="L156" s="5" t="n">
        <v>-0.0008017298725516199</v>
      </c>
      <c r="M156" s="5">
        <f>SUMPRODUCT(Exposures!$B$6:$K$6,B156:K156)</f>
        <v/>
      </c>
      <c r="N156" s="5">
        <f>IF(AND($A156&gt;=DATE(2020,2,1),$A156&lt;=DATE(2020,5,31)),$M156,"")</f>
        <v/>
      </c>
      <c r="O156" s="5">
        <f>IF(AND($A156&gt;=DATE(2022,1,1),$A156&lt;=DATE(2022,10,31)),$M156,"")</f>
        <v/>
      </c>
      <c r="P156" s="5">
        <f>IF(AND($A156&gt;=DATE(2018,10,1),$A156&lt;=DATE(2018,12,31)),$M156,"")</f>
        <v/>
      </c>
      <c r="Q156" s="5">
        <f>SUMPRODUCT(Exposures!$B$8:$K$8,B156:K156)</f>
        <v/>
      </c>
      <c r="R156" s="5">
        <f>SUMPRODUCT(Exposures!$B$9:$K$9,B156:K156)</f>
        <v/>
      </c>
      <c r="S156" s="5">
        <f>SUMPRODUCT(Exposures!$B$10:$K$10,B156:K156)</f>
        <v/>
      </c>
    </row>
    <row r="157">
      <c r="A157" s="1" t="n">
        <v>42683</v>
      </c>
      <c r="B157" s="5" t="n">
        <v>0.01019962790450676</v>
      </c>
      <c r="C157" s="5" t="n">
        <v>0.001730099016980643</v>
      </c>
      <c r="D157" s="5" t="n">
        <v>0.003587547958852415</v>
      </c>
      <c r="E157" s="5" t="n">
        <v>0.002537778435859916</v>
      </c>
      <c r="F157" s="5" t="n">
        <v>-0.00209656679595181</v>
      </c>
      <c r="G157" s="5" t="n">
        <v>0.01916988372602279</v>
      </c>
      <c r="H157" s="5" t="n">
        <v>-0.01149092757382823</v>
      </c>
      <c r="I157" s="5" t="n">
        <v>0.006315808436870657</v>
      </c>
      <c r="J157" s="5" t="n">
        <v>0.008165387121377168</v>
      </c>
      <c r="K157" s="5" t="n">
        <v>-0.00470182686049543</v>
      </c>
      <c r="L157" s="5" t="n">
        <v>-0.0003409792976686748</v>
      </c>
      <c r="M157" s="5">
        <f>SUMPRODUCT(Exposures!$B$6:$K$6,B157:K157)</f>
        <v/>
      </c>
      <c r="N157" s="5">
        <f>IF(AND($A157&gt;=DATE(2020,2,1),$A157&lt;=DATE(2020,5,31)),$M157,"")</f>
        <v/>
      </c>
      <c r="O157" s="5">
        <f>IF(AND($A157&gt;=DATE(2022,1,1),$A157&lt;=DATE(2022,10,31)),$M157,"")</f>
        <v/>
      </c>
      <c r="P157" s="5">
        <f>IF(AND($A157&gt;=DATE(2018,10,1),$A157&lt;=DATE(2018,12,31)),$M157,"")</f>
        <v/>
      </c>
      <c r="Q157" s="5">
        <f>SUMPRODUCT(Exposures!$B$8:$K$8,B157:K157)</f>
        <v/>
      </c>
      <c r="R157" s="5">
        <f>SUMPRODUCT(Exposures!$B$9:$K$9,B157:K157)</f>
        <v/>
      </c>
      <c r="S157" s="5">
        <f>SUMPRODUCT(Exposures!$B$10:$K$10,B157:K157)</f>
        <v/>
      </c>
    </row>
    <row r="158">
      <c r="A158" s="1" t="n">
        <v>42684</v>
      </c>
      <c r="B158" s="5" t="n">
        <v>0.01053855245416644</v>
      </c>
      <c r="C158" s="5" t="n">
        <v>0.004589137900863173</v>
      </c>
      <c r="D158" s="5" t="n">
        <v>-0.0040084557802266</v>
      </c>
      <c r="E158" s="5" t="n">
        <v>0.001880791062415879</v>
      </c>
      <c r="F158" s="5" t="n">
        <v>-0.01738845256702067</v>
      </c>
      <c r="G158" s="5" t="n">
        <v>0.009749700844560755</v>
      </c>
      <c r="H158" s="5" t="n">
        <v>-0.01258269772711623</v>
      </c>
      <c r="I158" s="5" t="n">
        <v>-0.001024496391209327</v>
      </c>
      <c r="J158" s="5" t="n">
        <v>3.966233039084856e-05</v>
      </c>
      <c r="K158" s="5" t="n">
        <v>0.008233018519893956</v>
      </c>
      <c r="L158" s="5" t="n">
        <v>0.003897179506098605</v>
      </c>
      <c r="M158" s="5">
        <f>SUMPRODUCT(Exposures!$B$6:$K$6,B158:K158)</f>
        <v/>
      </c>
      <c r="N158" s="5">
        <f>IF(AND($A158&gt;=DATE(2020,2,1),$A158&lt;=DATE(2020,5,31)),$M158,"")</f>
        <v/>
      </c>
      <c r="O158" s="5">
        <f>IF(AND($A158&gt;=DATE(2022,1,1),$A158&lt;=DATE(2022,10,31)),$M158,"")</f>
        <v/>
      </c>
      <c r="P158" s="5">
        <f>IF(AND($A158&gt;=DATE(2018,10,1),$A158&lt;=DATE(2018,12,31)),$M158,"")</f>
        <v/>
      </c>
      <c r="Q158" s="5">
        <f>SUMPRODUCT(Exposures!$B$8:$K$8,B158:K158)</f>
        <v/>
      </c>
      <c r="R158" s="5">
        <f>SUMPRODUCT(Exposures!$B$9:$K$9,B158:K158)</f>
        <v/>
      </c>
      <c r="S158" s="5">
        <f>SUMPRODUCT(Exposures!$B$10:$K$10,B158:K158)</f>
        <v/>
      </c>
    </row>
    <row r="159">
      <c r="A159" s="1" t="n">
        <v>42685</v>
      </c>
      <c r="B159" s="5" t="n">
        <v>0.00373896805816393</v>
      </c>
      <c r="C159" s="5" t="n">
        <v>-0.0005955544391536825</v>
      </c>
      <c r="D159" s="5" t="n">
        <v>0.002689132293477363</v>
      </c>
      <c r="E159" s="5" t="n">
        <v>0.004949709237166226</v>
      </c>
      <c r="F159" s="5" t="n">
        <v>0.004212322986973438</v>
      </c>
      <c r="G159" s="5" t="n">
        <v>0.005982592102221876</v>
      </c>
      <c r="H159" s="5" t="n">
        <v>0.0002629346004777744</v>
      </c>
      <c r="I159" s="5" t="n">
        <v>0.007197478487459504</v>
      </c>
      <c r="J159" s="5" t="n">
        <v>-0.004265488167169568</v>
      </c>
      <c r="K159" s="5" t="n">
        <v>-0.01830763986879838</v>
      </c>
      <c r="L159" s="5" t="n">
        <v>-0.002447633739203983</v>
      </c>
      <c r="M159" s="5">
        <f>SUMPRODUCT(Exposures!$B$6:$K$6,B159:K159)</f>
        <v/>
      </c>
      <c r="N159" s="5">
        <f>IF(AND($A159&gt;=DATE(2020,2,1),$A159&lt;=DATE(2020,5,31)),$M159,"")</f>
        <v/>
      </c>
      <c r="O159" s="5">
        <f>IF(AND($A159&gt;=DATE(2022,1,1),$A159&lt;=DATE(2022,10,31)),$M159,"")</f>
        <v/>
      </c>
      <c r="P159" s="5">
        <f>IF(AND($A159&gt;=DATE(2018,10,1),$A159&lt;=DATE(2018,12,31)),$M159,"")</f>
        <v/>
      </c>
      <c r="Q159" s="5">
        <f>SUMPRODUCT(Exposures!$B$8:$K$8,B159:K159)</f>
        <v/>
      </c>
      <c r="R159" s="5">
        <f>SUMPRODUCT(Exposures!$B$9:$K$9,B159:K159)</f>
        <v/>
      </c>
      <c r="S159" s="5">
        <f>SUMPRODUCT(Exposures!$B$10:$K$10,B159:K159)</f>
        <v/>
      </c>
    </row>
    <row r="160">
      <c r="A160" s="1" t="n">
        <v>42688</v>
      </c>
      <c r="B160" s="5" t="n">
        <v>0.001126658451987152</v>
      </c>
      <c r="C160" s="5" t="n">
        <v>-0.001796796464485337</v>
      </c>
      <c r="D160" s="5" t="n">
        <v>0.002448953725124812</v>
      </c>
      <c r="E160" s="5" t="n">
        <v>0.00537973089595378</v>
      </c>
      <c r="F160" s="5" t="n">
        <v>-0.008079879859515421</v>
      </c>
      <c r="G160" s="5" t="n">
        <v>0.01018127875324548</v>
      </c>
      <c r="H160" s="5" t="n">
        <v>-0.008805899022358612</v>
      </c>
      <c r="I160" s="5" t="n">
        <v>-0.002111851931312466</v>
      </c>
      <c r="J160" s="5" t="n">
        <v>0.004739329384020627</v>
      </c>
      <c r="K160" s="5" t="n">
        <v>0.00187762798686845</v>
      </c>
      <c r="L160" s="5" t="n">
        <v>0.003634223463595025</v>
      </c>
      <c r="M160" s="5">
        <f>SUMPRODUCT(Exposures!$B$6:$K$6,B160:K160)</f>
        <v/>
      </c>
      <c r="N160" s="5">
        <f>IF(AND($A160&gt;=DATE(2020,2,1),$A160&lt;=DATE(2020,5,31)),$M160,"")</f>
        <v/>
      </c>
      <c r="O160" s="5">
        <f>IF(AND($A160&gt;=DATE(2022,1,1),$A160&lt;=DATE(2022,10,31)),$M160,"")</f>
        <v/>
      </c>
      <c r="P160" s="5">
        <f>IF(AND($A160&gt;=DATE(2018,10,1),$A160&lt;=DATE(2018,12,31)),$M160,"")</f>
        <v/>
      </c>
      <c r="Q160" s="5">
        <f>SUMPRODUCT(Exposures!$B$8:$K$8,B160:K160)</f>
        <v/>
      </c>
      <c r="R160" s="5">
        <f>SUMPRODUCT(Exposures!$B$9:$K$9,B160:K160)</f>
        <v/>
      </c>
      <c r="S160" s="5">
        <f>SUMPRODUCT(Exposures!$B$10:$K$10,B160:K160)</f>
        <v/>
      </c>
    </row>
    <row r="161">
      <c r="A161" s="1" t="n">
        <v>42689</v>
      </c>
      <c r="B161" s="5" t="n">
        <v>0.0002577327528757358</v>
      </c>
      <c r="C161" s="5" t="n">
        <v>0.0005935539204118114</v>
      </c>
      <c r="D161" s="5" t="n">
        <v>0.0006435134944195705</v>
      </c>
      <c r="E161" s="5" t="n">
        <v>-0.001689722634297456</v>
      </c>
      <c r="F161" s="5" t="n">
        <v>0.004596484507229821</v>
      </c>
      <c r="G161" s="5" t="n">
        <v>0.005213892871714608</v>
      </c>
      <c r="H161" s="5" t="n">
        <v>0.004513216960891774</v>
      </c>
      <c r="I161" s="5" t="n">
        <v>-0.003788138859334436</v>
      </c>
      <c r="J161" s="5" t="n">
        <v>-0.000135318267442687</v>
      </c>
      <c r="K161" s="5" t="n">
        <v>0.00159455927518809</v>
      </c>
      <c r="L161" s="5" t="n">
        <v>-0.0001563220346633964</v>
      </c>
      <c r="M161" s="5">
        <f>SUMPRODUCT(Exposures!$B$6:$K$6,B161:K161)</f>
        <v/>
      </c>
      <c r="N161" s="5">
        <f>IF(AND($A161&gt;=DATE(2020,2,1),$A161&lt;=DATE(2020,5,31)),$M161,"")</f>
        <v/>
      </c>
      <c r="O161" s="5">
        <f>IF(AND($A161&gt;=DATE(2022,1,1),$A161&lt;=DATE(2022,10,31)),$M161,"")</f>
        <v/>
      </c>
      <c r="P161" s="5">
        <f>IF(AND($A161&gt;=DATE(2018,10,1),$A161&lt;=DATE(2018,12,31)),$M161,"")</f>
        <v/>
      </c>
      <c r="Q161" s="5">
        <f>SUMPRODUCT(Exposures!$B$8:$K$8,B161:K161)</f>
        <v/>
      </c>
      <c r="R161" s="5">
        <f>SUMPRODUCT(Exposures!$B$9:$K$9,B161:K161)</f>
        <v/>
      </c>
      <c r="S161" s="5">
        <f>SUMPRODUCT(Exposures!$B$10:$K$10,B161:K161)</f>
        <v/>
      </c>
    </row>
    <row r="162">
      <c r="A162" s="1" t="n">
        <v>42690</v>
      </c>
      <c r="B162" s="5" t="n">
        <v>0.001108340917484155</v>
      </c>
      <c r="C162" s="5" t="n">
        <v>0.002248563004607551</v>
      </c>
      <c r="D162" s="5" t="n">
        <v>0.001702885373383757</v>
      </c>
      <c r="E162" s="5" t="n">
        <v>-0.000450925491605602</v>
      </c>
      <c r="F162" s="5" t="n">
        <v>0.006552084531938456</v>
      </c>
      <c r="G162" s="5" t="n">
        <v>0.00013127858293279</v>
      </c>
      <c r="H162" s="5" t="n">
        <v>0.008512163695342951</v>
      </c>
      <c r="I162" s="5" t="n">
        <v>0.003651952102299777</v>
      </c>
      <c r="J162" s="5" t="n">
        <v>-0.0006053188245875602</v>
      </c>
      <c r="K162" s="5" t="n">
        <v>-0.008588596026458676</v>
      </c>
      <c r="L162" s="5" t="n">
        <v>-0.004699046071633873</v>
      </c>
      <c r="M162" s="5">
        <f>SUMPRODUCT(Exposures!$B$6:$K$6,B162:K162)</f>
        <v/>
      </c>
      <c r="N162" s="5">
        <f>IF(AND($A162&gt;=DATE(2020,2,1),$A162&lt;=DATE(2020,5,31)),$M162,"")</f>
        <v/>
      </c>
      <c r="O162" s="5">
        <f>IF(AND($A162&gt;=DATE(2022,1,1),$A162&lt;=DATE(2022,10,31)),$M162,"")</f>
        <v/>
      </c>
      <c r="P162" s="5">
        <f>IF(AND($A162&gt;=DATE(2018,10,1),$A162&lt;=DATE(2018,12,31)),$M162,"")</f>
        <v/>
      </c>
      <c r="Q162" s="5">
        <f>SUMPRODUCT(Exposures!$B$8:$K$8,B162:K162)</f>
        <v/>
      </c>
      <c r="R162" s="5">
        <f>SUMPRODUCT(Exposures!$B$9:$K$9,B162:K162)</f>
        <v/>
      </c>
      <c r="S162" s="5">
        <f>SUMPRODUCT(Exposures!$B$10:$K$10,B162:K162)</f>
        <v/>
      </c>
    </row>
    <row r="163">
      <c r="A163" s="1" t="n">
        <v>42691</v>
      </c>
      <c r="B163" s="5" t="n">
        <v>0.001258692447414204</v>
      </c>
      <c r="C163" s="5" t="n">
        <v>0.0008796691973503132</v>
      </c>
      <c r="D163" s="5" t="n">
        <v>0.00064728044003372</v>
      </c>
      <c r="E163" s="5" t="n">
        <v>0.003565124776832922</v>
      </c>
      <c r="F163" s="5" t="n">
        <v>0.00543094812577569</v>
      </c>
      <c r="G163" s="5" t="n">
        <v>0.009528502646570951</v>
      </c>
      <c r="H163" s="5" t="n">
        <v>0.002146883358757397</v>
      </c>
      <c r="I163" s="5" t="n">
        <v>-0.002549593272431423</v>
      </c>
      <c r="J163" s="5" t="n">
        <v>0.005156717438935246</v>
      </c>
      <c r="K163" s="5" t="n">
        <v>-0.004197345701824498</v>
      </c>
      <c r="L163" s="5" t="n">
        <v>-0.0008733771110827836</v>
      </c>
      <c r="M163" s="5">
        <f>SUMPRODUCT(Exposures!$B$6:$K$6,B163:K163)</f>
        <v/>
      </c>
      <c r="N163" s="5">
        <f>IF(AND($A163&gt;=DATE(2020,2,1),$A163&lt;=DATE(2020,5,31)),$M163,"")</f>
        <v/>
      </c>
      <c r="O163" s="5">
        <f>IF(AND($A163&gt;=DATE(2022,1,1),$A163&lt;=DATE(2022,10,31)),$M163,"")</f>
        <v/>
      </c>
      <c r="P163" s="5">
        <f>IF(AND($A163&gt;=DATE(2018,10,1),$A163&lt;=DATE(2018,12,31)),$M163,"")</f>
        <v/>
      </c>
      <c r="Q163" s="5">
        <f>SUMPRODUCT(Exposures!$B$8:$K$8,B163:K163)</f>
        <v/>
      </c>
      <c r="R163" s="5">
        <f>SUMPRODUCT(Exposures!$B$9:$K$9,B163:K163)</f>
        <v/>
      </c>
      <c r="S163" s="5">
        <f>SUMPRODUCT(Exposures!$B$10:$K$10,B163:K163)</f>
        <v/>
      </c>
    </row>
    <row r="164">
      <c r="A164" s="1" t="n">
        <v>42692</v>
      </c>
      <c r="B164" s="5" t="n">
        <v>0.002515001478138576</v>
      </c>
      <c r="C164" s="5" t="n">
        <v>0.002237551315112035</v>
      </c>
      <c r="D164" s="5" t="n">
        <v>-0.002075550184036005</v>
      </c>
      <c r="E164" s="5" t="n">
        <v>0.002134275891107384</v>
      </c>
      <c r="F164" s="5" t="n">
        <v>-0.003324154844497109</v>
      </c>
      <c r="G164" s="5" t="n">
        <v>-0.0008347869591721399</v>
      </c>
      <c r="H164" s="5" t="n">
        <v>0.001770827876305406</v>
      </c>
      <c r="I164" s="5" t="n">
        <v>0.0009927309037138672</v>
      </c>
      <c r="J164" s="5" t="n">
        <v>0.0003527722157297055</v>
      </c>
      <c r="K164" s="5" t="n">
        <v>-0.0009533241086756574</v>
      </c>
      <c r="L164" s="5" t="n">
        <v>-0.0005388267004361056</v>
      </c>
      <c r="M164" s="5">
        <f>SUMPRODUCT(Exposures!$B$6:$K$6,B164:K164)</f>
        <v/>
      </c>
      <c r="N164" s="5">
        <f>IF(AND($A164&gt;=DATE(2020,2,1),$A164&lt;=DATE(2020,5,31)),$M164,"")</f>
        <v/>
      </c>
      <c r="O164" s="5">
        <f>IF(AND($A164&gt;=DATE(2022,1,1),$A164&lt;=DATE(2022,10,31)),$M164,"")</f>
        <v/>
      </c>
      <c r="P164" s="5">
        <f>IF(AND($A164&gt;=DATE(2018,10,1),$A164&lt;=DATE(2018,12,31)),$M164,"")</f>
        <v/>
      </c>
      <c r="Q164" s="5">
        <f>SUMPRODUCT(Exposures!$B$8:$K$8,B164:K164)</f>
        <v/>
      </c>
      <c r="R164" s="5">
        <f>SUMPRODUCT(Exposures!$B$9:$K$9,B164:K164)</f>
        <v/>
      </c>
      <c r="S164" s="5">
        <f>SUMPRODUCT(Exposures!$B$10:$K$10,B164:K164)</f>
        <v/>
      </c>
    </row>
    <row r="165">
      <c r="A165" s="1" t="n">
        <v>42695</v>
      </c>
      <c r="B165" s="5" t="n">
        <v>-0.001007861270914955</v>
      </c>
      <c r="C165" s="5" t="n">
        <v>-0.001101068641155331</v>
      </c>
      <c r="D165" s="5" t="n">
        <v>-0.00208021366721223</v>
      </c>
      <c r="E165" s="5" t="n">
        <v>0.0006002710395778582</v>
      </c>
      <c r="F165" s="5" t="n">
        <v>0.00434733479595983</v>
      </c>
      <c r="G165" s="5" t="n">
        <v>0.00677085235097832</v>
      </c>
      <c r="H165" s="5" t="n">
        <v>0.0002888411714925142</v>
      </c>
      <c r="I165" s="5" t="n">
        <v>-0.0002603050110921892</v>
      </c>
      <c r="J165" s="5" t="n">
        <v>0.002523822799599667</v>
      </c>
      <c r="K165" s="5" t="n">
        <v>-0.002502986940233618</v>
      </c>
      <c r="L165" s="5" t="n">
        <v>-5.357352132329605e-05</v>
      </c>
      <c r="M165" s="5">
        <f>SUMPRODUCT(Exposures!$B$6:$K$6,B165:K165)</f>
        <v/>
      </c>
      <c r="N165" s="5">
        <f>IF(AND($A165&gt;=DATE(2020,2,1),$A165&lt;=DATE(2020,5,31)),$M165,"")</f>
        <v/>
      </c>
      <c r="O165" s="5">
        <f>IF(AND($A165&gt;=DATE(2022,1,1),$A165&lt;=DATE(2022,10,31)),$M165,"")</f>
        <v/>
      </c>
      <c r="P165" s="5">
        <f>IF(AND($A165&gt;=DATE(2018,10,1),$A165&lt;=DATE(2018,12,31)),$M165,"")</f>
        <v/>
      </c>
      <c r="Q165" s="5">
        <f>SUMPRODUCT(Exposures!$B$8:$K$8,B165:K165)</f>
        <v/>
      </c>
      <c r="R165" s="5">
        <f>SUMPRODUCT(Exposures!$B$9:$K$9,B165:K165)</f>
        <v/>
      </c>
      <c r="S165" s="5">
        <f>SUMPRODUCT(Exposures!$B$10:$K$10,B165:K165)</f>
        <v/>
      </c>
    </row>
    <row r="166">
      <c r="A166" s="1" t="n">
        <v>42696</v>
      </c>
      <c r="B166" s="5" t="n">
        <v>0.0008264792703143607</v>
      </c>
      <c r="C166" s="5" t="n">
        <v>-0.002035373936979447</v>
      </c>
      <c r="D166" s="5" t="n">
        <v>0.003995860228594053</v>
      </c>
      <c r="E166" s="5" t="n">
        <v>-0.0004812030896694356</v>
      </c>
      <c r="F166" s="5" t="n">
        <v>0.002400687260489725</v>
      </c>
      <c r="G166" s="5" t="n">
        <v>0.004231907851625334</v>
      </c>
      <c r="H166" s="5" t="n">
        <v>0.002825367887857851</v>
      </c>
      <c r="I166" s="5" t="n">
        <v>0.001161929844244042</v>
      </c>
      <c r="J166" s="5" t="n">
        <v>-0.004409932241059543</v>
      </c>
      <c r="K166" s="5" t="n">
        <v>-0.006226688948252219</v>
      </c>
      <c r="L166" s="5" t="n">
        <v>0.001236897302931679</v>
      </c>
      <c r="M166" s="5">
        <f>SUMPRODUCT(Exposures!$B$6:$K$6,B166:K166)</f>
        <v/>
      </c>
      <c r="N166" s="5">
        <f>IF(AND($A166&gt;=DATE(2020,2,1),$A166&lt;=DATE(2020,5,31)),$M166,"")</f>
        <v/>
      </c>
      <c r="O166" s="5">
        <f>IF(AND($A166&gt;=DATE(2022,1,1),$A166&lt;=DATE(2022,10,31)),$M166,"")</f>
        <v/>
      </c>
      <c r="P166" s="5">
        <f>IF(AND($A166&gt;=DATE(2018,10,1),$A166&lt;=DATE(2018,12,31)),$M166,"")</f>
        <v/>
      </c>
      <c r="Q166" s="5">
        <f>SUMPRODUCT(Exposures!$B$8:$K$8,B166:K166)</f>
        <v/>
      </c>
      <c r="R166" s="5">
        <f>SUMPRODUCT(Exposures!$B$9:$K$9,B166:K166)</f>
        <v/>
      </c>
      <c r="S166" s="5">
        <f>SUMPRODUCT(Exposures!$B$10:$K$10,B166:K166)</f>
        <v/>
      </c>
    </row>
    <row r="167">
      <c r="A167" s="1" t="n">
        <v>42697</v>
      </c>
      <c r="B167" s="5" t="n">
        <v>0.006935567456410804</v>
      </c>
      <c r="C167" s="5" t="n">
        <v>-0.0005666990050286691</v>
      </c>
      <c r="D167" s="5" t="n">
        <v>0.0001369136234103185</v>
      </c>
      <c r="E167" s="5" t="n">
        <v>-0.0002837558954335358</v>
      </c>
      <c r="F167" s="5" t="n">
        <v>-0.00264805633776961</v>
      </c>
      <c r="G167" s="5" t="n">
        <v>0.003507799548488116</v>
      </c>
      <c r="H167" s="5" t="n">
        <v>-0.003059123804825968</v>
      </c>
      <c r="I167" s="5" t="n">
        <v>0.0002983891286802052</v>
      </c>
      <c r="J167" s="5" t="n">
        <v>-0.0004555104115680437</v>
      </c>
      <c r="K167" s="5" t="n">
        <v>0.0009921121767977881</v>
      </c>
      <c r="L167" s="5" t="n">
        <v>-0.0006429894411043601</v>
      </c>
      <c r="M167" s="5">
        <f>SUMPRODUCT(Exposures!$B$6:$K$6,B167:K167)</f>
        <v/>
      </c>
      <c r="N167" s="5">
        <f>IF(AND($A167&gt;=DATE(2020,2,1),$A167&lt;=DATE(2020,5,31)),$M167,"")</f>
        <v/>
      </c>
      <c r="O167" s="5">
        <f>IF(AND($A167&gt;=DATE(2022,1,1),$A167&lt;=DATE(2022,10,31)),$M167,"")</f>
        <v/>
      </c>
      <c r="P167" s="5">
        <f>IF(AND($A167&gt;=DATE(2018,10,1),$A167&lt;=DATE(2018,12,31)),$M167,"")</f>
        <v/>
      </c>
      <c r="Q167" s="5">
        <f>SUMPRODUCT(Exposures!$B$8:$K$8,B167:K167)</f>
        <v/>
      </c>
      <c r="R167" s="5">
        <f>SUMPRODUCT(Exposures!$B$9:$K$9,B167:K167)</f>
        <v/>
      </c>
      <c r="S167" s="5">
        <f>SUMPRODUCT(Exposures!$B$10:$K$10,B167:K167)</f>
        <v/>
      </c>
    </row>
    <row r="168">
      <c r="A168" s="1" t="n">
        <v>42699</v>
      </c>
      <c r="B168" s="5" t="n">
        <v>-0.003592842786740289</v>
      </c>
      <c r="C168" s="5" t="n">
        <v>-0.002571177147892822</v>
      </c>
      <c r="D168" s="5" t="n">
        <v>0.001107534251179867</v>
      </c>
      <c r="E168" s="5" t="n">
        <v>0.001890343088564091</v>
      </c>
      <c r="F168" s="5" t="n">
        <v>0.007760990816919806</v>
      </c>
      <c r="G168" s="5" t="n">
        <v>0.003458523025258983</v>
      </c>
      <c r="H168" s="5" t="n">
        <v>-1.069827160987507e-05</v>
      </c>
      <c r="I168" s="5" t="n">
        <v>0.001453319883657605</v>
      </c>
      <c r="J168" s="5" t="n">
        <v>-0.002420940541561018</v>
      </c>
      <c r="K168" s="5" t="n">
        <v>-0.007850199639302426</v>
      </c>
      <c r="L168" s="5" t="n">
        <v>-0.00136666146019351</v>
      </c>
      <c r="M168" s="5">
        <f>SUMPRODUCT(Exposures!$B$6:$K$6,B168:K168)</f>
        <v/>
      </c>
      <c r="N168" s="5">
        <f>IF(AND($A168&gt;=DATE(2020,2,1),$A168&lt;=DATE(2020,5,31)),$M168,"")</f>
        <v/>
      </c>
      <c r="O168" s="5">
        <f>IF(AND($A168&gt;=DATE(2022,1,1),$A168&lt;=DATE(2022,10,31)),$M168,"")</f>
        <v/>
      </c>
      <c r="P168" s="5">
        <f>IF(AND($A168&gt;=DATE(2018,10,1),$A168&lt;=DATE(2018,12,31)),$M168,"")</f>
        <v/>
      </c>
      <c r="Q168" s="5">
        <f>SUMPRODUCT(Exposures!$B$8:$K$8,B168:K168)</f>
        <v/>
      </c>
      <c r="R168" s="5">
        <f>SUMPRODUCT(Exposures!$B$9:$K$9,B168:K168)</f>
        <v/>
      </c>
      <c r="S168" s="5">
        <f>SUMPRODUCT(Exposures!$B$10:$K$10,B168:K168)</f>
        <v/>
      </c>
    </row>
    <row r="169">
      <c r="A169" s="1" t="n">
        <v>42702</v>
      </c>
      <c r="B169" s="5" t="n">
        <v>-0.007581919183917586</v>
      </c>
      <c r="C169" s="5" t="n">
        <v>0.001364165305743512</v>
      </c>
      <c r="D169" s="5" t="n">
        <v>0.003876177737015091</v>
      </c>
      <c r="E169" s="5" t="n">
        <v>-0.001729625133409496</v>
      </c>
      <c r="F169" s="5" t="n">
        <v>-0.003537255113339476</v>
      </c>
      <c r="G169" s="5" t="n">
        <v>-0.006816043027851781</v>
      </c>
      <c r="H169" s="5" t="n">
        <v>0.003864173496706193</v>
      </c>
      <c r="I169" s="5" t="n">
        <v>-0.001312306238748335</v>
      </c>
      <c r="J169" s="5" t="n">
        <v>0.001778495077711353</v>
      </c>
      <c r="K169" s="5" t="n">
        <v>0.005600803919442883</v>
      </c>
      <c r="L169" s="5" t="n">
        <v>2.85674743933394e-05</v>
      </c>
      <c r="M169" s="5">
        <f>SUMPRODUCT(Exposures!$B$6:$K$6,B169:K169)</f>
        <v/>
      </c>
      <c r="N169" s="5">
        <f>IF(AND($A169&gt;=DATE(2020,2,1),$A169&lt;=DATE(2020,5,31)),$M169,"")</f>
        <v/>
      </c>
      <c r="O169" s="5">
        <f>IF(AND($A169&gt;=DATE(2022,1,1),$A169&lt;=DATE(2022,10,31)),$M169,"")</f>
        <v/>
      </c>
      <c r="P169" s="5">
        <f>IF(AND($A169&gt;=DATE(2018,10,1),$A169&lt;=DATE(2018,12,31)),$M169,"")</f>
        <v/>
      </c>
      <c r="Q169" s="5">
        <f>SUMPRODUCT(Exposures!$B$8:$K$8,B169:K169)</f>
        <v/>
      </c>
      <c r="R169" s="5">
        <f>SUMPRODUCT(Exposures!$B$9:$K$9,B169:K169)</f>
        <v/>
      </c>
      <c r="S169" s="5">
        <f>SUMPRODUCT(Exposures!$B$10:$K$10,B169:K169)</f>
        <v/>
      </c>
    </row>
    <row r="170">
      <c r="A170" s="1" t="n">
        <v>42703</v>
      </c>
      <c r="B170" s="5" t="n">
        <v>-0.002135033904783502</v>
      </c>
      <c r="C170" s="5" t="n">
        <v>-0.0003061176218249892</v>
      </c>
      <c r="D170" s="5" t="n">
        <v>-0.001680229262502601</v>
      </c>
      <c r="E170" s="5" t="n">
        <v>0.002715648520207286</v>
      </c>
      <c r="F170" s="5" t="n">
        <v>0.004771442085203532</v>
      </c>
      <c r="G170" s="5" t="n">
        <v>0.001064321646189964</v>
      </c>
      <c r="H170" s="5" t="n">
        <v>0.002210228511203987</v>
      </c>
      <c r="I170" s="5" t="n">
        <v>0.00106964490583507</v>
      </c>
      <c r="J170" s="5" t="n">
        <v>-0.0007706265334235694</v>
      </c>
      <c r="K170" s="5" t="n">
        <v>-0.003827938748701304</v>
      </c>
      <c r="L170" s="5" t="n">
        <v>-0.001914783768584865</v>
      </c>
      <c r="M170" s="5">
        <f>SUMPRODUCT(Exposures!$B$6:$K$6,B170:K170)</f>
        <v/>
      </c>
      <c r="N170" s="5">
        <f>IF(AND($A170&gt;=DATE(2020,2,1),$A170&lt;=DATE(2020,5,31)),$M170,"")</f>
        <v/>
      </c>
      <c r="O170" s="5">
        <f>IF(AND($A170&gt;=DATE(2022,1,1),$A170&lt;=DATE(2022,10,31)),$M170,"")</f>
        <v/>
      </c>
      <c r="P170" s="5">
        <f>IF(AND($A170&gt;=DATE(2018,10,1),$A170&lt;=DATE(2018,12,31)),$M170,"")</f>
        <v/>
      </c>
      <c r="Q170" s="5">
        <f>SUMPRODUCT(Exposures!$B$8:$K$8,B170:K170)</f>
        <v/>
      </c>
      <c r="R170" s="5">
        <f>SUMPRODUCT(Exposures!$B$9:$K$9,B170:K170)</f>
        <v/>
      </c>
      <c r="S170" s="5">
        <f>SUMPRODUCT(Exposures!$B$10:$K$10,B170:K170)</f>
        <v/>
      </c>
    </row>
    <row r="171">
      <c r="A171" s="1" t="n">
        <v>42704</v>
      </c>
      <c r="B171" s="5" t="n">
        <v>0.007980716869123779</v>
      </c>
      <c r="C171" s="5" t="n">
        <v>0.002705429519417176</v>
      </c>
      <c r="D171" s="5" t="n">
        <v>-0.0004449337076950049</v>
      </c>
      <c r="E171" s="5" t="n">
        <v>0.001642388279915115</v>
      </c>
      <c r="F171" s="5" t="n">
        <v>-0.004178403375542793</v>
      </c>
      <c r="G171" s="5" t="n">
        <v>-0.006095980220848936</v>
      </c>
      <c r="H171" s="5" t="n">
        <v>-0.001668892520221165</v>
      </c>
      <c r="I171" s="5" t="n">
        <v>-0.000792589710965314</v>
      </c>
      <c r="J171" s="5" t="n">
        <v>-0.0003707732737054581</v>
      </c>
      <c r="K171" s="5" t="n">
        <v>0.003865015995391388</v>
      </c>
      <c r="L171" s="5" t="n">
        <v>0.004471748929190604</v>
      </c>
      <c r="M171" s="5">
        <f>SUMPRODUCT(Exposures!$B$6:$K$6,B171:K171)</f>
        <v/>
      </c>
      <c r="N171" s="5">
        <f>IF(AND($A171&gt;=DATE(2020,2,1),$A171&lt;=DATE(2020,5,31)),$M171,"")</f>
        <v/>
      </c>
      <c r="O171" s="5">
        <f>IF(AND($A171&gt;=DATE(2022,1,1),$A171&lt;=DATE(2022,10,31)),$M171,"")</f>
        <v/>
      </c>
      <c r="P171" s="5">
        <f>IF(AND($A171&gt;=DATE(2018,10,1),$A171&lt;=DATE(2018,12,31)),$M171,"")</f>
        <v/>
      </c>
      <c r="Q171" s="5">
        <f>SUMPRODUCT(Exposures!$B$8:$K$8,B171:K171)</f>
        <v/>
      </c>
      <c r="R171" s="5">
        <f>SUMPRODUCT(Exposures!$B$9:$K$9,B171:K171)</f>
        <v/>
      </c>
      <c r="S171" s="5">
        <f>SUMPRODUCT(Exposures!$B$10:$K$10,B171:K171)</f>
        <v/>
      </c>
    </row>
    <row r="172">
      <c r="A172" s="1" t="n">
        <v>42705</v>
      </c>
      <c r="B172" s="5" t="n">
        <v>-0.004162366172000912</v>
      </c>
      <c r="C172" s="5" t="n">
        <v>0.001137574732694129</v>
      </c>
      <c r="D172" s="5" t="n">
        <v>0.0005721214595199116</v>
      </c>
      <c r="E172" s="5" t="n">
        <v>0.002031049313834904</v>
      </c>
      <c r="F172" s="5" t="n">
        <v>-0.01468435454738468</v>
      </c>
      <c r="G172" s="5" t="n">
        <v>-0.00662238331444241</v>
      </c>
      <c r="H172" s="5" t="n">
        <v>-0.009678473995525324</v>
      </c>
      <c r="I172" s="5" t="n">
        <v>-0.00204644020861067</v>
      </c>
      <c r="J172" s="5" t="n">
        <v>0.000561404410657164</v>
      </c>
      <c r="K172" s="5" t="n">
        <v>0.0125908232088971</v>
      </c>
      <c r="L172" s="5" t="n">
        <v>0.007733828380478883</v>
      </c>
      <c r="M172" s="5">
        <f>SUMPRODUCT(Exposures!$B$6:$K$6,B172:K172)</f>
        <v/>
      </c>
      <c r="N172" s="5">
        <f>IF(AND($A172&gt;=DATE(2020,2,1),$A172&lt;=DATE(2020,5,31)),$M172,"")</f>
        <v/>
      </c>
      <c r="O172" s="5">
        <f>IF(AND($A172&gt;=DATE(2022,1,1),$A172&lt;=DATE(2022,10,31)),$M172,"")</f>
        <v/>
      </c>
      <c r="P172" s="5">
        <f>IF(AND($A172&gt;=DATE(2018,10,1),$A172&lt;=DATE(2018,12,31)),$M172,"")</f>
        <v/>
      </c>
      <c r="Q172" s="5">
        <f>SUMPRODUCT(Exposures!$B$8:$K$8,B172:K172)</f>
        <v/>
      </c>
      <c r="R172" s="5">
        <f>SUMPRODUCT(Exposures!$B$9:$K$9,B172:K172)</f>
        <v/>
      </c>
      <c r="S172" s="5">
        <f>SUMPRODUCT(Exposures!$B$10:$K$10,B172:K172)</f>
        <v/>
      </c>
    </row>
    <row r="173">
      <c r="A173" s="1" t="n">
        <v>42706</v>
      </c>
      <c r="B173" s="5" t="n">
        <v>-0.001413416256599748</v>
      </c>
      <c r="C173" s="5" t="n">
        <v>-2.199687017130831e-05</v>
      </c>
      <c r="D173" s="5" t="n">
        <v>-0.004321741423371368</v>
      </c>
      <c r="E173" s="5" t="n">
        <v>-0.001670160046702287</v>
      </c>
      <c r="F173" s="5" t="n">
        <v>0.002547700748868301</v>
      </c>
      <c r="G173" s="5" t="n">
        <v>0.001226270908079373</v>
      </c>
      <c r="H173" s="5" t="n">
        <v>0.003505594010408267</v>
      </c>
      <c r="I173" s="5" t="n">
        <v>0.001148880710308911</v>
      </c>
      <c r="J173" s="5" t="n">
        <v>-0.001598102443221077</v>
      </c>
      <c r="K173" s="5" t="n">
        <v>-0.003261078115948866</v>
      </c>
      <c r="L173" s="5" t="n">
        <v>-0.004716939604970713</v>
      </c>
      <c r="M173" s="5">
        <f>SUMPRODUCT(Exposures!$B$6:$K$6,B173:K173)</f>
        <v/>
      </c>
      <c r="N173" s="5">
        <f>IF(AND($A173&gt;=DATE(2020,2,1),$A173&lt;=DATE(2020,5,31)),$M173,"")</f>
        <v/>
      </c>
      <c r="O173" s="5">
        <f>IF(AND($A173&gt;=DATE(2022,1,1),$A173&lt;=DATE(2022,10,31)),$M173,"")</f>
        <v/>
      </c>
      <c r="P173" s="5">
        <f>IF(AND($A173&gt;=DATE(2018,10,1),$A173&lt;=DATE(2018,12,31)),$M173,"")</f>
        <v/>
      </c>
      <c r="Q173" s="5">
        <f>SUMPRODUCT(Exposures!$B$8:$K$8,B173:K173)</f>
        <v/>
      </c>
      <c r="R173" s="5">
        <f>SUMPRODUCT(Exposures!$B$9:$K$9,B173:K173)</f>
        <v/>
      </c>
      <c r="S173" s="5">
        <f>SUMPRODUCT(Exposures!$B$10:$K$10,B173:K173)</f>
        <v/>
      </c>
    </row>
    <row r="174">
      <c r="A174" s="1" t="n">
        <v>42709</v>
      </c>
      <c r="B174" s="5" t="n">
        <v>0.002863360928408672</v>
      </c>
      <c r="C174" s="5" t="n">
        <v>-0.001074219021431828</v>
      </c>
      <c r="D174" s="5" t="n">
        <v>0.01185799496551345</v>
      </c>
      <c r="E174" s="5" t="n">
        <v>0.001623676635544404</v>
      </c>
      <c r="F174" s="5" t="n">
        <v>0.004000729830758524</v>
      </c>
      <c r="G174" s="5" t="n">
        <v>0.008903581250113037</v>
      </c>
      <c r="H174" s="5" t="n">
        <v>0.001489895684485001</v>
      </c>
      <c r="I174" s="5" t="n">
        <v>0.0008189949506507367</v>
      </c>
      <c r="J174" s="5" t="n">
        <v>-0.001264352784225764</v>
      </c>
      <c r="K174" s="5" t="n">
        <v>-0.006287377996037916</v>
      </c>
      <c r="L174" s="5" t="n">
        <v>0.00185904960709162</v>
      </c>
      <c r="M174" s="5">
        <f>SUMPRODUCT(Exposures!$B$6:$K$6,B174:K174)</f>
        <v/>
      </c>
      <c r="N174" s="5">
        <f>IF(AND($A174&gt;=DATE(2020,2,1),$A174&lt;=DATE(2020,5,31)),$M174,"")</f>
        <v/>
      </c>
      <c r="O174" s="5">
        <f>IF(AND($A174&gt;=DATE(2022,1,1),$A174&lt;=DATE(2022,10,31)),$M174,"")</f>
        <v/>
      </c>
      <c r="P174" s="5">
        <f>IF(AND($A174&gt;=DATE(2018,10,1),$A174&lt;=DATE(2018,12,31)),$M174,"")</f>
        <v/>
      </c>
      <c r="Q174" s="5">
        <f>SUMPRODUCT(Exposures!$B$8:$K$8,B174:K174)</f>
        <v/>
      </c>
      <c r="R174" s="5">
        <f>SUMPRODUCT(Exposures!$B$9:$K$9,B174:K174)</f>
        <v/>
      </c>
      <c r="S174" s="5">
        <f>SUMPRODUCT(Exposures!$B$10:$K$10,B174:K174)</f>
        <v/>
      </c>
    </row>
    <row r="175">
      <c r="A175" s="1" t="n">
        <v>42710</v>
      </c>
      <c r="B175" s="5" t="n">
        <v>0.004178514575608284</v>
      </c>
      <c r="C175" s="5" t="n">
        <v>-0.0008729356518487029</v>
      </c>
      <c r="D175" s="5" t="n">
        <v>-0.002705258844932905</v>
      </c>
      <c r="E175" s="5" t="n">
        <v>0.002094621395420047</v>
      </c>
      <c r="F175" s="5" t="n">
        <v>-0.004591541849579361</v>
      </c>
      <c r="G175" s="5" t="n">
        <v>0.009380240479652602</v>
      </c>
      <c r="H175" s="5" t="n">
        <v>0.0008103818226065169</v>
      </c>
      <c r="I175" s="5" t="n">
        <v>-0.002660411919421671</v>
      </c>
      <c r="J175" s="5" t="n">
        <v>0.00303416036146523</v>
      </c>
      <c r="K175" s="5" t="n">
        <v>0.003923491413449377</v>
      </c>
      <c r="L175" s="5" t="n">
        <v>-0.00044464100732792</v>
      </c>
      <c r="M175" s="5">
        <f>SUMPRODUCT(Exposures!$B$6:$K$6,B175:K175)</f>
        <v/>
      </c>
      <c r="N175" s="5">
        <f>IF(AND($A175&gt;=DATE(2020,2,1),$A175&lt;=DATE(2020,5,31)),$M175,"")</f>
        <v/>
      </c>
      <c r="O175" s="5">
        <f>IF(AND($A175&gt;=DATE(2022,1,1),$A175&lt;=DATE(2022,10,31)),$M175,"")</f>
        <v/>
      </c>
      <c r="P175" s="5">
        <f>IF(AND($A175&gt;=DATE(2018,10,1),$A175&lt;=DATE(2018,12,31)),$M175,"")</f>
        <v/>
      </c>
      <c r="Q175" s="5">
        <f>SUMPRODUCT(Exposures!$B$8:$K$8,B175:K175)</f>
        <v/>
      </c>
      <c r="R175" s="5">
        <f>SUMPRODUCT(Exposures!$B$9:$K$9,B175:K175)</f>
        <v/>
      </c>
      <c r="S175" s="5">
        <f>SUMPRODUCT(Exposures!$B$10:$K$10,B175:K175)</f>
        <v/>
      </c>
    </row>
    <row r="176">
      <c r="A176" s="1" t="n">
        <v>42711</v>
      </c>
      <c r="B176" s="5" t="n">
        <v>0.003397502466173498</v>
      </c>
      <c r="C176" s="5" t="n">
        <v>0.002788577251293524</v>
      </c>
      <c r="D176" s="5" t="n">
        <v>-0.004266365787534906</v>
      </c>
      <c r="E176" s="5" t="n">
        <v>0.001363331620134772</v>
      </c>
      <c r="F176" s="5" t="n">
        <v>0.006527159519324632</v>
      </c>
      <c r="G176" s="5" t="n">
        <v>0.01047237412831939</v>
      </c>
      <c r="H176" s="5" t="n">
        <v>0.003943904131469153</v>
      </c>
      <c r="I176" s="5" t="n">
        <v>-0.000932290903350303</v>
      </c>
      <c r="J176" s="5" t="n">
        <v>-0.006956424758765377</v>
      </c>
      <c r="K176" s="5" t="n">
        <v>-0.007835600273373445</v>
      </c>
      <c r="L176" s="5" t="n">
        <v>-0.0005292023207028767</v>
      </c>
      <c r="M176" s="5">
        <f>SUMPRODUCT(Exposures!$B$6:$K$6,B176:K176)</f>
        <v/>
      </c>
      <c r="N176" s="5">
        <f>IF(AND($A176&gt;=DATE(2020,2,1),$A176&lt;=DATE(2020,5,31)),$M176,"")</f>
        <v/>
      </c>
      <c r="O176" s="5">
        <f>IF(AND($A176&gt;=DATE(2022,1,1),$A176&lt;=DATE(2022,10,31)),$M176,"")</f>
        <v/>
      </c>
      <c r="P176" s="5">
        <f>IF(AND($A176&gt;=DATE(2018,10,1),$A176&lt;=DATE(2018,12,31)),$M176,"")</f>
        <v/>
      </c>
      <c r="Q176" s="5">
        <f>SUMPRODUCT(Exposures!$B$8:$K$8,B176:K176)</f>
        <v/>
      </c>
      <c r="R176" s="5">
        <f>SUMPRODUCT(Exposures!$B$9:$K$9,B176:K176)</f>
        <v/>
      </c>
      <c r="S176" s="5">
        <f>SUMPRODUCT(Exposures!$B$10:$K$10,B176:K176)</f>
        <v/>
      </c>
    </row>
    <row r="177">
      <c r="A177" s="1" t="n">
        <v>42712</v>
      </c>
      <c r="B177" s="5" t="n">
        <v>0.007987890984926364</v>
      </c>
      <c r="C177" s="5" t="n">
        <v>0.0004403147289881836</v>
      </c>
      <c r="D177" s="5" t="n">
        <v>0.0001105700276542179</v>
      </c>
      <c r="E177" s="5" t="n">
        <v>0.003131284330585518</v>
      </c>
      <c r="F177" s="5" t="n">
        <v>0.001698746642505086</v>
      </c>
      <c r="G177" s="5" t="n">
        <v>0.01059241235646397</v>
      </c>
      <c r="H177" s="5" t="n">
        <v>0.0007145915386468587</v>
      </c>
      <c r="I177" s="5" t="n">
        <v>-0.002085039373189232</v>
      </c>
      <c r="J177" s="5" t="n">
        <v>0.002036621575617794</v>
      </c>
      <c r="K177" s="5" t="n">
        <v>-0.003438826596368263</v>
      </c>
      <c r="L177" s="5" t="n">
        <v>0.0006426298312784955</v>
      </c>
      <c r="M177" s="5">
        <f>SUMPRODUCT(Exposures!$B$6:$K$6,B177:K177)</f>
        <v/>
      </c>
      <c r="N177" s="5">
        <f>IF(AND($A177&gt;=DATE(2020,2,1),$A177&lt;=DATE(2020,5,31)),$M177,"")</f>
        <v/>
      </c>
      <c r="O177" s="5">
        <f>IF(AND($A177&gt;=DATE(2022,1,1),$A177&lt;=DATE(2022,10,31)),$M177,"")</f>
        <v/>
      </c>
      <c r="P177" s="5">
        <f>IF(AND($A177&gt;=DATE(2018,10,1),$A177&lt;=DATE(2018,12,31)),$M177,"")</f>
        <v/>
      </c>
      <c r="Q177" s="5">
        <f>SUMPRODUCT(Exposures!$B$8:$K$8,B177:K177)</f>
        <v/>
      </c>
      <c r="R177" s="5">
        <f>SUMPRODUCT(Exposures!$B$9:$K$9,B177:K177)</f>
        <v/>
      </c>
      <c r="S177" s="5">
        <f>SUMPRODUCT(Exposures!$B$10:$K$10,B177:K177)</f>
        <v/>
      </c>
    </row>
    <row r="178">
      <c r="A178" s="1" t="n">
        <v>42713</v>
      </c>
      <c r="B178" s="5" t="n">
        <v>-0.002520222902055268</v>
      </c>
      <c r="C178" s="5" t="n">
        <v>0.001234416823469458</v>
      </c>
      <c r="D178" s="5" t="n">
        <v>-0.0009764689970747243</v>
      </c>
      <c r="E178" s="5" t="n">
        <v>-0.001182159418703125</v>
      </c>
      <c r="F178" s="5" t="n">
        <v>0.004545712512568145</v>
      </c>
      <c r="G178" s="5" t="n">
        <v>0.001982236205836328</v>
      </c>
      <c r="H178" s="5" t="n">
        <v>-0.003866215314243887</v>
      </c>
      <c r="I178" s="5" t="n">
        <v>0.003699723446138139</v>
      </c>
      <c r="J178" s="5" t="n">
        <v>-0.001188976896782185</v>
      </c>
      <c r="K178" s="5" t="n">
        <v>-0.003667331308296407</v>
      </c>
      <c r="L178" s="5" t="n">
        <v>-0.001303167210755493</v>
      </c>
      <c r="M178" s="5">
        <f>SUMPRODUCT(Exposures!$B$6:$K$6,B178:K178)</f>
        <v/>
      </c>
      <c r="N178" s="5">
        <f>IF(AND($A178&gt;=DATE(2020,2,1),$A178&lt;=DATE(2020,5,31)),$M178,"")</f>
        <v/>
      </c>
      <c r="O178" s="5">
        <f>IF(AND($A178&gt;=DATE(2022,1,1),$A178&lt;=DATE(2022,10,31)),$M178,"")</f>
        <v/>
      </c>
      <c r="P178" s="5">
        <f>IF(AND($A178&gt;=DATE(2018,10,1),$A178&lt;=DATE(2018,12,31)),$M178,"")</f>
        <v/>
      </c>
      <c r="Q178" s="5">
        <f>SUMPRODUCT(Exposures!$B$8:$K$8,B178:K178)</f>
        <v/>
      </c>
      <c r="R178" s="5">
        <f>SUMPRODUCT(Exposures!$B$9:$K$9,B178:K178)</f>
        <v/>
      </c>
      <c r="S178" s="5">
        <f>SUMPRODUCT(Exposures!$B$10:$K$10,B178:K178)</f>
        <v/>
      </c>
    </row>
    <row r="179">
      <c r="A179" s="1" t="n">
        <v>42716</v>
      </c>
      <c r="B179" s="5" t="n">
        <v>-0.003735840738753592</v>
      </c>
      <c r="C179" s="5" t="n">
        <v>-0.00109229415469858</v>
      </c>
      <c r="D179" s="5" t="n">
        <v>0.001293301715319231</v>
      </c>
      <c r="E179" s="5" t="n">
        <v>-0.002454999528544103</v>
      </c>
      <c r="F179" s="5" t="n">
        <v>0.0005629492850923578</v>
      </c>
      <c r="G179" s="5" t="n">
        <v>-0.007306188887852288</v>
      </c>
      <c r="H179" s="5" t="n">
        <v>0.002970702945982757</v>
      </c>
      <c r="I179" s="5" t="n">
        <v>0.001653438735689788</v>
      </c>
      <c r="J179" s="5" t="n">
        <v>-0.006043100984014117</v>
      </c>
      <c r="K179" s="5" t="n">
        <v>-0.0001050838758461024</v>
      </c>
      <c r="L179" s="5" t="n">
        <v>-0.00229893271425474</v>
      </c>
      <c r="M179" s="5">
        <f>SUMPRODUCT(Exposures!$B$6:$K$6,B179:K179)</f>
        <v/>
      </c>
      <c r="N179" s="5">
        <f>IF(AND($A179&gt;=DATE(2020,2,1),$A179&lt;=DATE(2020,5,31)),$M179,"")</f>
        <v/>
      </c>
      <c r="O179" s="5">
        <f>IF(AND($A179&gt;=DATE(2022,1,1),$A179&lt;=DATE(2022,10,31)),$M179,"")</f>
        <v/>
      </c>
      <c r="P179" s="5">
        <f>IF(AND($A179&gt;=DATE(2018,10,1),$A179&lt;=DATE(2018,12,31)),$M179,"")</f>
        <v/>
      </c>
      <c r="Q179" s="5">
        <f>SUMPRODUCT(Exposures!$B$8:$K$8,B179:K179)</f>
        <v/>
      </c>
      <c r="R179" s="5">
        <f>SUMPRODUCT(Exposures!$B$9:$K$9,B179:K179)</f>
        <v/>
      </c>
      <c r="S179" s="5">
        <f>SUMPRODUCT(Exposures!$B$10:$K$10,B179:K179)</f>
        <v/>
      </c>
    </row>
    <row r="180">
      <c r="A180" s="1" t="n">
        <v>42717</v>
      </c>
      <c r="B180" s="5" t="n">
        <v>0.0002041744246641332</v>
      </c>
      <c r="C180" s="5" t="n">
        <v>4.159473305790208e-05</v>
      </c>
      <c r="D180" s="5" t="n">
        <v>-0.0006435525482072724</v>
      </c>
      <c r="E180" s="5" t="n">
        <v>-0.0001676328855750755</v>
      </c>
      <c r="F180" s="5" t="n">
        <v>0.003683798947602975</v>
      </c>
      <c r="G180" s="5" t="n">
        <v>0.001367030935255438</v>
      </c>
      <c r="H180" s="5" t="n">
        <v>0.001243626559010285</v>
      </c>
      <c r="I180" s="5" t="n">
        <v>0.0006264772598602532</v>
      </c>
      <c r="J180" s="5" t="n">
        <v>-0.0004440116695128046</v>
      </c>
      <c r="K180" s="5" t="n">
        <v>-0.0006015783035151882</v>
      </c>
      <c r="L180" s="5" t="n">
        <v>-0.001999162744334223</v>
      </c>
      <c r="M180" s="5">
        <f>SUMPRODUCT(Exposures!$B$6:$K$6,B180:K180)</f>
        <v/>
      </c>
      <c r="N180" s="5">
        <f>IF(AND($A180&gt;=DATE(2020,2,1),$A180&lt;=DATE(2020,5,31)),$M180,"")</f>
        <v/>
      </c>
      <c r="O180" s="5">
        <f>IF(AND($A180&gt;=DATE(2022,1,1),$A180&lt;=DATE(2022,10,31)),$M180,"")</f>
        <v/>
      </c>
      <c r="P180" s="5">
        <f>IF(AND($A180&gt;=DATE(2018,10,1),$A180&lt;=DATE(2018,12,31)),$M180,"")</f>
        <v/>
      </c>
      <c r="Q180" s="5">
        <f>SUMPRODUCT(Exposures!$B$8:$K$8,B180:K180)</f>
        <v/>
      </c>
      <c r="R180" s="5">
        <f>SUMPRODUCT(Exposures!$B$9:$K$9,B180:K180)</f>
        <v/>
      </c>
      <c r="S180" s="5">
        <f>SUMPRODUCT(Exposures!$B$10:$K$10,B180:K180)</f>
        <v/>
      </c>
    </row>
    <row r="181">
      <c r="A181" s="1" t="n">
        <v>42718</v>
      </c>
      <c r="B181" s="5" t="n">
        <v>-0.0001575649117825666</v>
      </c>
      <c r="C181" s="5" t="n">
        <v>0.0001017144141187219</v>
      </c>
      <c r="D181" s="5" t="n">
        <v>0.008276504191616914</v>
      </c>
      <c r="E181" s="5" t="n">
        <v>0.0001683016885969859</v>
      </c>
      <c r="F181" s="5" t="n">
        <v>0.00138490156341886</v>
      </c>
      <c r="G181" s="5" t="n">
        <v>-0.01043801677357116</v>
      </c>
      <c r="H181" s="5" t="n">
        <v>0.001454085389869528</v>
      </c>
      <c r="I181" s="5" t="n">
        <v>0.002424927750914643</v>
      </c>
      <c r="J181" s="5" t="n">
        <v>0.002358516254900655</v>
      </c>
      <c r="K181" s="5" t="n">
        <v>0.002098821895508568</v>
      </c>
      <c r="L181" s="5" t="n">
        <v>-3.771077476145642e-05</v>
      </c>
      <c r="M181" s="5">
        <f>SUMPRODUCT(Exposures!$B$6:$K$6,B181:K181)</f>
        <v/>
      </c>
      <c r="N181" s="5">
        <f>IF(AND($A181&gt;=DATE(2020,2,1),$A181&lt;=DATE(2020,5,31)),$M181,"")</f>
        <v/>
      </c>
      <c r="O181" s="5">
        <f>IF(AND($A181&gt;=DATE(2022,1,1),$A181&lt;=DATE(2022,10,31)),$M181,"")</f>
        <v/>
      </c>
      <c r="P181" s="5">
        <f>IF(AND($A181&gt;=DATE(2018,10,1),$A181&lt;=DATE(2018,12,31)),$M181,"")</f>
        <v/>
      </c>
      <c r="Q181" s="5">
        <f>SUMPRODUCT(Exposures!$B$8:$K$8,B181:K181)</f>
        <v/>
      </c>
      <c r="R181" s="5">
        <f>SUMPRODUCT(Exposures!$B$9:$K$9,B181:K181)</f>
        <v/>
      </c>
      <c r="S181" s="5">
        <f>SUMPRODUCT(Exposures!$B$10:$K$10,B181:K181)</f>
        <v/>
      </c>
    </row>
    <row r="182">
      <c r="A182" s="1" t="n">
        <v>42719</v>
      </c>
      <c r="B182" s="5" t="n">
        <v>0.006455476796258179</v>
      </c>
      <c r="C182" s="5" t="n">
        <v>-0.001408340052138523</v>
      </c>
      <c r="D182" s="5" t="n">
        <v>-0.001843221235762587</v>
      </c>
      <c r="E182" s="5" t="n">
        <v>0.001254397291356331</v>
      </c>
      <c r="F182" s="5" t="n">
        <v>0.0004882928752261836</v>
      </c>
      <c r="G182" s="5" t="n">
        <v>0.006758194878779589</v>
      </c>
      <c r="H182" s="5" t="n">
        <v>-2.811508525111118e-05</v>
      </c>
      <c r="I182" s="5" t="n">
        <v>0.000413992583273956</v>
      </c>
      <c r="J182" s="5" t="n">
        <v>-0.001689249608368092</v>
      </c>
      <c r="K182" s="5" t="n">
        <v>-0.002654344026439884</v>
      </c>
      <c r="L182" s="5" t="n">
        <v>-0.001489979972017711</v>
      </c>
      <c r="M182" s="5">
        <f>SUMPRODUCT(Exposures!$B$6:$K$6,B182:K182)</f>
        <v/>
      </c>
      <c r="N182" s="5">
        <f>IF(AND($A182&gt;=DATE(2020,2,1),$A182&lt;=DATE(2020,5,31)),$M182,"")</f>
        <v/>
      </c>
      <c r="O182" s="5">
        <f>IF(AND($A182&gt;=DATE(2022,1,1),$A182&lt;=DATE(2022,10,31)),$M182,"")</f>
        <v/>
      </c>
      <c r="P182" s="5">
        <f>IF(AND($A182&gt;=DATE(2018,10,1),$A182&lt;=DATE(2018,12,31)),$M182,"")</f>
        <v/>
      </c>
      <c r="Q182" s="5">
        <f>SUMPRODUCT(Exposures!$B$8:$K$8,B182:K182)</f>
        <v/>
      </c>
      <c r="R182" s="5">
        <f>SUMPRODUCT(Exposures!$B$9:$K$9,B182:K182)</f>
        <v/>
      </c>
      <c r="S182" s="5">
        <f>SUMPRODUCT(Exposures!$B$10:$K$10,B182:K182)</f>
        <v/>
      </c>
    </row>
    <row r="183">
      <c r="A183" s="1" t="n">
        <v>42720</v>
      </c>
      <c r="B183" s="5" t="n">
        <v>-0.01091333721849887</v>
      </c>
      <c r="C183" s="5" t="n">
        <v>-0.002049980069930426</v>
      </c>
      <c r="D183" s="5" t="n">
        <v>0.0002168625850892406</v>
      </c>
      <c r="E183" s="5" t="n">
        <v>0.001229105473483609</v>
      </c>
      <c r="F183" s="5" t="n">
        <v>-0.004015900093685591</v>
      </c>
      <c r="G183" s="5" t="n">
        <v>-0.002099558963729757</v>
      </c>
      <c r="H183" s="5" t="n">
        <v>-0.004413558931051396</v>
      </c>
      <c r="I183" s="5" t="n">
        <v>0.001295702583682646</v>
      </c>
      <c r="J183" s="5" t="n">
        <v>0.00333078300717334</v>
      </c>
      <c r="K183" s="5" t="n">
        <v>0.003451624383011418</v>
      </c>
      <c r="L183" s="5" t="n">
        <v>0.002280844900574852</v>
      </c>
      <c r="M183" s="5">
        <f>SUMPRODUCT(Exposures!$B$6:$K$6,B183:K183)</f>
        <v/>
      </c>
      <c r="N183" s="5">
        <f>IF(AND($A183&gt;=DATE(2020,2,1),$A183&lt;=DATE(2020,5,31)),$M183,"")</f>
        <v/>
      </c>
      <c r="O183" s="5">
        <f>IF(AND($A183&gt;=DATE(2022,1,1),$A183&lt;=DATE(2022,10,31)),$M183,"")</f>
        <v/>
      </c>
      <c r="P183" s="5">
        <f>IF(AND($A183&gt;=DATE(2018,10,1),$A183&lt;=DATE(2018,12,31)),$M183,"")</f>
        <v/>
      </c>
      <c r="Q183" s="5">
        <f>SUMPRODUCT(Exposures!$B$8:$K$8,B183:K183)</f>
        <v/>
      </c>
      <c r="R183" s="5">
        <f>SUMPRODUCT(Exposures!$B$9:$K$9,B183:K183)</f>
        <v/>
      </c>
      <c r="S183" s="5">
        <f>SUMPRODUCT(Exposures!$B$10:$K$10,B183:K183)</f>
        <v/>
      </c>
    </row>
    <row r="184">
      <c r="A184" s="1" t="n">
        <v>42723</v>
      </c>
      <c r="B184" s="5" t="n">
        <v>0.0001125907016815096</v>
      </c>
      <c r="C184" s="5" t="n">
        <v>0.0001801348205071012</v>
      </c>
      <c r="D184" s="5" t="n">
        <v>0.001589465019368328</v>
      </c>
      <c r="E184" s="5" t="n">
        <v>0.003747170622114105</v>
      </c>
      <c r="F184" s="5" t="n">
        <v>0.006219857215045228</v>
      </c>
      <c r="G184" s="5" t="n">
        <v>0.003830799975139142</v>
      </c>
      <c r="H184" s="5" t="n">
        <v>0.002960134552204013</v>
      </c>
      <c r="I184" s="5" t="n">
        <v>0.003925662171155832</v>
      </c>
      <c r="J184" s="5" t="n">
        <v>-0.003139955632137802</v>
      </c>
      <c r="K184" s="5" t="n">
        <v>-0.01196819694668433</v>
      </c>
      <c r="L184" s="5" t="n">
        <v>-0.002372965609050978</v>
      </c>
      <c r="M184" s="5">
        <f>SUMPRODUCT(Exposures!$B$6:$K$6,B184:K184)</f>
        <v/>
      </c>
      <c r="N184" s="5">
        <f>IF(AND($A184&gt;=DATE(2020,2,1),$A184&lt;=DATE(2020,5,31)),$M184,"")</f>
        <v/>
      </c>
      <c r="O184" s="5">
        <f>IF(AND($A184&gt;=DATE(2022,1,1),$A184&lt;=DATE(2022,10,31)),$M184,"")</f>
        <v/>
      </c>
      <c r="P184" s="5">
        <f>IF(AND($A184&gt;=DATE(2018,10,1),$A184&lt;=DATE(2018,12,31)),$M184,"")</f>
        <v/>
      </c>
      <c r="Q184" s="5">
        <f>SUMPRODUCT(Exposures!$B$8:$K$8,B184:K184)</f>
        <v/>
      </c>
      <c r="R184" s="5">
        <f>SUMPRODUCT(Exposures!$B$9:$K$9,B184:K184)</f>
        <v/>
      </c>
      <c r="S184" s="5">
        <f>SUMPRODUCT(Exposures!$B$10:$K$10,B184:K184)</f>
        <v/>
      </c>
    </row>
    <row r="185">
      <c r="A185" s="1" t="n">
        <v>42724</v>
      </c>
      <c r="B185" s="5" t="n">
        <v>0.003460537470128648</v>
      </c>
      <c r="C185" s="5" t="n">
        <v>-0.00071695306474095</v>
      </c>
      <c r="D185" s="5" t="n">
        <v>0.002219374905115257</v>
      </c>
      <c r="E185" s="5" t="n">
        <v>0.002258881721098573</v>
      </c>
      <c r="F185" s="5" t="n">
        <v>0.0004736239297164382</v>
      </c>
      <c r="G185" s="5" t="n">
        <v>0.006689303738757866</v>
      </c>
      <c r="H185" s="5" t="n">
        <v>0.001236831432391992</v>
      </c>
      <c r="I185" s="5" t="n">
        <v>-0.001017306794489623</v>
      </c>
      <c r="J185" s="5" t="n">
        <v>0.003778467547328649</v>
      </c>
      <c r="K185" s="5" t="n">
        <v>0.0003870293774727411</v>
      </c>
      <c r="L185" s="5" t="n">
        <v>0.0006466300116956589</v>
      </c>
      <c r="M185" s="5">
        <f>SUMPRODUCT(Exposures!$B$6:$K$6,B185:K185)</f>
        <v/>
      </c>
      <c r="N185" s="5">
        <f>IF(AND($A185&gt;=DATE(2020,2,1),$A185&lt;=DATE(2020,5,31)),$M185,"")</f>
        <v/>
      </c>
      <c r="O185" s="5">
        <f>IF(AND($A185&gt;=DATE(2022,1,1),$A185&lt;=DATE(2022,10,31)),$M185,"")</f>
        <v/>
      </c>
      <c r="P185" s="5">
        <f>IF(AND($A185&gt;=DATE(2018,10,1),$A185&lt;=DATE(2018,12,31)),$M185,"")</f>
        <v/>
      </c>
      <c r="Q185" s="5">
        <f>SUMPRODUCT(Exposures!$B$8:$K$8,B185:K185)</f>
        <v/>
      </c>
      <c r="R185" s="5">
        <f>SUMPRODUCT(Exposures!$B$9:$K$9,B185:K185)</f>
        <v/>
      </c>
      <c r="S185" s="5">
        <f>SUMPRODUCT(Exposures!$B$10:$K$10,B185:K185)</f>
        <v/>
      </c>
    </row>
    <row r="186">
      <c r="A186" s="1" t="n">
        <v>42725</v>
      </c>
      <c r="B186" s="5" t="n">
        <v>-0.002156017529452601</v>
      </c>
      <c r="C186" s="5" t="n">
        <v>-0.000532427141509626</v>
      </c>
      <c r="D186" s="5" t="n">
        <v>-0.000482582760458029</v>
      </c>
      <c r="E186" s="5" t="n">
        <v>0.001018003574529638</v>
      </c>
      <c r="F186" s="5" t="n">
        <v>0.0008802753154419468</v>
      </c>
      <c r="G186" s="5" t="n">
        <v>-0.004638097111514566</v>
      </c>
      <c r="H186" s="5" t="n">
        <v>0.000859406472470832</v>
      </c>
      <c r="I186" s="5" t="n">
        <v>0.0001413966242157341</v>
      </c>
      <c r="J186" s="5" t="n">
        <v>-0.001753373283211666</v>
      </c>
      <c r="K186" s="5" t="n">
        <v>-0.0003018432852250124</v>
      </c>
      <c r="L186" s="5" t="n">
        <v>0.0004889441700354919</v>
      </c>
      <c r="M186" s="5">
        <f>SUMPRODUCT(Exposures!$B$6:$K$6,B186:K186)</f>
        <v/>
      </c>
      <c r="N186" s="5">
        <f>IF(AND($A186&gt;=DATE(2020,2,1),$A186&lt;=DATE(2020,5,31)),$M186,"")</f>
        <v/>
      </c>
      <c r="O186" s="5">
        <f>IF(AND($A186&gt;=DATE(2022,1,1),$A186&lt;=DATE(2022,10,31)),$M186,"")</f>
        <v/>
      </c>
      <c r="P186" s="5">
        <f>IF(AND($A186&gt;=DATE(2018,10,1),$A186&lt;=DATE(2018,12,31)),$M186,"")</f>
        <v/>
      </c>
      <c r="Q186" s="5">
        <f>SUMPRODUCT(Exposures!$B$8:$K$8,B186:K186)</f>
        <v/>
      </c>
      <c r="R186" s="5">
        <f>SUMPRODUCT(Exposures!$B$9:$K$9,B186:K186)</f>
        <v/>
      </c>
      <c r="S186" s="5">
        <f>SUMPRODUCT(Exposures!$B$10:$K$10,B186:K186)</f>
        <v/>
      </c>
    </row>
    <row r="187">
      <c r="A187" s="1" t="n">
        <v>42726</v>
      </c>
      <c r="B187" s="5" t="n">
        <v>-0.002583765295666699</v>
      </c>
      <c r="C187" s="5" t="n">
        <v>-0.00140220217593793</v>
      </c>
      <c r="D187" s="5" t="n">
        <v>0.006254569929376111</v>
      </c>
      <c r="E187" s="5" t="n">
        <v>0.001091262184163434</v>
      </c>
      <c r="F187" s="5" t="n">
        <v>-0.00440860614517132</v>
      </c>
      <c r="G187" s="5" t="n">
        <v>-0.006647734929577269</v>
      </c>
      <c r="H187" s="5" t="n">
        <v>0.0009096285551397838</v>
      </c>
      <c r="I187" s="5" t="n">
        <v>-5.97916881749078e-05</v>
      </c>
      <c r="J187" s="5" t="n">
        <v>-0.002127001659880864</v>
      </c>
      <c r="K187" s="5" t="n">
        <v>0.005306013906306483</v>
      </c>
      <c r="L187" s="5" t="n">
        <v>9.723034866330595e-05</v>
      </c>
      <c r="M187" s="5">
        <f>SUMPRODUCT(Exposures!$B$6:$K$6,B187:K187)</f>
        <v/>
      </c>
      <c r="N187" s="5">
        <f>IF(AND($A187&gt;=DATE(2020,2,1),$A187&lt;=DATE(2020,5,31)),$M187,"")</f>
        <v/>
      </c>
      <c r="O187" s="5">
        <f>IF(AND($A187&gt;=DATE(2022,1,1),$A187&lt;=DATE(2022,10,31)),$M187,"")</f>
        <v/>
      </c>
      <c r="P187" s="5">
        <f>IF(AND($A187&gt;=DATE(2018,10,1),$A187&lt;=DATE(2018,12,31)),$M187,"")</f>
        <v/>
      </c>
      <c r="Q187" s="5">
        <f>SUMPRODUCT(Exposures!$B$8:$K$8,B187:K187)</f>
        <v/>
      </c>
      <c r="R187" s="5">
        <f>SUMPRODUCT(Exposures!$B$9:$K$9,B187:K187)</f>
        <v/>
      </c>
      <c r="S187" s="5">
        <f>SUMPRODUCT(Exposures!$B$10:$K$10,B187:K187)</f>
        <v/>
      </c>
    </row>
    <row r="188">
      <c r="A188" s="1" t="n">
        <v>42727</v>
      </c>
      <c r="B188" s="5" t="n">
        <v>0.001338262070524074</v>
      </c>
      <c r="C188" s="5" t="n">
        <v>-0.0008395089875662288</v>
      </c>
      <c r="D188" s="5" t="n">
        <v>0.002634412505056383</v>
      </c>
      <c r="E188" s="5" t="n">
        <v>0.0001508419699163793</v>
      </c>
      <c r="F188" s="5" t="n">
        <v>-0.001682524713682455</v>
      </c>
      <c r="G188" s="5" t="n">
        <v>0.0045817662988324</v>
      </c>
      <c r="H188" s="5" t="n">
        <v>-0.00363292485035301</v>
      </c>
      <c r="I188" s="5" t="n">
        <v>-0.0001473663482010981</v>
      </c>
      <c r="J188" s="5" t="n">
        <v>0.003528504717167361</v>
      </c>
      <c r="K188" s="5" t="n">
        <v>0.002530008070307743</v>
      </c>
      <c r="L188" s="5" t="n">
        <v>-0.0008848197912487439</v>
      </c>
      <c r="M188" s="5">
        <f>SUMPRODUCT(Exposures!$B$6:$K$6,B188:K188)</f>
        <v/>
      </c>
      <c r="N188" s="5">
        <f>IF(AND($A188&gt;=DATE(2020,2,1),$A188&lt;=DATE(2020,5,31)),$M188,"")</f>
        <v/>
      </c>
      <c r="O188" s="5">
        <f>IF(AND($A188&gt;=DATE(2022,1,1),$A188&lt;=DATE(2022,10,31)),$M188,"")</f>
        <v/>
      </c>
      <c r="P188" s="5">
        <f>IF(AND($A188&gt;=DATE(2018,10,1),$A188&lt;=DATE(2018,12,31)),$M188,"")</f>
        <v/>
      </c>
      <c r="Q188" s="5">
        <f>SUMPRODUCT(Exposures!$B$8:$K$8,B188:K188)</f>
        <v/>
      </c>
      <c r="R188" s="5">
        <f>SUMPRODUCT(Exposures!$B$9:$K$9,B188:K188)</f>
        <v/>
      </c>
      <c r="S188" s="5">
        <f>SUMPRODUCT(Exposures!$B$10:$K$10,B188:K188)</f>
        <v/>
      </c>
    </row>
    <row r="189">
      <c r="A189" s="1" t="n">
        <v>42731</v>
      </c>
      <c r="B189" s="5" t="n">
        <v>-0.0001823534952386281</v>
      </c>
      <c r="C189" s="5" t="n">
        <v>0.0005591588497117167</v>
      </c>
      <c r="D189" s="5" t="n">
        <v>-0.002797632447127036</v>
      </c>
      <c r="E189" s="5" t="n">
        <v>4.63511459178522e-05</v>
      </c>
      <c r="F189" s="5" t="n">
        <v>0.003502213887017869</v>
      </c>
      <c r="G189" s="5" t="n">
        <v>0.003090421861272916</v>
      </c>
      <c r="H189" s="5" t="n">
        <v>0.002389062303207748</v>
      </c>
      <c r="I189" s="5" t="n">
        <v>-0.001445097185401068</v>
      </c>
      <c r="J189" s="5" t="n">
        <v>0.001068510906375945</v>
      </c>
      <c r="K189" s="5" t="n">
        <v>-0.001426337031710542</v>
      </c>
      <c r="L189" s="5" t="n">
        <v>-0.0005949071686831418</v>
      </c>
      <c r="M189" s="5">
        <f>SUMPRODUCT(Exposures!$B$6:$K$6,B189:K189)</f>
        <v/>
      </c>
      <c r="N189" s="5">
        <f>IF(AND($A189&gt;=DATE(2020,2,1),$A189&lt;=DATE(2020,5,31)),$M189,"")</f>
        <v/>
      </c>
      <c r="O189" s="5">
        <f>IF(AND($A189&gt;=DATE(2022,1,1),$A189&lt;=DATE(2022,10,31)),$M189,"")</f>
        <v/>
      </c>
      <c r="P189" s="5">
        <f>IF(AND($A189&gt;=DATE(2018,10,1),$A189&lt;=DATE(2018,12,31)),$M189,"")</f>
        <v/>
      </c>
      <c r="Q189" s="5">
        <f>SUMPRODUCT(Exposures!$B$8:$K$8,B189:K189)</f>
        <v/>
      </c>
      <c r="R189" s="5">
        <f>SUMPRODUCT(Exposures!$B$9:$K$9,B189:K189)</f>
        <v/>
      </c>
      <c r="S189" s="5">
        <f>SUMPRODUCT(Exposures!$B$10:$K$10,B189:K189)</f>
        <v/>
      </c>
    </row>
    <row r="190">
      <c r="A190" s="1" t="n">
        <v>42732</v>
      </c>
      <c r="B190" s="5" t="n">
        <v>-0.002749934740344615</v>
      </c>
      <c r="C190" s="5" t="n">
        <v>-0.001049734982956487</v>
      </c>
      <c r="D190" s="5" t="n">
        <v>0.0003510808519310653</v>
      </c>
      <c r="E190" s="5" t="n">
        <v>-0.001230182317232994</v>
      </c>
      <c r="F190" s="5" t="n">
        <v>0.003122298795529882</v>
      </c>
      <c r="G190" s="5" t="n">
        <v>-0.01057450449310873</v>
      </c>
      <c r="H190" s="5" t="n">
        <v>0.0002485220008458464</v>
      </c>
      <c r="I190" s="5" t="n">
        <v>0.003354490474383076</v>
      </c>
      <c r="J190" s="5" t="n">
        <v>-0.001691565479110585</v>
      </c>
      <c r="K190" s="5" t="n">
        <v>-0.003728357465392917</v>
      </c>
      <c r="L190" s="5" t="n">
        <v>0.0002663846092060139</v>
      </c>
      <c r="M190" s="5">
        <f>SUMPRODUCT(Exposures!$B$6:$K$6,B190:K190)</f>
        <v/>
      </c>
      <c r="N190" s="5">
        <f>IF(AND($A190&gt;=DATE(2020,2,1),$A190&lt;=DATE(2020,5,31)),$M190,"")</f>
        <v/>
      </c>
      <c r="O190" s="5">
        <f>IF(AND($A190&gt;=DATE(2022,1,1),$A190&lt;=DATE(2022,10,31)),$M190,"")</f>
        <v/>
      </c>
      <c r="P190" s="5">
        <f>IF(AND($A190&gt;=DATE(2018,10,1),$A190&lt;=DATE(2018,12,31)),$M190,"")</f>
        <v/>
      </c>
      <c r="Q190" s="5">
        <f>SUMPRODUCT(Exposures!$B$8:$K$8,B190:K190)</f>
        <v/>
      </c>
      <c r="R190" s="5">
        <f>SUMPRODUCT(Exposures!$B$9:$K$9,B190:K190)</f>
        <v/>
      </c>
      <c r="S190" s="5">
        <f>SUMPRODUCT(Exposures!$B$10:$K$10,B190:K190)</f>
        <v/>
      </c>
    </row>
    <row r="191">
      <c r="A191" s="1" t="n">
        <v>42733</v>
      </c>
      <c r="B191" s="5" t="n">
        <v>-0.003971799034647071</v>
      </c>
      <c r="C191" s="5" t="n">
        <v>-0.0001564784981533648</v>
      </c>
      <c r="D191" s="5" t="n">
        <v>-0.002664503844631086</v>
      </c>
      <c r="E191" s="5" t="n">
        <v>-3.32934793114344e-05</v>
      </c>
      <c r="F191" s="5" t="n">
        <v>0.0002409137097366771</v>
      </c>
      <c r="G191" s="5" t="n">
        <v>0.0002883795185941902</v>
      </c>
      <c r="H191" s="5" t="n">
        <v>0.002314120767797129</v>
      </c>
      <c r="I191" s="5" t="n">
        <v>-0.001346397432086846</v>
      </c>
      <c r="J191" s="5" t="n">
        <v>-0.0009150653636099378</v>
      </c>
      <c r="K191" s="5" t="n">
        <v>-0.0003982099534939076</v>
      </c>
      <c r="L191" s="5" t="n">
        <v>-0.00131043624805765</v>
      </c>
      <c r="M191" s="5">
        <f>SUMPRODUCT(Exposures!$B$6:$K$6,B191:K191)</f>
        <v/>
      </c>
      <c r="N191" s="5">
        <f>IF(AND($A191&gt;=DATE(2020,2,1),$A191&lt;=DATE(2020,5,31)),$M191,"")</f>
        <v/>
      </c>
      <c r="O191" s="5">
        <f>IF(AND($A191&gt;=DATE(2022,1,1),$A191&lt;=DATE(2022,10,31)),$M191,"")</f>
        <v/>
      </c>
      <c r="P191" s="5">
        <f>IF(AND($A191&gt;=DATE(2018,10,1),$A191&lt;=DATE(2018,12,31)),$M191,"")</f>
        <v/>
      </c>
      <c r="Q191" s="5">
        <f>SUMPRODUCT(Exposures!$B$8:$K$8,B191:K191)</f>
        <v/>
      </c>
      <c r="R191" s="5">
        <f>SUMPRODUCT(Exposures!$B$9:$K$9,B191:K191)</f>
        <v/>
      </c>
      <c r="S191" s="5">
        <f>SUMPRODUCT(Exposures!$B$10:$K$10,B191:K191)</f>
        <v/>
      </c>
    </row>
    <row r="192">
      <c r="A192" s="1" t="n">
        <v>42734</v>
      </c>
      <c r="B192" s="5" t="n">
        <v>0.001344917370829517</v>
      </c>
      <c r="C192" s="5" t="n">
        <v>-0.0002241222292823277</v>
      </c>
      <c r="D192" s="5" t="n">
        <v>-0.0006525175531966576</v>
      </c>
      <c r="E192" s="5" t="n">
        <v>0.000985779152251618</v>
      </c>
      <c r="F192" s="5" t="n">
        <v>-0.004072278344368675</v>
      </c>
      <c r="G192" s="5" t="n">
        <v>-0.005201488370681363</v>
      </c>
      <c r="H192" s="5" t="n">
        <v>-0.0007918234667919808</v>
      </c>
      <c r="I192" s="5" t="n">
        <v>0.001300940316488294</v>
      </c>
      <c r="J192" s="5" t="n">
        <v>-0.004005345009946563</v>
      </c>
      <c r="K192" s="5" t="n">
        <v>0.001410583811931587</v>
      </c>
      <c r="L192" s="5" t="n">
        <v>0.0005286620391581948</v>
      </c>
      <c r="M192" s="5">
        <f>SUMPRODUCT(Exposures!$B$6:$K$6,B192:K192)</f>
        <v/>
      </c>
      <c r="N192" s="5">
        <f>IF(AND($A192&gt;=DATE(2020,2,1),$A192&lt;=DATE(2020,5,31)),$M192,"")</f>
        <v/>
      </c>
      <c r="O192" s="5">
        <f>IF(AND($A192&gt;=DATE(2022,1,1),$A192&lt;=DATE(2022,10,31)),$M192,"")</f>
        <v/>
      </c>
      <c r="P192" s="5">
        <f>IF(AND($A192&gt;=DATE(2018,10,1),$A192&lt;=DATE(2018,12,31)),$M192,"")</f>
        <v/>
      </c>
      <c r="Q192" s="5">
        <f>SUMPRODUCT(Exposures!$B$8:$K$8,B192:K192)</f>
        <v/>
      </c>
      <c r="R192" s="5">
        <f>SUMPRODUCT(Exposures!$B$9:$K$9,B192:K192)</f>
        <v/>
      </c>
      <c r="S192" s="5">
        <f>SUMPRODUCT(Exposures!$B$10:$K$10,B192:K192)</f>
        <v/>
      </c>
    </row>
    <row r="193">
      <c r="A193" s="1" t="n">
        <v>42738</v>
      </c>
      <c r="B193" s="5" t="n">
        <v>0.00047673846857201</v>
      </c>
      <c r="C193" s="5" t="n">
        <v>-0.001805263213705679</v>
      </c>
      <c r="D193" s="5" t="n">
        <v>-0.0007969716353360558</v>
      </c>
      <c r="E193" s="5" t="n">
        <v>-2.357610265835182e-05</v>
      </c>
      <c r="F193" s="5" t="n">
        <v>0.001513678209833062</v>
      </c>
      <c r="G193" s="5" t="n">
        <v>0.008118364157891602</v>
      </c>
      <c r="H193" s="5" t="n">
        <v>-0.003812627534408291</v>
      </c>
      <c r="I193" s="5" t="n">
        <v>0.001247566083657968</v>
      </c>
      <c r="J193" s="5" t="n">
        <v>0.004393199964965584</v>
      </c>
      <c r="K193" s="5" t="n">
        <v>0.0003876330426391399</v>
      </c>
      <c r="L193" s="5" t="n">
        <v>0.000852288560081923</v>
      </c>
      <c r="M193" s="5">
        <f>SUMPRODUCT(Exposures!$B$6:$K$6,B193:K193)</f>
        <v/>
      </c>
      <c r="N193" s="5">
        <f>IF(AND($A193&gt;=DATE(2020,2,1),$A193&lt;=DATE(2020,5,31)),$M193,"")</f>
        <v/>
      </c>
      <c r="O193" s="5">
        <f>IF(AND($A193&gt;=DATE(2022,1,1),$A193&lt;=DATE(2022,10,31)),$M193,"")</f>
        <v/>
      </c>
      <c r="P193" s="5">
        <f>IF(AND($A193&gt;=DATE(2018,10,1),$A193&lt;=DATE(2018,12,31)),$M193,"")</f>
        <v/>
      </c>
      <c r="Q193" s="5">
        <f>SUMPRODUCT(Exposures!$B$8:$K$8,B193:K193)</f>
        <v/>
      </c>
      <c r="R193" s="5">
        <f>SUMPRODUCT(Exposures!$B$9:$K$9,B193:K193)</f>
        <v/>
      </c>
      <c r="S193" s="5">
        <f>SUMPRODUCT(Exposures!$B$10:$K$10,B193:K193)</f>
        <v/>
      </c>
    </row>
    <row r="194">
      <c r="A194" s="1" t="n">
        <v>42739</v>
      </c>
      <c r="B194" s="5" t="n">
        <v>0.003249152875237893</v>
      </c>
      <c r="C194" s="5" t="n">
        <v>-0.001664395735039318</v>
      </c>
      <c r="D194" s="5" t="n">
        <v>-0.001964763643499963</v>
      </c>
      <c r="E194" s="5" t="n">
        <v>0.001356618213807586</v>
      </c>
      <c r="F194" s="5" t="n">
        <v>-0.0001200376352317673</v>
      </c>
      <c r="G194" s="5" t="n">
        <v>0.01819771441100091</v>
      </c>
      <c r="H194" s="5" t="n">
        <v>-0.003423438153641265</v>
      </c>
      <c r="I194" s="5" t="n">
        <v>-0.0005517287407247192</v>
      </c>
      <c r="J194" s="5" t="n">
        <v>0.00769766655180524</v>
      </c>
      <c r="K194" s="5" t="n">
        <v>-0.003573549418596286</v>
      </c>
      <c r="L194" s="5" t="n">
        <v>0.0007212764697865726</v>
      </c>
      <c r="M194" s="5">
        <f>SUMPRODUCT(Exposures!$B$6:$K$6,B194:K194)</f>
        <v/>
      </c>
      <c r="N194" s="5">
        <f>IF(AND($A194&gt;=DATE(2020,2,1),$A194&lt;=DATE(2020,5,31)),$M194,"")</f>
        <v/>
      </c>
      <c r="O194" s="5">
        <f>IF(AND($A194&gt;=DATE(2022,1,1),$A194&lt;=DATE(2022,10,31)),$M194,"")</f>
        <v/>
      </c>
      <c r="P194" s="5">
        <f>IF(AND($A194&gt;=DATE(2018,10,1),$A194&lt;=DATE(2018,12,31)),$M194,"")</f>
        <v/>
      </c>
      <c r="Q194" s="5">
        <f>SUMPRODUCT(Exposures!$B$8:$K$8,B194:K194)</f>
        <v/>
      </c>
      <c r="R194" s="5">
        <f>SUMPRODUCT(Exposures!$B$9:$K$9,B194:K194)</f>
        <v/>
      </c>
      <c r="S194" s="5">
        <f>SUMPRODUCT(Exposures!$B$10:$K$10,B194:K194)</f>
        <v/>
      </c>
    </row>
    <row r="195">
      <c r="A195" s="1" t="n">
        <v>42740</v>
      </c>
      <c r="B195" s="5" t="n">
        <v>-0.005348137756030271</v>
      </c>
      <c r="C195" s="5" t="n">
        <v>0.0005980291318648115</v>
      </c>
      <c r="D195" s="5" t="n">
        <v>0.002408113246037212</v>
      </c>
      <c r="E195" s="5" t="n">
        <v>-0.00297273254369889</v>
      </c>
      <c r="F195" s="5" t="n">
        <v>0.004101299352111343</v>
      </c>
      <c r="G195" s="5" t="n">
        <v>-0.004101030468414949</v>
      </c>
      <c r="H195" s="5" t="n">
        <v>-0.002911198377041486</v>
      </c>
      <c r="I195" s="5" t="n">
        <v>-0.0002208909240337495</v>
      </c>
      <c r="J195" s="5" t="n">
        <v>0.003173796869955179</v>
      </c>
      <c r="K195" s="5" t="n">
        <v>0.002331400917531223</v>
      </c>
      <c r="L195" s="5" t="n">
        <v>0.001457405665582508</v>
      </c>
      <c r="M195" s="5">
        <f>SUMPRODUCT(Exposures!$B$6:$K$6,B195:K195)</f>
        <v/>
      </c>
      <c r="N195" s="5">
        <f>IF(AND($A195&gt;=DATE(2020,2,1),$A195&lt;=DATE(2020,5,31)),$M195,"")</f>
        <v/>
      </c>
      <c r="O195" s="5">
        <f>IF(AND($A195&gt;=DATE(2022,1,1),$A195&lt;=DATE(2022,10,31)),$M195,"")</f>
        <v/>
      </c>
      <c r="P195" s="5">
        <f>IF(AND($A195&gt;=DATE(2018,10,1),$A195&lt;=DATE(2018,12,31)),$M195,"")</f>
        <v/>
      </c>
      <c r="Q195" s="5">
        <f>SUMPRODUCT(Exposures!$B$8:$K$8,B195:K195)</f>
        <v/>
      </c>
      <c r="R195" s="5">
        <f>SUMPRODUCT(Exposures!$B$9:$K$9,B195:K195)</f>
        <v/>
      </c>
      <c r="S195" s="5">
        <f>SUMPRODUCT(Exposures!$B$10:$K$10,B195:K195)</f>
        <v/>
      </c>
    </row>
    <row r="196">
      <c r="A196" s="1" t="n">
        <v>42741</v>
      </c>
      <c r="B196" s="5" t="n">
        <v>0.0001729347746668043</v>
      </c>
      <c r="C196" s="5" t="n">
        <v>0.0007035549035845515</v>
      </c>
      <c r="D196" s="5" t="n">
        <v>-0.001377482584368683</v>
      </c>
      <c r="E196" s="5" t="n">
        <v>-0.000296644600164246</v>
      </c>
      <c r="F196" s="5" t="n">
        <v>0.001072024219829354</v>
      </c>
      <c r="G196" s="5" t="n">
        <v>0.00189718508485422</v>
      </c>
      <c r="H196" s="5" t="n">
        <v>-0.001798449464620137</v>
      </c>
      <c r="I196" s="5" t="n">
        <v>-0.001347719294733977</v>
      </c>
      <c r="J196" s="5" t="n">
        <v>0.0003810594699604804</v>
      </c>
      <c r="K196" s="5" t="n">
        <v>0.002545407170819097</v>
      </c>
      <c r="L196" s="5" t="n">
        <v>-0.0004153733137151428</v>
      </c>
      <c r="M196" s="5">
        <f>SUMPRODUCT(Exposures!$B$6:$K$6,B196:K196)</f>
        <v/>
      </c>
      <c r="N196" s="5">
        <f>IF(AND($A196&gt;=DATE(2020,2,1),$A196&lt;=DATE(2020,5,31)),$M196,"")</f>
        <v/>
      </c>
      <c r="O196" s="5">
        <f>IF(AND($A196&gt;=DATE(2022,1,1),$A196&lt;=DATE(2022,10,31)),$M196,"")</f>
        <v/>
      </c>
      <c r="P196" s="5">
        <f>IF(AND($A196&gt;=DATE(2018,10,1),$A196&lt;=DATE(2018,12,31)),$M196,"")</f>
        <v/>
      </c>
      <c r="Q196" s="5">
        <f>SUMPRODUCT(Exposures!$B$8:$K$8,B196:K196)</f>
        <v/>
      </c>
      <c r="R196" s="5">
        <f>SUMPRODUCT(Exposures!$B$9:$K$9,B196:K196)</f>
        <v/>
      </c>
      <c r="S196" s="5">
        <f>SUMPRODUCT(Exposures!$B$10:$K$10,B196:K196)</f>
        <v/>
      </c>
    </row>
    <row r="197">
      <c r="A197" s="1" t="n">
        <v>42744</v>
      </c>
      <c r="B197" s="5" t="n">
        <v>-0.001514393384795846</v>
      </c>
      <c r="C197" s="5" t="n">
        <v>0.003076357768596847</v>
      </c>
      <c r="D197" s="5" t="n">
        <v>6.958511717603865e-05</v>
      </c>
      <c r="E197" s="5" t="n">
        <v>-0.001648568784966979</v>
      </c>
      <c r="F197" s="5" t="n">
        <v>0.004112149557008929</v>
      </c>
      <c r="G197" s="5" t="n">
        <v>-0.00568205777910626</v>
      </c>
      <c r="H197" s="5" t="n">
        <v>-0.001114216826182011</v>
      </c>
      <c r="I197" s="5" t="n">
        <v>-0.0005576375897070005</v>
      </c>
      <c r="J197" s="5" t="n">
        <v>0.004658702502646384</v>
      </c>
      <c r="K197" s="5" t="n">
        <v>0.001665269103221642</v>
      </c>
      <c r="L197" s="5" t="n">
        <v>-0.00114397472023895</v>
      </c>
      <c r="M197" s="5">
        <f>SUMPRODUCT(Exposures!$B$6:$K$6,B197:K197)</f>
        <v/>
      </c>
      <c r="N197" s="5">
        <f>IF(AND($A197&gt;=DATE(2020,2,1),$A197&lt;=DATE(2020,5,31)),$M197,"")</f>
        <v/>
      </c>
      <c r="O197" s="5">
        <f>IF(AND($A197&gt;=DATE(2022,1,1),$A197&lt;=DATE(2022,10,31)),$M197,"")</f>
        <v/>
      </c>
      <c r="P197" s="5">
        <f>IF(AND($A197&gt;=DATE(2018,10,1),$A197&lt;=DATE(2018,12,31)),$M197,"")</f>
        <v/>
      </c>
      <c r="Q197" s="5">
        <f>SUMPRODUCT(Exposures!$B$8:$K$8,B197:K197)</f>
        <v/>
      </c>
      <c r="R197" s="5">
        <f>SUMPRODUCT(Exposures!$B$9:$K$9,B197:K197)</f>
        <v/>
      </c>
      <c r="S197" s="5">
        <f>SUMPRODUCT(Exposures!$B$10:$K$10,B197:K197)</f>
        <v/>
      </c>
    </row>
    <row r="198">
      <c r="A198" s="1" t="n">
        <v>42745</v>
      </c>
      <c r="B198" s="5" t="n">
        <v>0.003187746429301052</v>
      </c>
      <c r="C198" s="5" t="n">
        <v>0.0005847210822874737</v>
      </c>
      <c r="D198" s="5" t="n">
        <v>-0.0004179042560262212</v>
      </c>
      <c r="E198" s="5" t="n">
        <v>-0.0009438071968877919</v>
      </c>
      <c r="F198" s="5" t="n">
        <v>-0.001778601109998295</v>
      </c>
      <c r="G198" s="5" t="n">
        <v>0.006644101178325695</v>
      </c>
      <c r="H198" s="5" t="n">
        <v>0.001228122258953753</v>
      </c>
      <c r="I198" s="5" t="n">
        <v>0.0002954989499032736</v>
      </c>
      <c r="J198" s="5" t="n">
        <v>0.003367782642725309</v>
      </c>
      <c r="K198" s="5" t="n">
        <v>0.00133779517543089</v>
      </c>
      <c r="L198" s="5" t="n">
        <v>0.003746160953060609</v>
      </c>
      <c r="M198" s="5">
        <f>SUMPRODUCT(Exposures!$B$6:$K$6,B198:K198)</f>
        <v/>
      </c>
      <c r="N198" s="5">
        <f>IF(AND($A198&gt;=DATE(2020,2,1),$A198&lt;=DATE(2020,5,31)),$M198,"")</f>
        <v/>
      </c>
      <c r="O198" s="5">
        <f>IF(AND($A198&gt;=DATE(2022,1,1),$A198&lt;=DATE(2022,10,31)),$M198,"")</f>
        <v/>
      </c>
      <c r="P198" s="5">
        <f>IF(AND($A198&gt;=DATE(2018,10,1),$A198&lt;=DATE(2018,12,31)),$M198,"")</f>
        <v/>
      </c>
      <c r="Q198" s="5">
        <f>SUMPRODUCT(Exposures!$B$8:$K$8,B198:K198)</f>
        <v/>
      </c>
      <c r="R198" s="5">
        <f>SUMPRODUCT(Exposures!$B$9:$K$9,B198:K198)</f>
        <v/>
      </c>
      <c r="S198" s="5">
        <f>SUMPRODUCT(Exposures!$B$10:$K$10,B198:K198)</f>
        <v/>
      </c>
    </row>
    <row r="199">
      <c r="A199" s="1" t="n">
        <v>42746</v>
      </c>
      <c r="B199" s="5" t="n">
        <v>-0.00125967258674949</v>
      </c>
      <c r="C199" s="5" t="n">
        <v>0.001000023736022618</v>
      </c>
      <c r="D199" s="5" t="n">
        <v>0.001117569438173773</v>
      </c>
      <c r="E199" s="5" t="n">
        <v>0.001028197487438285</v>
      </c>
      <c r="F199" s="5" t="n">
        <v>-0.00199685967499336</v>
      </c>
      <c r="G199" s="5" t="n">
        <v>0.001539794867472516</v>
      </c>
      <c r="H199" s="5" t="n">
        <v>0.005134753825922013</v>
      </c>
      <c r="I199" s="5" t="n">
        <v>-0.004164314165395726</v>
      </c>
      <c r="J199" s="5" t="n">
        <v>-0.002152274126556881</v>
      </c>
      <c r="K199" s="5" t="n">
        <v>0.001082627116795325</v>
      </c>
      <c r="L199" s="5" t="n">
        <v>0.002210875394783789</v>
      </c>
      <c r="M199" s="5">
        <f>SUMPRODUCT(Exposures!$B$6:$K$6,B199:K199)</f>
        <v/>
      </c>
      <c r="N199" s="5">
        <f>IF(AND($A199&gt;=DATE(2020,2,1),$A199&lt;=DATE(2020,5,31)),$M199,"")</f>
        <v/>
      </c>
      <c r="O199" s="5">
        <f>IF(AND($A199&gt;=DATE(2022,1,1),$A199&lt;=DATE(2022,10,31)),$M199,"")</f>
        <v/>
      </c>
      <c r="P199" s="5">
        <f>IF(AND($A199&gt;=DATE(2018,10,1),$A199&lt;=DATE(2018,12,31)),$M199,"")</f>
        <v/>
      </c>
      <c r="Q199" s="5">
        <f>SUMPRODUCT(Exposures!$B$8:$K$8,B199:K199)</f>
        <v/>
      </c>
      <c r="R199" s="5">
        <f>SUMPRODUCT(Exposures!$B$9:$K$9,B199:K199)</f>
        <v/>
      </c>
      <c r="S199" s="5">
        <f>SUMPRODUCT(Exposures!$B$10:$K$10,B199:K199)</f>
        <v/>
      </c>
    </row>
    <row r="200">
      <c r="A200" s="1" t="n">
        <v>42747</v>
      </c>
      <c r="B200" s="5" t="n">
        <v>-0.001286939292265077</v>
      </c>
      <c r="C200" s="5" t="n">
        <v>-0.001592082254790177</v>
      </c>
      <c r="D200" s="5" t="n">
        <v>0.0009813945000586445</v>
      </c>
      <c r="E200" s="5" t="n">
        <v>-0.0006289688351213215</v>
      </c>
      <c r="F200" s="5" t="n">
        <v>0.007191935583446214</v>
      </c>
      <c r="G200" s="5" t="n">
        <v>-0.001425353726258396</v>
      </c>
      <c r="H200" s="5" t="n">
        <v>-0.00184324088331559</v>
      </c>
      <c r="I200" s="5" t="n">
        <v>-0.0003453165478236627</v>
      </c>
      <c r="J200" s="5" t="n">
        <v>0.001937904607229303</v>
      </c>
      <c r="K200" s="5" t="n">
        <v>-0.005881754347360096</v>
      </c>
      <c r="L200" s="5" t="n">
        <v>-0.001462983478221711</v>
      </c>
      <c r="M200" s="5">
        <f>SUMPRODUCT(Exposures!$B$6:$K$6,B200:K200)</f>
        <v/>
      </c>
      <c r="N200" s="5">
        <f>IF(AND($A200&gt;=DATE(2020,2,1),$A200&lt;=DATE(2020,5,31)),$M200,"")</f>
        <v/>
      </c>
      <c r="O200" s="5">
        <f>IF(AND($A200&gt;=DATE(2022,1,1),$A200&lt;=DATE(2022,10,31)),$M200,"")</f>
        <v/>
      </c>
      <c r="P200" s="5">
        <f>IF(AND($A200&gt;=DATE(2018,10,1),$A200&lt;=DATE(2018,12,31)),$M200,"")</f>
        <v/>
      </c>
      <c r="Q200" s="5">
        <f>SUMPRODUCT(Exposures!$B$8:$K$8,B200:K200)</f>
        <v/>
      </c>
      <c r="R200" s="5">
        <f>SUMPRODUCT(Exposures!$B$9:$K$9,B200:K200)</f>
        <v/>
      </c>
      <c r="S200" s="5">
        <f>SUMPRODUCT(Exposures!$B$10:$K$10,B200:K200)</f>
        <v/>
      </c>
    </row>
    <row r="201">
      <c r="A201" s="1" t="n">
        <v>42748</v>
      </c>
      <c r="B201" s="5" t="n">
        <v>0.002606637946731434</v>
      </c>
      <c r="C201" s="5" t="n">
        <v>0.0007693793659472216</v>
      </c>
      <c r="D201" s="5" t="n">
        <v>0.00100042873046157</v>
      </c>
      <c r="E201" s="5" t="n">
        <v>0.001193230944830249</v>
      </c>
      <c r="F201" s="5" t="n">
        <v>-0.001888440441651272</v>
      </c>
      <c r="G201" s="5" t="n">
        <v>0.003410755106099335</v>
      </c>
      <c r="H201" s="5" t="n">
        <v>-8.74440087070506e-05</v>
      </c>
      <c r="I201" s="5" t="n">
        <v>-0.0001587250230183076</v>
      </c>
      <c r="J201" s="5" t="n">
        <v>-0.001967013795141902</v>
      </c>
      <c r="K201" s="5" t="n">
        <v>-0.0009292272456363135</v>
      </c>
      <c r="L201" s="5" t="n">
        <v>0.0003544369159483155</v>
      </c>
      <c r="M201" s="5">
        <f>SUMPRODUCT(Exposures!$B$6:$K$6,B201:K201)</f>
        <v/>
      </c>
      <c r="N201" s="5">
        <f>IF(AND($A201&gt;=DATE(2020,2,1),$A201&lt;=DATE(2020,5,31)),$M201,"")</f>
        <v/>
      </c>
      <c r="O201" s="5">
        <f>IF(AND($A201&gt;=DATE(2022,1,1),$A201&lt;=DATE(2022,10,31)),$M201,"")</f>
        <v/>
      </c>
      <c r="P201" s="5">
        <f>IF(AND($A201&gt;=DATE(2018,10,1),$A201&lt;=DATE(2018,12,31)),$M201,"")</f>
        <v/>
      </c>
      <c r="Q201" s="5">
        <f>SUMPRODUCT(Exposures!$B$8:$K$8,B201:K201)</f>
        <v/>
      </c>
      <c r="R201" s="5">
        <f>SUMPRODUCT(Exposures!$B$9:$K$9,B201:K201)</f>
        <v/>
      </c>
      <c r="S201" s="5">
        <f>SUMPRODUCT(Exposures!$B$10:$K$10,B201:K201)</f>
        <v/>
      </c>
    </row>
    <row r="202">
      <c r="A202" s="1" t="n">
        <v>42752</v>
      </c>
      <c r="B202" s="5" t="n">
        <v>-0.009306306859275191</v>
      </c>
      <c r="C202" s="5" t="n">
        <v>0.0003526737626484671</v>
      </c>
      <c r="D202" s="5" t="n">
        <v>-0.0006644710353157149</v>
      </c>
      <c r="E202" s="5" t="n">
        <v>-0.003842842136327122</v>
      </c>
      <c r="F202" s="5" t="n">
        <v>0.0027674066878627</v>
      </c>
      <c r="G202" s="5" t="n">
        <v>-0.008699340327197732</v>
      </c>
      <c r="H202" s="5" t="n">
        <v>-0.00140194473260653</v>
      </c>
      <c r="I202" s="5" t="n">
        <v>0.0004104067547766959</v>
      </c>
      <c r="J202" s="5" t="n">
        <v>-0.001023758137801929</v>
      </c>
      <c r="K202" s="5" t="n">
        <v>0.0001077397451973864</v>
      </c>
      <c r="L202" s="5" t="n">
        <v>-0.001445391352124911</v>
      </c>
      <c r="M202" s="5">
        <f>SUMPRODUCT(Exposures!$B$6:$K$6,B202:K202)</f>
        <v/>
      </c>
      <c r="N202" s="5">
        <f>IF(AND($A202&gt;=DATE(2020,2,1),$A202&lt;=DATE(2020,5,31)),$M202,"")</f>
        <v/>
      </c>
      <c r="O202" s="5">
        <f>IF(AND($A202&gt;=DATE(2022,1,1),$A202&lt;=DATE(2022,10,31)),$M202,"")</f>
        <v/>
      </c>
      <c r="P202" s="5">
        <f>IF(AND($A202&gt;=DATE(2018,10,1),$A202&lt;=DATE(2018,12,31)),$M202,"")</f>
        <v/>
      </c>
      <c r="Q202" s="5">
        <f>SUMPRODUCT(Exposures!$B$8:$K$8,B202:K202)</f>
        <v/>
      </c>
      <c r="R202" s="5">
        <f>SUMPRODUCT(Exposures!$B$9:$K$9,B202:K202)</f>
        <v/>
      </c>
      <c r="S202" s="5">
        <f>SUMPRODUCT(Exposures!$B$10:$K$10,B202:K202)</f>
        <v/>
      </c>
    </row>
    <row r="203">
      <c r="A203" s="1" t="n">
        <v>42753</v>
      </c>
      <c r="B203" s="5" t="n">
        <v>0.001951170550740789</v>
      </c>
      <c r="C203" s="5" t="n">
        <v>-0.00220130031056621</v>
      </c>
      <c r="D203" s="5" t="n">
        <v>0.001340431000216968</v>
      </c>
      <c r="E203" s="5" t="n">
        <v>0.002161284147253595</v>
      </c>
      <c r="F203" s="5" t="n">
        <v>-0.0004727376260466529</v>
      </c>
      <c r="G203" s="5" t="n">
        <v>0.004252366459096337</v>
      </c>
      <c r="H203" s="5" t="n">
        <v>0.0008590778331720763</v>
      </c>
      <c r="I203" s="5" t="n">
        <v>-0.000233663829851682</v>
      </c>
      <c r="J203" s="5" t="n">
        <v>0.001202252624332045</v>
      </c>
      <c r="K203" s="5" t="n">
        <v>-1.099698962796192e-05</v>
      </c>
      <c r="L203" s="5" t="n">
        <v>0.0007214763650231545</v>
      </c>
      <c r="M203" s="5">
        <f>SUMPRODUCT(Exposures!$B$6:$K$6,B203:K203)</f>
        <v/>
      </c>
      <c r="N203" s="5">
        <f>IF(AND($A203&gt;=DATE(2020,2,1),$A203&lt;=DATE(2020,5,31)),$M203,"")</f>
        <v/>
      </c>
      <c r="O203" s="5">
        <f>IF(AND($A203&gt;=DATE(2022,1,1),$A203&lt;=DATE(2022,10,31)),$M203,"")</f>
        <v/>
      </c>
      <c r="P203" s="5">
        <f>IF(AND($A203&gt;=DATE(2018,10,1),$A203&lt;=DATE(2018,12,31)),$M203,"")</f>
        <v/>
      </c>
      <c r="Q203" s="5">
        <f>SUMPRODUCT(Exposures!$B$8:$K$8,B203:K203)</f>
        <v/>
      </c>
      <c r="R203" s="5">
        <f>SUMPRODUCT(Exposures!$B$9:$K$9,B203:K203)</f>
        <v/>
      </c>
      <c r="S203" s="5">
        <f>SUMPRODUCT(Exposures!$B$10:$K$10,B203:K203)</f>
        <v/>
      </c>
    </row>
    <row r="204">
      <c r="A204" s="1" t="n">
        <v>42754</v>
      </c>
      <c r="B204" s="5" t="n">
        <v>0.0009649031204017337</v>
      </c>
      <c r="C204" s="5" t="n">
        <v>0.0003965804571903707</v>
      </c>
      <c r="D204" s="5" t="n">
        <v>0.0009521492452354922</v>
      </c>
      <c r="E204" s="5" t="n">
        <v>-0.0004950914258293445</v>
      </c>
      <c r="F204" s="5" t="n">
        <v>0.001416152276986867</v>
      </c>
      <c r="G204" s="5" t="n">
        <v>-0.004405763954352137</v>
      </c>
      <c r="H204" s="5" t="n">
        <v>0.002063090314062932</v>
      </c>
      <c r="I204" s="5" t="n">
        <v>-0.0004530799004062474</v>
      </c>
      <c r="J204" s="5" t="n">
        <v>-0.003085986981960926</v>
      </c>
      <c r="K204" s="5" t="n">
        <v>-0.001903725023798806</v>
      </c>
      <c r="L204" s="5" t="n">
        <v>0.002666550040702203</v>
      </c>
      <c r="M204" s="5">
        <f>SUMPRODUCT(Exposures!$B$6:$K$6,B204:K204)</f>
        <v/>
      </c>
      <c r="N204" s="5">
        <f>IF(AND($A204&gt;=DATE(2020,2,1),$A204&lt;=DATE(2020,5,31)),$M204,"")</f>
        <v/>
      </c>
      <c r="O204" s="5">
        <f>IF(AND($A204&gt;=DATE(2022,1,1),$A204&lt;=DATE(2022,10,31)),$M204,"")</f>
        <v/>
      </c>
      <c r="P204" s="5">
        <f>IF(AND($A204&gt;=DATE(2018,10,1),$A204&lt;=DATE(2018,12,31)),$M204,"")</f>
        <v/>
      </c>
      <c r="Q204" s="5">
        <f>SUMPRODUCT(Exposures!$B$8:$K$8,B204:K204)</f>
        <v/>
      </c>
      <c r="R204" s="5">
        <f>SUMPRODUCT(Exposures!$B$9:$K$9,B204:K204)</f>
        <v/>
      </c>
      <c r="S204" s="5">
        <f>SUMPRODUCT(Exposures!$B$10:$K$10,B204:K204)</f>
        <v/>
      </c>
    </row>
    <row r="205">
      <c r="A205" s="1" t="n">
        <v>42755</v>
      </c>
      <c r="B205" s="5" t="n">
        <v>0.002502131941898</v>
      </c>
      <c r="C205" s="5" t="n">
        <v>0.0002760400045671007</v>
      </c>
      <c r="D205" s="5" t="n">
        <v>0.002752725311780947</v>
      </c>
      <c r="E205" s="5" t="n">
        <v>0.001035716110281353</v>
      </c>
      <c r="F205" s="5" t="n">
        <v>0.004336887517439152</v>
      </c>
      <c r="G205" s="5" t="n">
        <v>0.003094215487059866</v>
      </c>
      <c r="H205" s="5" t="n">
        <v>0.00465556392511611</v>
      </c>
      <c r="I205" s="5" t="n">
        <v>-0.001685870438607213</v>
      </c>
      <c r="J205" s="5" t="n">
        <v>-0.003105750434186578</v>
      </c>
      <c r="K205" s="5" t="n">
        <v>-0.006808779728972381</v>
      </c>
      <c r="L205" s="5" t="n">
        <v>-0.001134251030847735</v>
      </c>
      <c r="M205" s="5">
        <f>SUMPRODUCT(Exposures!$B$6:$K$6,B205:K205)</f>
        <v/>
      </c>
      <c r="N205" s="5">
        <f>IF(AND($A205&gt;=DATE(2020,2,1),$A205&lt;=DATE(2020,5,31)),$M205,"")</f>
        <v/>
      </c>
      <c r="O205" s="5">
        <f>IF(AND($A205&gt;=DATE(2022,1,1),$A205&lt;=DATE(2022,10,31)),$M205,"")</f>
        <v/>
      </c>
      <c r="P205" s="5">
        <f>IF(AND($A205&gt;=DATE(2018,10,1),$A205&lt;=DATE(2018,12,31)),$M205,"")</f>
        <v/>
      </c>
      <c r="Q205" s="5">
        <f>SUMPRODUCT(Exposures!$B$8:$K$8,B205:K205)</f>
        <v/>
      </c>
      <c r="R205" s="5">
        <f>SUMPRODUCT(Exposures!$B$9:$K$9,B205:K205)</f>
        <v/>
      </c>
      <c r="S205" s="5">
        <f>SUMPRODUCT(Exposures!$B$10:$K$10,B205:K205)</f>
        <v/>
      </c>
    </row>
    <row r="206">
      <c r="A206" s="1" t="n">
        <v>42758</v>
      </c>
      <c r="B206" s="5" t="n">
        <v>-0.004171771600528115</v>
      </c>
      <c r="C206" s="5" t="n">
        <v>0.0009823971711729752</v>
      </c>
      <c r="D206" s="5" t="n">
        <v>0.001841179862005176</v>
      </c>
      <c r="E206" s="5" t="n">
        <v>-0.0003244637588526681</v>
      </c>
      <c r="F206" s="5" t="n">
        <v>0.002140724021639388</v>
      </c>
      <c r="G206" s="5" t="n">
        <v>-0.002037751038600208</v>
      </c>
      <c r="H206" s="5" t="n">
        <v>0.001047720307215786</v>
      </c>
      <c r="I206" s="5" t="n">
        <v>-0.0009694023327804567</v>
      </c>
      <c r="J206" s="5" t="n">
        <v>0.00227805638010735</v>
      </c>
      <c r="K206" s="5" t="n">
        <v>-0.0002160578750464472</v>
      </c>
      <c r="L206" s="5" t="n">
        <v>0.002746930574429356</v>
      </c>
      <c r="M206" s="5">
        <f>SUMPRODUCT(Exposures!$B$6:$K$6,B206:K206)</f>
        <v/>
      </c>
      <c r="N206" s="5">
        <f>IF(AND($A206&gt;=DATE(2020,2,1),$A206&lt;=DATE(2020,5,31)),$M206,"")</f>
        <v/>
      </c>
      <c r="O206" s="5">
        <f>IF(AND($A206&gt;=DATE(2022,1,1),$A206&lt;=DATE(2022,10,31)),$M206,"")</f>
        <v/>
      </c>
      <c r="P206" s="5">
        <f>IF(AND($A206&gt;=DATE(2018,10,1),$A206&lt;=DATE(2018,12,31)),$M206,"")</f>
        <v/>
      </c>
      <c r="Q206" s="5">
        <f>SUMPRODUCT(Exposures!$B$8:$K$8,B206:K206)</f>
        <v/>
      </c>
      <c r="R206" s="5">
        <f>SUMPRODUCT(Exposures!$B$9:$K$9,B206:K206)</f>
        <v/>
      </c>
      <c r="S206" s="5">
        <f>SUMPRODUCT(Exposures!$B$10:$K$10,B206:K206)</f>
        <v/>
      </c>
    </row>
    <row r="207">
      <c r="A207" s="1" t="n">
        <v>42759</v>
      </c>
      <c r="B207" s="5" t="n">
        <v>0.007669252318069614</v>
      </c>
      <c r="C207" s="5" t="n">
        <v>-0.003615961697684622</v>
      </c>
      <c r="D207" s="5" t="n">
        <v>0.001981095658554504</v>
      </c>
      <c r="E207" s="5" t="n">
        <v>0.001747669541209723</v>
      </c>
      <c r="F207" s="5" t="n">
        <v>0.002300957100632055</v>
      </c>
      <c r="G207" s="5" t="n">
        <v>0.01338686645169674</v>
      </c>
      <c r="H207" s="5" t="n">
        <v>0.006179355529024756</v>
      </c>
      <c r="I207" s="5" t="n">
        <v>-5.696519717258292e-06</v>
      </c>
      <c r="J207" s="5" t="n">
        <v>0.00199572917790196</v>
      </c>
      <c r="K207" s="5" t="n">
        <v>-0.003599952844315362</v>
      </c>
      <c r="L207" s="5" t="n">
        <v>0.002581079484188278</v>
      </c>
      <c r="M207" s="5">
        <f>SUMPRODUCT(Exposures!$B$6:$K$6,B207:K207)</f>
        <v/>
      </c>
      <c r="N207" s="5">
        <f>IF(AND($A207&gt;=DATE(2020,2,1),$A207&lt;=DATE(2020,5,31)),$M207,"")</f>
        <v/>
      </c>
      <c r="O207" s="5">
        <f>IF(AND($A207&gt;=DATE(2022,1,1),$A207&lt;=DATE(2022,10,31)),$M207,"")</f>
        <v/>
      </c>
      <c r="P207" s="5">
        <f>IF(AND($A207&gt;=DATE(2018,10,1),$A207&lt;=DATE(2018,12,31)),$M207,"")</f>
        <v/>
      </c>
      <c r="Q207" s="5">
        <f>SUMPRODUCT(Exposures!$B$8:$K$8,B207:K207)</f>
        <v/>
      </c>
      <c r="R207" s="5">
        <f>SUMPRODUCT(Exposures!$B$9:$K$9,B207:K207)</f>
        <v/>
      </c>
      <c r="S207" s="5">
        <f>SUMPRODUCT(Exposures!$B$10:$K$10,B207:K207)</f>
        <v/>
      </c>
    </row>
    <row r="208">
      <c r="A208" s="1" t="n">
        <v>42760</v>
      </c>
      <c r="B208" s="5" t="n">
        <v>0.007629493454515066</v>
      </c>
      <c r="C208" s="5" t="n">
        <v>0.001476767099646409</v>
      </c>
      <c r="D208" s="5" t="n">
        <v>0.001281423038537507</v>
      </c>
      <c r="E208" s="5" t="n">
        <v>8.020528435613951e-05</v>
      </c>
      <c r="F208" s="5" t="n">
        <v>-0.001637292655513759</v>
      </c>
      <c r="G208" s="5" t="n">
        <v>0.007168580865371587</v>
      </c>
      <c r="H208" s="5" t="n">
        <v>4.635537823649972e-05</v>
      </c>
      <c r="I208" s="5" t="n">
        <v>0.0008288576739392832</v>
      </c>
      <c r="J208" s="5" t="n">
        <v>-0.003213288306232191</v>
      </c>
      <c r="K208" s="5" t="n">
        <v>0.0006232813140333504</v>
      </c>
      <c r="L208" s="5" t="n">
        <v>-0.000382070326544114</v>
      </c>
      <c r="M208" s="5">
        <f>SUMPRODUCT(Exposures!$B$6:$K$6,B208:K208)</f>
        <v/>
      </c>
      <c r="N208" s="5">
        <f>IF(AND($A208&gt;=DATE(2020,2,1),$A208&lt;=DATE(2020,5,31)),$M208,"")</f>
        <v/>
      </c>
      <c r="O208" s="5">
        <f>IF(AND($A208&gt;=DATE(2022,1,1),$A208&lt;=DATE(2022,10,31)),$M208,"")</f>
        <v/>
      </c>
      <c r="P208" s="5">
        <f>IF(AND($A208&gt;=DATE(2018,10,1),$A208&lt;=DATE(2018,12,31)),$M208,"")</f>
        <v/>
      </c>
      <c r="Q208" s="5">
        <f>SUMPRODUCT(Exposures!$B$8:$K$8,B208:K208)</f>
        <v/>
      </c>
      <c r="R208" s="5">
        <f>SUMPRODUCT(Exposures!$B$9:$K$9,B208:K208)</f>
        <v/>
      </c>
      <c r="S208" s="5">
        <f>SUMPRODUCT(Exposures!$B$10:$K$10,B208:K208)</f>
        <v/>
      </c>
    </row>
    <row r="209">
      <c r="A209" s="1" t="n">
        <v>42761</v>
      </c>
      <c r="B209" s="5" t="n">
        <v>0.001737187234319711</v>
      </c>
      <c r="C209" s="5" t="n">
        <v>0.001980377795910726</v>
      </c>
      <c r="D209" s="5" t="n">
        <v>-0.00321165089421096</v>
      </c>
      <c r="E209" s="5" t="n">
        <v>0.0004874866783202756</v>
      </c>
      <c r="F209" s="5" t="n">
        <v>0.002277778660664516</v>
      </c>
      <c r="G209" s="5" t="n">
        <v>-0.002098203077506399</v>
      </c>
      <c r="H209" s="5" t="n">
        <v>0.003720278098881466</v>
      </c>
      <c r="I209" s="5" t="n">
        <v>-0.0006309800114608429</v>
      </c>
      <c r="J209" s="5" t="n">
        <v>-0.002100174651451879</v>
      </c>
      <c r="K209" s="5" t="n">
        <v>-0.0002953688703483507</v>
      </c>
      <c r="L209" s="5" t="n">
        <v>-0.001167716095171595</v>
      </c>
      <c r="M209" s="5">
        <f>SUMPRODUCT(Exposures!$B$6:$K$6,B209:K209)</f>
        <v/>
      </c>
      <c r="N209" s="5">
        <f>IF(AND($A209&gt;=DATE(2020,2,1),$A209&lt;=DATE(2020,5,31)),$M209,"")</f>
        <v/>
      </c>
      <c r="O209" s="5">
        <f>IF(AND($A209&gt;=DATE(2022,1,1),$A209&lt;=DATE(2022,10,31)),$M209,"")</f>
        <v/>
      </c>
      <c r="P209" s="5">
        <f>IF(AND($A209&gt;=DATE(2018,10,1),$A209&lt;=DATE(2018,12,31)),$M209,"")</f>
        <v/>
      </c>
      <c r="Q209" s="5">
        <f>SUMPRODUCT(Exposures!$B$8:$K$8,B209:K209)</f>
        <v/>
      </c>
      <c r="R209" s="5">
        <f>SUMPRODUCT(Exposures!$B$9:$K$9,B209:K209)</f>
        <v/>
      </c>
      <c r="S209" s="5">
        <f>SUMPRODUCT(Exposures!$B$10:$K$10,B209:K209)</f>
        <v/>
      </c>
    </row>
    <row r="210">
      <c r="A210" s="1" t="n">
        <v>42762</v>
      </c>
      <c r="B210" s="5" t="n">
        <v>0.0006227944373161557</v>
      </c>
      <c r="C210" s="5" t="n">
        <v>-0.001065889078284172</v>
      </c>
      <c r="D210" s="5" t="n">
        <v>0.002317594137098034</v>
      </c>
      <c r="E210" s="5" t="n">
        <v>-0.002356031615670636</v>
      </c>
      <c r="F210" s="5" t="n">
        <v>-0.002572736850763567</v>
      </c>
      <c r="G210" s="5" t="n">
        <v>-0.002633876417670811</v>
      </c>
      <c r="H210" s="5" t="n">
        <v>0.0002654667274045924</v>
      </c>
      <c r="I210" s="5" t="n">
        <v>-0.0009598856711028835</v>
      </c>
      <c r="J210" s="5" t="n">
        <v>-0.0007353075523213794</v>
      </c>
      <c r="K210" s="5" t="n">
        <v>0.002778992942433864</v>
      </c>
      <c r="L210" s="5" t="n">
        <v>8.638130359193734e-05</v>
      </c>
      <c r="M210" s="5">
        <f>SUMPRODUCT(Exposures!$B$6:$K$6,B210:K210)</f>
        <v/>
      </c>
      <c r="N210" s="5">
        <f>IF(AND($A210&gt;=DATE(2020,2,1),$A210&lt;=DATE(2020,5,31)),$M210,"")</f>
        <v/>
      </c>
      <c r="O210" s="5">
        <f>IF(AND($A210&gt;=DATE(2022,1,1),$A210&lt;=DATE(2022,10,31)),$M210,"")</f>
        <v/>
      </c>
      <c r="P210" s="5">
        <f>IF(AND($A210&gt;=DATE(2018,10,1),$A210&lt;=DATE(2018,12,31)),$M210,"")</f>
        <v/>
      </c>
      <c r="Q210" s="5">
        <f>SUMPRODUCT(Exposures!$B$8:$K$8,B210:K210)</f>
        <v/>
      </c>
      <c r="R210" s="5">
        <f>SUMPRODUCT(Exposures!$B$9:$K$9,B210:K210)</f>
        <v/>
      </c>
      <c r="S210" s="5">
        <f>SUMPRODUCT(Exposures!$B$10:$K$10,B210:K210)</f>
        <v/>
      </c>
    </row>
    <row r="211">
      <c r="A211" s="1" t="n">
        <v>42765</v>
      </c>
      <c r="B211" s="5" t="n">
        <v>-0.004298401202813735</v>
      </c>
      <c r="C211" s="5" t="n">
        <v>-0.001465583260051146</v>
      </c>
      <c r="D211" s="5" t="n">
        <v>0.0009956227999191871</v>
      </c>
      <c r="E211" s="5" t="n">
        <v>0.0006800476574832296</v>
      </c>
      <c r="F211" s="5" t="n">
        <v>0.001204869516749925</v>
      </c>
      <c r="G211" s="5" t="n">
        <v>-0.008365392178060888</v>
      </c>
      <c r="H211" s="5" t="n">
        <v>-0.001906213518725837</v>
      </c>
      <c r="I211" s="5" t="n">
        <v>-0.002760018963709207</v>
      </c>
      <c r="J211" s="5" t="n">
        <v>0.001074275959475238</v>
      </c>
      <c r="K211" s="5" t="n">
        <v>0.003536429808313509</v>
      </c>
      <c r="L211" s="5" t="n">
        <v>0.0001231404531243003</v>
      </c>
      <c r="M211" s="5">
        <f>SUMPRODUCT(Exposures!$B$6:$K$6,B211:K211)</f>
        <v/>
      </c>
      <c r="N211" s="5">
        <f>IF(AND($A211&gt;=DATE(2020,2,1),$A211&lt;=DATE(2020,5,31)),$M211,"")</f>
        <v/>
      </c>
      <c r="O211" s="5">
        <f>IF(AND($A211&gt;=DATE(2022,1,1),$A211&lt;=DATE(2022,10,31)),$M211,"")</f>
        <v/>
      </c>
      <c r="P211" s="5">
        <f>IF(AND($A211&gt;=DATE(2018,10,1),$A211&lt;=DATE(2018,12,31)),$M211,"")</f>
        <v/>
      </c>
      <c r="Q211" s="5">
        <f>SUMPRODUCT(Exposures!$B$8:$K$8,B211:K211)</f>
        <v/>
      </c>
      <c r="R211" s="5">
        <f>SUMPRODUCT(Exposures!$B$9:$K$9,B211:K211)</f>
        <v/>
      </c>
      <c r="S211" s="5">
        <f>SUMPRODUCT(Exposures!$B$10:$K$10,B211:K211)</f>
        <v/>
      </c>
    </row>
    <row r="212">
      <c r="A212" s="1" t="n">
        <v>42766</v>
      </c>
      <c r="B212" s="5" t="n">
        <v>-0.0005049251428059</v>
      </c>
      <c r="C212" s="5" t="n">
        <v>0.001806508865441615</v>
      </c>
      <c r="D212" s="5" t="n">
        <v>0.0002705176227038053</v>
      </c>
      <c r="E212" s="5" t="n">
        <v>-0.00177206757025458</v>
      </c>
      <c r="F212" s="5" t="n">
        <v>-0.003535901376504009</v>
      </c>
      <c r="G212" s="5" t="n">
        <v>0.005666609374615431</v>
      </c>
      <c r="H212" s="5" t="n">
        <v>-0.005606217145984122</v>
      </c>
      <c r="I212" s="5" t="n">
        <v>-0.002991628105122458</v>
      </c>
      <c r="J212" s="5" t="n">
        <v>0.005544262728149026</v>
      </c>
      <c r="K212" s="5" t="n">
        <v>0.002372863324320196</v>
      </c>
      <c r="L212" s="5" t="n">
        <v>-0.0009983874258842713</v>
      </c>
      <c r="M212" s="5">
        <f>SUMPRODUCT(Exposures!$B$6:$K$6,B212:K212)</f>
        <v/>
      </c>
      <c r="N212" s="5">
        <f>IF(AND($A212&gt;=DATE(2020,2,1),$A212&lt;=DATE(2020,5,31)),$M212,"")</f>
        <v/>
      </c>
      <c r="O212" s="5">
        <f>IF(AND($A212&gt;=DATE(2022,1,1),$A212&lt;=DATE(2022,10,31)),$M212,"")</f>
        <v/>
      </c>
      <c r="P212" s="5">
        <f>IF(AND($A212&gt;=DATE(2018,10,1),$A212&lt;=DATE(2018,12,31)),$M212,"")</f>
        <v/>
      </c>
      <c r="Q212" s="5">
        <f>SUMPRODUCT(Exposures!$B$8:$K$8,B212:K212)</f>
        <v/>
      </c>
      <c r="R212" s="5">
        <f>SUMPRODUCT(Exposures!$B$9:$K$9,B212:K212)</f>
        <v/>
      </c>
      <c r="S212" s="5">
        <f>SUMPRODUCT(Exposures!$B$10:$K$10,B212:K212)</f>
        <v/>
      </c>
    </row>
    <row r="213">
      <c r="A213" s="1" t="n">
        <v>42767</v>
      </c>
      <c r="B213" s="5" t="n">
        <v>0.002533828123498685</v>
      </c>
      <c r="C213" s="5" t="n">
        <v>0.00276173957599583</v>
      </c>
      <c r="D213" s="5" t="n">
        <v>0.01100136050653892</v>
      </c>
      <c r="E213" s="5" t="n">
        <v>0.001602489240415592</v>
      </c>
      <c r="F213" s="5" t="n">
        <v>0.01151732527378398</v>
      </c>
      <c r="G213" s="5" t="n">
        <v>0.002538425661761799</v>
      </c>
      <c r="H213" s="5" t="n">
        <v>0.004691245972317742</v>
      </c>
      <c r="I213" s="5" t="n">
        <v>0.001233114603566504</v>
      </c>
      <c r="J213" s="5" t="n">
        <v>0.00409721994953507</v>
      </c>
      <c r="K213" s="5" t="n">
        <v>-0.006635028479802342</v>
      </c>
      <c r="L213" s="5" t="n">
        <v>-0.005178217203962956</v>
      </c>
      <c r="M213" s="5">
        <f>SUMPRODUCT(Exposures!$B$6:$K$6,B213:K213)</f>
        <v/>
      </c>
      <c r="N213" s="5">
        <f>IF(AND($A213&gt;=DATE(2020,2,1),$A213&lt;=DATE(2020,5,31)),$M213,"")</f>
        <v/>
      </c>
      <c r="O213" s="5">
        <f>IF(AND($A213&gt;=DATE(2022,1,1),$A213&lt;=DATE(2022,10,31)),$M213,"")</f>
        <v/>
      </c>
      <c r="P213" s="5">
        <f>IF(AND($A213&gt;=DATE(2018,10,1),$A213&lt;=DATE(2018,12,31)),$M213,"")</f>
        <v/>
      </c>
      <c r="Q213" s="5">
        <f>SUMPRODUCT(Exposures!$B$8:$K$8,B213:K213)</f>
        <v/>
      </c>
      <c r="R213" s="5">
        <f>SUMPRODUCT(Exposures!$B$9:$K$9,B213:K213)</f>
        <v/>
      </c>
      <c r="S213" s="5">
        <f>SUMPRODUCT(Exposures!$B$10:$K$10,B213:K213)</f>
        <v/>
      </c>
    </row>
    <row r="214">
      <c r="A214" s="1" t="n">
        <v>42768</v>
      </c>
      <c r="B214" s="5" t="n">
        <v>-0.002452058787981569</v>
      </c>
      <c r="C214" s="5" t="n">
        <v>-0.004658460764425346</v>
      </c>
      <c r="D214" s="5" t="n">
        <v>-0.01017212500202337</v>
      </c>
      <c r="E214" s="5" t="n">
        <v>-0.001812281288832459</v>
      </c>
      <c r="F214" s="5" t="n">
        <v>-0.003098409661330269</v>
      </c>
      <c r="G214" s="5" t="n">
        <v>0.001810822860614583</v>
      </c>
      <c r="H214" s="5" t="n">
        <v>0.001802879003792571</v>
      </c>
      <c r="I214" s="5" t="n">
        <v>-0.004651794840795386</v>
      </c>
      <c r="J214" s="5" t="n">
        <v>-0.0004789236442720365</v>
      </c>
      <c r="K214" s="5" t="n">
        <v>0.004922011348885751</v>
      </c>
      <c r="L214" s="5" t="n">
        <v>0.002604661092502399</v>
      </c>
      <c r="M214" s="5">
        <f>SUMPRODUCT(Exposures!$B$6:$K$6,B214:K214)</f>
        <v/>
      </c>
      <c r="N214" s="5">
        <f>IF(AND($A214&gt;=DATE(2020,2,1),$A214&lt;=DATE(2020,5,31)),$M214,"")</f>
        <v/>
      </c>
      <c r="O214" s="5">
        <f>IF(AND($A214&gt;=DATE(2022,1,1),$A214&lt;=DATE(2022,10,31)),$M214,"")</f>
        <v/>
      </c>
      <c r="P214" s="5">
        <f>IF(AND($A214&gt;=DATE(2018,10,1),$A214&lt;=DATE(2018,12,31)),$M214,"")</f>
        <v/>
      </c>
      <c r="Q214" s="5">
        <f>SUMPRODUCT(Exposures!$B$8:$K$8,B214:K214)</f>
        <v/>
      </c>
      <c r="R214" s="5">
        <f>SUMPRODUCT(Exposures!$B$9:$K$9,B214:K214)</f>
        <v/>
      </c>
      <c r="S214" s="5">
        <f>SUMPRODUCT(Exposures!$B$10:$K$10,B214:K214)</f>
        <v/>
      </c>
    </row>
    <row r="215">
      <c r="A215" s="1" t="n">
        <v>42769</v>
      </c>
      <c r="B215" s="5" t="n">
        <v>0.005321756625678455</v>
      </c>
      <c r="C215" s="5" t="n">
        <v>-0.0001520723494643178</v>
      </c>
      <c r="D215" s="5" t="n">
        <v>0.00136199996392587</v>
      </c>
      <c r="E215" s="5" t="n">
        <v>0.001473090592275107</v>
      </c>
      <c r="F215" s="5" t="n">
        <v>-0.007097066656065302</v>
      </c>
      <c r="G215" s="5" t="n">
        <v>0.007633856346288393</v>
      </c>
      <c r="H215" s="5" t="n">
        <v>-0.001076106171660195</v>
      </c>
      <c r="I215" s="5" t="n">
        <v>0.0001104517913723879</v>
      </c>
      <c r="J215" s="5" t="n">
        <v>-0.001252105327143015</v>
      </c>
      <c r="K215" s="5" t="n">
        <v>0.007096440375146207</v>
      </c>
      <c r="L215" s="5" t="n">
        <v>0.001550588964591937</v>
      </c>
      <c r="M215" s="5">
        <f>SUMPRODUCT(Exposures!$B$6:$K$6,B215:K215)</f>
        <v/>
      </c>
      <c r="N215" s="5">
        <f>IF(AND($A215&gt;=DATE(2020,2,1),$A215&lt;=DATE(2020,5,31)),$M215,"")</f>
        <v/>
      </c>
      <c r="O215" s="5">
        <f>IF(AND($A215&gt;=DATE(2022,1,1),$A215&lt;=DATE(2022,10,31)),$M215,"")</f>
        <v/>
      </c>
      <c r="P215" s="5">
        <f>IF(AND($A215&gt;=DATE(2018,10,1),$A215&lt;=DATE(2018,12,31)),$M215,"")</f>
        <v/>
      </c>
      <c r="Q215" s="5">
        <f>SUMPRODUCT(Exposures!$B$8:$K$8,B215:K215)</f>
        <v/>
      </c>
      <c r="R215" s="5">
        <f>SUMPRODUCT(Exposures!$B$9:$K$9,B215:K215)</f>
        <v/>
      </c>
      <c r="S215" s="5">
        <f>SUMPRODUCT(Exposures!$B$10:$K$10,B215:K215)</f>
        <v/>
      </c>
    </row>
    <row r="216">
      <c r="A216" s="1" t="n">
        <v>42772</v>
      </c>
      <c r="B216" s="5" t="n">
        <v>-0.003360041328904827</v>
      </c>
      <c r="C216" s="5" t="n">
        <v>0.0006332704667135868</v>
      </c>
      <c r="D216" s="5" t="n">
        <v>0.001594376136562769</v>
      </c>
      <c r="E216" s="5" t="n">
        <v>0.002969429794660946</v>
      </c>
      <c r="F216" s="5" t="n">
        <v>0.001359709838454539</v>
      </c>
      <c r="G216" s="5" t="n">
        <v>-0.002334692122225345</v>
      </c>
      <c r="H216" s="5" t="n">
        <v>0.001059888348747077</v>
      </c>
      <c r="I216" s="5" t="n">
        <v>-0.002887668717498009</v>
      </c>
      <c r="J216" s="5" t="n">
        <v>0.00694716762155926</v>
      </c>
      <c r="K216" s="5" t="n">
        <v>0.003982854400095426</v>
      </c>
      <c r="L216" s="5" t="n">
        <v>-0.0003122435054309299</v>
      </c>
      <c r="M216" s="5">
        <f>SUMPRODUCT(Exposures!$B$6:$K$6,B216:K216)</f>
        <v/>
      </c>
      <c r="N216" s="5">
        <f>IF(AND($A216&gt;=DATE(2020,2,1),$A216&lt;=DATE(2020,5,31)),$M216,"")</f>
        <v/>
      </c>
      <c r="O216" s="5">
        <f>IF(AND($A216&gt;=DATE(2022,1,1),$A216&lt;=DATE(2022,10,31)),$M216,"")</f>
        <v/>
      </c>
      <c r="P216" s="5">
        <f>IF(AND($A216&gt;=DATE(2018,10,1),$A216&lt;=DATE(2018,12,31)),$M216,"")</f>
        <v/>
      </c>
      <c r="Q216" s="5">
        <f>SUMPRODUCT(Exposures!$B$8:$K$8,B216:K216)</f>
        <v/>
      </c>
      <c r="R216" s="5">
        <f>SUMPRODUCT(Exposures!$B$9:$K$9,B216:K216)</f>
        <v/>
      </c>
      <c r="S216" s="5">
        <f>SUMPRODUCT(Exposures!$B$10:$K$10,B216:K216)</f>
        <v/>
      </c>
    </row>
    <row r="217">
      <c r="A217" s="1" t="n">
        <v>42773</v>
      </c>
      <c r="B217" s="5" t="n">
        <v>-0.0006110283079868192</v>
      </c>
      <c r="C217" s="5" t="n">
        <v>0.0009154432477985206</v>
      </c>
      <c r="D217" s="5" t="n">
        <v>0.002417919389263639</v>
      </c>
      <c r="E217" s="5" t="n">
        <v>-0.0001328988539576035</v>
      </c>
      <c r="F217" s="5" t="n">
        <v>0.00683685858553863</v>
      </c>
      <c r="G217" s="5" t="n">
        <v>-0.0007655158337385717</v>
      </c>
      <c r="H217" s="5" t="n">
        <v>0.000438943387207708</v>
      </c>
      <c r="I217" s="5" t="n">
        <v>0.0006770096768326184</v>
      </c>
      <c r="J217" s="5" t="n">
        <v>-0.005256215887052814</v>
      </c>
      <c r="K217" s="5" t="n">
        <v>-0.006108125022074696</v>
      </c>
      <c r="L217" s="5" t="n">
        <v>-0.003582978385753342</v>
      </c>
      <c r="M217" s="5">
        <f>SUMPRODUCT(Exposures!$B$6:$K$6,B217:K217)</f>
        <v/>
      </c>
      <c r="N217" s="5">
        <f>IF(AND($A217&gt;=DATE(2020,2,1),$A217&lt;=DATE(2020,5,31)),$M217,"")</f>
        <v/>
      </c>
      <c r="O217" s="5">
        <f>IF(AND($A217&gt;=DATE(2022,1,1),$A217&lt;=DATE(2022,10,31)),$M217,"")</f>
        <v/>
      </c>
      <c r="P217" s="5">
        <f>IF(AND($A217&gt;=DATE(2018,10,1),$A217&lt;=DATE(2018,12,31)),$M217,"")</f>
        <v/>
      </c>
      <c r="Q217" s="5">
        <f>SUMPRODUCT(Exposures!$B$8:$K$8,B217:K217)</f>
        <v/>
      </c>
      <c r="R217" s="5">
        <f>SUMPRODUCT(Exposures!$B$9:$K$9,B217:K217)</f>
        <v/>
      </c>
      <c r="S217" s="5">
        <f>SUMPRODUCT(Exposures!$B$10:$K$10,B217:K217)</f>
        <v/>
      </c>
    </row>
    <row r="218">
      <c r="A218" s="1" t="n">
        <v>42774</v>
      </c>
      <c r="B218" s="5" t="n">
        <v>-0.003384581472174903</v>
      </c>
      <c r="C218" s="5" t="n">
        <v>0.001451078478052714</v>
      </c>
      <c r="D218" s="5" t="n">
        <v>-0.002878604633561476</v>
      </c>
      <c r="E218" s="5" t="n">
        <v>-0.001041032678327218</v>
      </c>
      <c r="F218" s="5" t="n">
        <v>0.003658155406806798</v>
      </c>
      <c r="G218" s="5" t="n">
        <v>0.001767119814415174</v>
      </c>
      <c r="H218" s="5" t="n">
        <v>-0.003541380258091249</v>
      </c>
      <c r="I218" s="5" t="n">
        <v>-0.0002311173964394433</v>
      </c>
      <c r="J218" s="5" t="n">
        <v>0.003206878654190135</v>
      </c>
      <c r="K218" s="5" t="n">
        <v>-0.002275619920172674</v>
      </c>
      <c r="L218" s="5" t="n">
        <v>-0.001954963412530234</v>
      </c>
      <c r="M218" s="5">
        <f>SUMPRODUCT(Exposures!$B$6:$K$6,B218:K218)</f>
        <v/>
      </c>
      <c r="N218" s="5">
        <f>IF(AND($A218&gt;=DATE(2020,2,1),$A218&lt;=DATE(2020,5,31)),$M218,"")</f>
        <v/>
      </c>
      <c r="O218" s="5">
        <f>IF(AND($A218&gt;=DATE(2022,1,1),$A218&lt;=DATE(2022,10,31)),$M218,"")</f>
        <v/>
      </c>
      <c r="P218" s="5">
        <f>IF(AND($A218&gt;=DATE(2018,10,1),$A218&lt;=DATE(2018,12,31)),$M218,"")</f>
        <v/>
      </c>
      <c r="Q218" s="5">
        <f>SUMPRODUCT(Exposures!$B$8:$K$8,B218:K218)</f>
        <v/>
      </c>
      <c r="R218" s="5">
        <f>SUMPRODUCT(Exposures!$B$9:$K$9,B218:K218)</f>
        <v/>
      </c>
      <c r="S218" s="5">
        <f>SUMPRODUCT(Exposures!$B$10:$K$10,B218:K218)</f>
        <v/>
      </c>
    </row>
    <row r="219">
      <c r="A219" s="1" t="n">
        <v>42775</v>
      </c>
      <c r="B219" s="5" t="n">
        <v>0.00514937312665877</v>
      </c>
      <c r="C219" s="5" t="n">
        <v>-0.0002695969485849307</v>
      </c>
      <c r="D219" s="5" t="n">
        <v>0.0001838803894208845</v>
      </c>
      <c r="E219" s="5" t="n">
        <v>0.0006768028976808001</v>
      </c>
      <c r="F219" s="5" t="n">
        <v>-0.005034544894421841</v>
      </c>
      <c r="G219" s="5" t="n">
        <v>0.009391253619676502</v>
      </c>
      <c r="H219" s="5" t="n">
        <v>-0.003456347681933088</v>
      </c>
      <c r="I219" s="5" t="n">
        <v>0.0002383744885454619</v>
      </c>
      <c r="J219" s="5" t="n">
        <v>0.002523542198489903</v>
      </c>
      <c r="K219" s="5" t="n">
        <v>0.00190994658503222</v>
      </c>
      <c r="L219" s="5" t="n">
        <v>0.001452720155816738</v>
      </c>
      <c r="M219" s="5">
        <f>SUMPRODUCT(Exposures!$B$6:$K$6,B219:K219)</f>
        <v/>
      </c>
      <c r="N219" s="5">
        <f>IF(AND($A219&gt;=DATE(2020,2,1),$A219&lt;=DATE(2020,5,31)),$M219,"")</f>
        <v/>
      </c>
      <c r="O219" s="5">
        <f>IF(AND($A219&gt;=DATE(2022,1,1),$A219&lt;=DATE(2022,10,31)),$M219,"")</f>
        <v/>
      </c>
      <c r="P219" s="5">
        <f>IF(AND($A219&gt;=DATE(2018,10,1),$A219&lt;=DATE(2018,12,31)),$M219,"")</f>
        <v/>
      </c>
      <c r="Q219" s="5">
        <f>SUMPRODUCT(Exposures!$B$8:$K$8,B219:K219)</f>
        <v/>
      </c>
      <c r="R219" s="5">
        <f>SUMPRODUCT(Exposures!$B$9:$K$9,B219:K219)</f>
        <v/>
      </c>
      <c r="S219" s="5">
        <f>SUMPRODUCT(Exposures!$B$10:$K$10,B219:K219)</f>
        <v/>
      </c>
    </row>
    <row r="220">
      <c r="A220" s="1" t="n">
        <v>42776</v>
      </c>
      <c r="B220" s="5" t="n">
        <v>1.49784823023206e-05</v>
      </c>
      <c r="C220" s="5" t="n">
        <v>0.0009487707158019418</v>
      </c>
      <c r="D220" s="5" t="n">
        <v>-0.0009162977331614692</v>
      </c>
      <c r="E220" s="5" t="n">
        <v>-9.821517322936631e-06</v>
      </c>
      <c r="F220" s="5" t="n">
        <v>-0.001416952383837683</v>
      </c>
      <c r="G220" s="5" t="n">
        <v>0.005577880981649963</v>
      </c>
      <c r="H220" s="5" t="n">
        <v>-0.0001608656557455106</v>
      </c>
      <c r="I220" s="5" t="n">
        <v>7.765854740677364e-05</v>
      </c>
      <c r="J220" s="5" t="n">
        <v>0.00129697554729586</v>
      </c>
      <c r="K220" s="5" t="n">
        <v>-0.001514013315493104</v>
      </c>
      <c r="L220" s="5" t="n">
        <v>0.001243757515116915</v>
      </c>
      <c r="M220" s="5">
        <f>SUMPRODUCT(Exposures!$B$6:$K$6,B220:K220)</f>
        <v/>
      </c>
      <c r="N220" s="5">
        <f>IF(AND($A220&gt;=DATE(2020,2,1),$A220&lt;=DATE(2020,5,31)),$M220,"")</f>
        <v/>
      </c>
      <c r="O220" s="5">
        <f>IF(AND($A220&gt;=DATE(2022,1,1),$A220&lt;=DATE(2022,10,31)),$M220,"")</f>
        <v/>
      </c>
      <c r="P220" s="5">
        <f>IF(AND($A220&gt;=DATE(2018,10,1),$A220&lt;=DATE(2018,12,31)),$M220,"")</f>
        <v/>
      </c>
      <c r="Q220" s="5">
        <f>SUMPRODUCT(Exposures!$B$8:$K$8,B220:K220)</f>
        <v/>
      </c>
      <c r="R220" s="5">
        <f>SUMPRODUCT(Exposures!$B$9:$K$9,B220:K220)</f>
        <v/>
      </c>
      <c r="S220" s="5">
        <f>SUMPRODUCT(Exposures!$B$10:$K$10,B220:K220)</f>
        <v/>
      </c>
    </row>
    <row r="221">
      <c r="A221" s="1" t="n">
        <v>42779</v>
      </c>
      <c r="B221" s="5" t="n">
        <v>0.003231019647394136</v>
      </c>
      <c r="C221" s="5" t="n">
        <v>0.001839449327678661</v>
      </c>
      <c r="D221" s="5" t="n">
        <v>-0.0004505419535214248</v>
      </c>
      <c r="E221" s="5" t="n">
        <v>0.002361908001920195</v>
      </c>
      <c r="F221" s="5" t="n">
        <v>-0.001226749852423081</v>
      </c>
      <c r="G221" s="5" t="n">
        <v>0.006807512676352006</v>
      </c>
      <c r="H221" s="5" t="n">
        <v>0.001940005199670087</v>
      </c>
      <c r="I221" s="5" t="n">
        <v>0.002121624675364512</v>
      </c>
      <c r="J221" s="5" t="n">
        <v>0.0001158001572909712</v>
      </c>
      <c r="K221" s="5" t="n">
        <v>-0.0007666305637475776</v>
      </c>
      <c r="L221" s="5" t="n">
        <v>-5.438918867894431e-05</v>
      </c>
      <c r="M221" s="5">
        <f>SUMPRODUCT(Exposures!$B$6:$K$6,B221:K221)</f>
        <v/>
      </c>
      <c r="N221" s="5">
        <f>IF(AND($A221&gt;=DATE(2020,2,1),$A221&lt;=DATE(2020,5,31)),$M221,"")</f>
        <v/>
      </c>
      <c r="O221" s="5">
        <f>IF(AND($A221&gt;=DATE(2022,1,1),$A221&lt;=DATE(2022,10,31)),$M221,"")</f>
        <v/>
      </c>
      <c r="P221" s="5">
        <f>IF(AND($A221&gt;=DATE(2018,10,1),$A221&lt;=DATE(2018,12,31)),$M221,"")</f>
        <v/>
      </c>
      <c r="Q221" s="5">
        <f>SUMPRODUCT(Exposures!$B$8:$K$8,B221:K221)</f>
        <v/>
      </c>
      <c r="R221" s="5">
        <f>SUMPRODUCT(Exposures!$B$9:$K$9,B221:K221)</f>
        <v/>
      </c>
      <c r="S221" s="5">
        <f>SUMPRODUCT(Exposures!$B$10:$K$10,B221:K221)</f>
        <v/>
      </c>
    </row>
    <row r="222">
      <c r="A222" s="1" t="n">
        <v>42780</v>
      </c>
      <c r="B222" s="5" t="n">
        <v>0.002071234268213706</v>
      </c>
      <c r="C222" s="5" t="n">
        <v>-0.001113651044182977</v>
      </c>
      <c r="D222" s="5" t="n">
        <v>0.003557324391029942</v>
      </c>
      <c r="E222" s="5" t="n">
        <v>0.001149210365091844</v>
      </c>
      <c r="F222" s="5" t="n">
        <v>-0.002108728413871216</v>
      </c>
      <c r="G222" s="5" t="n">
        <v>0.004406783419017232</v>
      </c>
      <c r="H222" s="5" t="n">
        <v>-0.00280775207902937</v>
      </c>
      <c r="I222" s="5" t="n">
        <v>0.002568471309167559</v>
      </c>
      <c r="J222" s="5" t="n">
        <v>0.002681219248264869</v>
      </c>
      <c r="K222" s="5" t="n">
        <v>0.001473057928325654</v>
      </c>
      <c r="L222" s="5" t="n">
        <v>0.001780515056874774</v>
      </c>
      <c r="M222" s="5">
        <f>SUMPRODUCT(Exposures!$B$6:$K$6,B222:K222)</f>
        <v/>
      </c>
      <c r="N222" s="5">
        <f>IF(AND($A222&gt;=DATE(2020,2,1),$A222&lt;=DATE(2020,5,31)),$M222,"")</f>
        <v/>
      </c>
      <c r="O222" s="5">
        <f>IF(AND($A222&gt;=DATE(2022,1,1),$A222&lt;=DATE(2022,10,31)),$M222,"")</f>
        <v/>
      </c>
      <c r="P222" s="5">
        <f>IF(AND($A222&gt;=DATE(2018,10,1),$A222&lt;=DATE(2018,12,31)),$M222,"")</f>
        <v/>
      </c>
      <c r="Q222" s="5">
        <f>SUMPRODUCT(Exposures!$B$8:$K$8,B222:K222)</f>
        <v/>
      </c>
      <c r="R222" s="5">
        <f>SUMPRODUCT(Exposures!$B$9:$K$9,B222:K222)</f>
        <v/>
      </c>
      <c r="S222" s="5">
        <f>SUMPRODUCT(Exposures!$B$10:$K$10,B222:K222)</f>
        <v/>
      </c>
    </row>
    <row r="223">
      <c r="A223" s="1" t="n">
        <v>42781</v>
      </c>
      <c r="B223" s="5" t="n">
        <v>0.003575305163159078</v>
      </c>
      <c r="C223" s="5" t="n">
        <v>0.001927969434130154</v>
      </c>
      <c r="D223" s="5" t="n">
        <v>0.002458284581546088</v>
      </c>
      <c r="E223" s="5" t="n">
        <v>0.0005947839861043809</v>
      </c>
      <c r="F223" s="5" t="n">
        <v>0.006140085733454256</v>
      </c>
      <c r="G223" s="5" t="n">
        <v>0.003351726213537239</v>
      </c>
      <c r="H223" s="5" t="n">
        <v>0.0004735848243611675</v>
      </c>
      <c r="I223" s="5" t="n">
        <v>0.001051826031236084</v>
      </c>
      <c r="J223" s="5" t="n">
        <v>-0.003505653273783676</v>
      </c>
      <c r="K223" s="5" t="n">
        <v>-0.005309388256191576</v>
      </c>
      <c r="L223" s="5" t="n">
        <v>-0.005989962862874599</v>
      </c>
      <c r="M223" s="5">
        <f>SUMPRODUCT(Exposures!$B$6:$K$6,B223:K223)</f>
        <v/>
      </c>
      <c r="N223" s="5">
        <f>IF(AND($A223&gt;=DATE(2020,2,1),$A223&lt;=DATE(2020,5,31)),$M223,"")</f>
        <v/>
      </c>
      <c r="O223" s="5">
        <f>IF(AND($A223&gt;=DATE(2022,1,1),$A223&lt;=DATE(2022,10,31)),$M223,"")</f>
        <v/>
      </c>
      <c r="P223" s="5">
        <f>IF(AND($A223&gt;=DATE(2018,10,1),$A223&lt;=DATE(2018,12,31)),$M223,"")</f>
        <v/>
      </c>
      <c r="Q223" s="5">
        <f>SUMPRODUCT(Exposures!$B$8:$K$8,B223:K223)</f>
        <v/>
      </c>
      <c r="R223" s="5">
        <f>SUMPRODUCT(Exposures!$B$9:$K$9,B223:K223)</f>
        <v/>
      </c>
      <c r="S223" s="5">
        <f>SUMPRODUCT(Exposures!$B$10:$K$10,B223:K223)</f>
        <v/>
      </c>
    </row>
    <row r="224">
      <c r="A224" s="1" t="n">
        <v>42782</v>
      </c>
      <c r="B224" s="5" t="n">
        <v>0.00216118361331148</v>
      </c>
      <c r="C224" s="5" t="n">
        <v>-0.001023234805753671</v>
      </c>
      <c r="D224" s="5" t="n">
        <v>0.001046634843507709</v>
      </c>
      <c r="E224" s="5" t="n">
        <v>-0.0002148134842519249</v>
      </c>
      <c r="F224" s="5" t="n">
        <v>-0.0009161644138974365</v>
      </c>
      <c r="G224" s="5" t="n">
        <v>-0.0009991756356173586</v>
      </c>
      <c r="H224" s="5" t="n">
        <v>-0.002159865331733559</v>
      </c>
      <c r="I224" s="5" t="n">
        <v>0.002237194170288949</v>
      </c>
      <c r="J224" s="5" t="n">
        <v>-0.006543871096239763</v>
      </c>
      <c r="K224" s="5" t="n">
        <v>-0.002006281188765311</v>
      </c>
      <c r="L224" s="5" t="n">
        <v>-0.001709874694320243</v>
      </c>
      <c r="M224" s="5">
        <f>SUMPRODUCT(Exposures!$B$6:$K$6,B224:K224)</f>
        <v/>
      </c>
      <c r="N224" s="5">
        <f>IF(AND($A224&gt;=DATE(2020,2,1),$A224&lt;=DATE(2020,5,31)),$M224,"")</f>
        <v/>
      </c>
      <c r="O224" s="5">
        <f>IF(AND($A224&gt;=DATE(2022,1,1),$A224&lt;=DATE(2022,10,31)),$M224,"")</f>
        <v/>
      </c>
      <c r="P224" s="5">
        <f>IF(AND($A224&gt;=DATE(2018,10,1),$A224&lt;=DATE(2018,12,31)),$M224,"")</f>
        <v/>
      </c>
      <c r="Q224" s="5">
        <f>SUMPRODUCT(Exposures!$B$8:$K$8,B224:K224)</f>
        <v/>
      </c>
      <c r="R224" s="5">
        <f>SUMPRODUCT(Exposures!$B$9:$K$9,B224:K224)</f>
        <v/>
      </c>
      <c r="S224" s="5">
        <f>SUMPRODUCT(Exposures!$B$10:$K$10,B224:K224)</f>
        <v/>
      </c>
    </row>
    <row r="225">
      <c r="A225" s="1" t="n">
        <v>42783</v>
      </c>
      <c r="B225" s="5" t="n">
        <v>0.001584024238127785</v>
      </c>
      <c r="C225" s="5" t="n">
        <v>0.00183972479121795</v>
      </c>
      <c r="D225" s="5" t="n">
        <v>-0.001101756119615103</v>
      </c>
      <c r="E225" s="5" t="n">
        <v>-0.0003123729513364074</v>
      </c>
      <c r="F225" s="5" t="n">
        <v>0.002047567592778881</v>
      </c>
      <c r="G225" s="5" t="n">
        <v>0.002973590697855892</v>
      </c>
      <c r="H225" s="5" t="n">
        <v>-0.0005606396764816519</v>
      </c>
      <c r="I225" s="5" t="n">
        <v>0.001168506412478715</v>
      </c>
      <c r="J225" s="5" t="n">
        <v>-0.0001355005880773316</v>
      </c>
      <c r="K225" s="5" t="n">
        <v>-0.003470727440561028</v>
      </c>
      <c r="L225" s="5" t="n">
        <v>-0.002686780230116523</v>
      </c>
      <c r="M225" s="5">
        <f>SUMPRODUCT(Exposures!$B$6:$K$6,B225:K225)</f>
        <v/>
      </c>
      <c r="N225" s="5">
        <f>IF(AND($A225&gt;=DATE(2020,2,1),$A225&lt;=DATE(2020,5,31)),$M225,"")</f>
        <v/>
      </c>
      <c r="O225" s="5">
        <f>IF(AND($A225&gt;=DATE(2022,1,1),$A225&lt;=DATE(2022,10,31)),$M225,"")</f>
        <v/>
      </c>
      <c r="P225" s="5">
        <f>IF(AND($A225&gt;=DATE(2018,10,1),$A225&lt;=DATE(2018,12,31)),$M225,"")</f>
        <v/>
      </c>
      <c r="Q225" s="5">
        <f>SUMPRODUCT(Exposures!$B$8:$K$8,B225:K225)</f>
        <v/>
      </c>
      <c r="R225" s="5">
        <f>SUMPRODUCT(Exposures!$B$9:$K$9,B225:K225)</f>
        <v/>
      </c>
      <c r="S225" s="5">
        <f>SUMPRODUCT(Exposures!$B$10:$K$10,B225:K225)</f>
        <v/>
      </c>
    </row>
    <row r="226">
      <c r="A226" s="1" t="n">
        <v>42787</v>
      </c>
      <c r="B226" s="5" t="n">
        <v>-0.002715420366635954</v>
      </c>
      <c r="C226" s="5" t="n">
        <v>-0.0002658440658292918</v>
      </c>
      <c r="D226" s="5" t="n">
        <v>0.004897195429862424</v>
      </c>
      <c r="E226" s="5" t="n">
        <v>0.002491496282274964</v>
      </c>
      <c r="F226" s="5" t="n">
        <v>-0.0004752517665948196</v>
      </c>
      <c r="G226" s="5" t="n">
        <v>0.006419667859529691</v>
      </c>
      <c r="H226" s="5" t="n">
        <v>0.003888478061061225</v>
      </c>
      <c r="I226" s="5" t="n">
        <v>-0.002582625735951645</v>
      </c>
      <c r="J226" s="5" t="n">
        <v>0.003036133457567735</v>
      </c>
      <c r="K226" s="5" t="n">
        <v>0.004372889128219556</v>
      </c>
      <c r="L226" s="5" t="n">
        <v>0.000475368766702176</v>
      </c>
      <c r="M226" s="5">
        <f>SUMPRODUCT(Exposures!$B$6:$K$6,B226:K226)</f>
        <v/>
      </c>
      <c r="N226" s="5">
        <f>IF(AND($A226&gt;=DATE(2020,2,1),$A226&lt;=DATE(2020,5,31)),$M226,"")</f>
        <v/>
      </c>
      <c r="O226" s="5">
        <f>IF(AND($A226&gt;=DATE(2022,1,1),$A226&lt;=DATE(2022,10,31)),$M226,"")</f>
        <v/>
      </c>
      <c r="P226" s="5">
        <f>IF(AND($A226&gt;=DATE(2018,10,1),$A226&lt;=DATE(2018,12,31)),$M226,"")</f>
        <v/>
      </c>
      <c r="Q226" s="5">
        <f>SUMPRODUCT(Exposures!$B$8:$K$8,B226:K226)</f>
        <v/>
      </c>
      <c r="R226" s="5">
        <f>SUMPRODUCT(Exposures!$B$9:$K$9,B226:K226)</f>
        <v/>
      </c>
      <c r="S226" s="5">
        <f>SUMPRODUCT(Exposures!$B$10:$K$10,B226:K226)</f>
        <v/>
      </c>
    </row>
    <row r="227">
      <c r="A227" s="1" t="n">
        <v>42788</v>
      </c>
      <c r="B227" s="5" t="n">
        <v>-0.003353461362633303</v>
      </c>
      <c r="C227" s="5" t="n">
        <v>0.002088174990199751</v>
      </c>
      <c r="D227" s="5" t="n">
        <v>0.003912772414566444</v>
      </c>
      <c r="E227" s="5" t="n">
        <v>0.0003702259341658787</v>
      </c>
      <c r="F227" s="5" t="n">
        <v>-0.005950951743125172</v>
      </c>
      <c r="G227" s="5" t="n">
        <v>-0.003046103922774697</v>
      </c>
      <c r="H227" s="5" t="n">
        <v>0.00147649638466849</v>
      </c>
      <c r="I227" s="5" t="n">
        <v>-0.0006719732906431902</v>
      </c>
      <c r="J227" s="5" t="n">
        <v>0.001433973564372683</v>
      </c>
      <c r="K227" s="5" t="n">
        <v>0.008213076673003628</v>
      </c>
      <c r="L227" s="5" t="n">
        <v>0.0008124191238038923</v>
      </c>
      <c r="M227" s="5">
        <f>SUMPRODUCT(Exposures!$B$6:$K$6,B227:K227)</f>
        <v/>
      </c>
      <c r="N227" s="5">
        <f>IF(AND($A227&gt;=DATE(2020,2,1),$A227&lt;=DATE(2020,5,31)),$M227,"")</f>
        <v/>
      </c>
      <c r="O227" s="5">
        <f>IF(AND($A227&gt;=DATE(2022,1,1),$A227&lt;=DATE(2022,10,31)),$M227,"")</f>
        <v/>
      </c>
      <c r="P227" s="5">
        <f>IF(AND($A227&gt;=DATE(2018,10,1),$A227&lt;=DATE(2018,12,31)),$M227,"")</f>
        <v/>
      </c>
      <c r="Q227" s="5">
        <f>SUMPRODUCT(Exposures!$B$8:$K$8,B227:K227)</f>
        <v/>
      </c>
      <c r="R227" s="5">
        <f>SUMPRODUCT(Exposures!$B$9:$K$9,B227:K227)</f>
        <v/>
      </c>
      <c r="S227" s="5">
        <f>SUMPRODUCT(Exposures!$B$10:$K$10,B227:K227)</f>
        <v/>
      </c>
    </row>
    <row r="228">
      <c r="A228" s="1" t="n">
        <v>42789</v>
      </c>
      <c r="B228" s="5" t="n">
        <v>-0.001736298476414815</v>
      </c>
      <c r="C228" s="5" t="n">
        <v>-0.00136337018731582</v>
      </c>
      <c r="D228" s="5" t="n">
        <v>0.001423756427812824</v>
      </c>
      <c r="E228" s="5" t="n">
        <v>0.002813225503332443</v>
      </c>
      <c r="F228" s="5" t="n">
        <v>-0.00253797612493868</v>
      </c>
      <c r="G228" s="5" t="n">
        <v>-0.004232990784685199</v>
      </c>
      <c r="H228" s="5" t="n">
        <v>-0.003658749110358279</v>
      </c>
      <c r="I228" s="5" t="n">
        <v>0.0004405715379362546</v>
      </c>
      <c r="J228" s="5" t="n">
        <v>-0.004436956988879296</v>
      </c>
      <c r="K228" s="5" t="n">
        <v>0.002979931077642292</v>
      </c>
      <c r="L228" s="5" t="n">
        <v>-0.001025134542919571</v>
      </c>
      <c r="M228" s="5">
        <f>SUMPRODUCT(Exposures!$B$6:$K$6,B228:K228)</f>
        <v/>
      </c>
      <c r="N228" s="5">
        <f>IF(AND($A228&gt;=DATE(2020,2,1),$A228&lt;=DATE(2020,5,31)),$M228,"")</f>
        <v/>
      </c>
      <c r="O228" s="5">
        <f>IF(AND($A228&gt;=DATE(2022,1,1),$A228&lt;=DATE(2022,10,31)),$M228,"")</f>
        <v/>
      </c>
      <c r="P228" s="5">
        <f>IF(AND($A228&gt;=DATE(2018,10,1),$A228&lt;=DATE(2018,12,31)),$M228,"")</f>
        <v/>
      </c>
      <c r="Q228" s="5">
        <f>SUMPRODUCT(Exposures!$B$8:$K$8,B228:K228)</f>
        <v/>
      </c>
      <c r="R228" s="5">
        <f>SUMPRODUCT(Exposures!$B$9:$K$9,B228:K228)</f>
        <v/>
      </c>
      <c r="S228" s="5">
        <f>SUMPRODUCT(Exposures!$B$10:$K$10,B228:K228)</f>
        <v/>
      </c>
    </row>
    <row r="229">
      <c r="A229" s="1" t="n">
        <v>42790</v>
      </c>
      <c r="B229" s="5" t="n">
        <v>-0.003150637213724645</v>
      </c>
      <c r="C229" s="5" t="n">
        <v>0.0005367800489917495</v>
      </c>
      <c r="D229" s="5" t="n">
        <v>0.003460876065427426</v>
      </c>
      <c r="E229" s="5" t="n">
        <v>-0.001772846036656772</v>
      </c>
      <c r="F229" s="5" t="n">
        <v>0.001717396273557447</v>
      </c>
      <c r="G229" s="5" t="n">
        <v>0.00420672031888889</v>
      </c>
      <c r="H229" s="5" t="n">
        <v>0.0002549288369007556</v>
      </c>
      <c r="I229" s="5" t="n">
        <v>0.0028966756922694</v>
      </c>
      <c r="J229" s="5" t="n">
        <v>0.001567007925056573</v>
      </c>
      <c r="K229" s="5" t="n">
        <v>-0.005151005255935598</v>
      </c>
      <c r="L229" s="5" t="n">
        <v>-0.003201471436329496</v>
      </c>
      <c r="M229" s="5">
        <f>SUMPRODUCT(Exposures!$B$6:$K$6,B229:K229)</f>
        <v/>
      </c>
      <c r="N229" s="5">
        <f>IF(AND($A229&gt;=DATE(2020,2,1),$A229&lt;=DATE(2020,5,31)),$M229,"")</f>
        <v/>
      </c>
      <c r="O229" s="5">
        <f>IF(AND($A229&gt;=DATE(2022,1,1),$A229&lt;=DATE(2022,10,31)),$M229,"")</f>
        <v/>
      </c>
      <c r="P229" s="5">
        <f>IF(AND($A229&gt;=DATE(2018,10,1),$A229&lt;=DATE(2018,12,31)),$M229,"")</f>
        <v/>
      </c>
      <c r="Q229" s="5">
        <f>SUMPRODUCT(Exposures!$B$8:$K$8,B229:K229)</f>
        <v/>
      </c>
      <c r="R229" s="5">
        <f>SUMPRODUCT(Exposures!$B$9:$K$9,B229:K229)</f>
        <v/>
      </c>
      <c r="S229" s="5">
        <f>SUMPRODUCT(Exposures!$B$10:$K$10,B229:K229)</f>
        <v/>
      </c>
    </row>
    <row r="230">
      <c r="A230" s="1" t="n">
        <v>42793</v>
      </c>
      <c r="B230" s="5" t="n">
        <v>0.006833194562423961</v>
      </c>
      <c r="C230" s="5" t="n">
        <v>-0.001987905877902004</v>
      </c>
      <c r="D230" s="5" t="n">
        <v>-0.0003063911644021694</v>
      </c>
      <c r="E230" s="5" t="n">
        <v>-0.001054543951589853</v>
      </c>
      <c r="F230" s="5" t="n">
        <v>0.003402897808079168</v>
      </c>
      <c r="G230" s="5" t="n">
        <v>0.005867831358521369</v>
      </c>
      <c r="H230" s="5" t="n">
        <v>-0.002986216919350201</v>
      </c>
      <c r="I230" s="5" t="n">
        <v>0.0008858653800274991</v>
      </c>
      <c r="J230" s="5" t="n">
        <v>0.00348485422671836</v>
      </c>
      <c r="K230" s="5" t="n">
        <v>-0.001664250867419784</v>
      </c>
      <c r="L230" s="5" t="n">
        <v>0.0003792286596349031</v>
      </c>
      <c r="M230" s="5">
        <f>SUMPRODUCT(Exposures!$B$6:$K$6,B230:K230)</f>
        <v/>
      </c>
      <c r="N230" s="5">
        <f>IF(AND($A230&gt;=DATE(2020,2,1),$A230&lt;=DATE(2020,5,31)),$M230,"")</f>
        <v/>
      </c>
      <c r="O230" s="5">
        <f>IF(AND($A230&gt;=DATE(2022,1,1),$A230&lt;=DATE(2022,10,31)),$M230,"")</f>
        <v/>
      </c>
      <c r="P230" s="5">
        <f>IF(AND($A230&gt;=DATE(2018,10,1),$A230&lt;=DATE(2018,12,31)),$M230,"")</f>
        <v/>
      </c>
      <c r="Q230" s="5">
        <f>SUMPRODUCT(Exposures!$B$8:$K$8,B230:K230)</f>
        <v/>
      </c>
      <c r="R230" s="5">
        <f>SUMPRODUCT(Exposures!$B$9:$K$9,B230:K230)</f>
        <v/>
      </c>
      <c r="S230" s="5">
        <f>SUMPRODUCT(Exposures!$B$10:$K$10,B230:K230)</f>
        <v/>
      </c>
    </row>
    <row r="231">
      <c r="A231" s="1" t="n">
        <v>42794</v>
      </c>
      <c r="B231" s="5" t="n">
        <v>-0.00237964838031514</v>
      </c>
      <c r="C231" s="5" t="n">
        <v>-0.001179035832152649</v>
      </c>
      <c r="D231" s="5" t="n">
        <v>0.002694965798935262</v>
      </c>
      <c r="E231" s="5" t="n">
        <v>0.002461115907503005</v>
      </c>
      <c r="F231" s="5" t="n">
        <v>-0.001977702926997595</v>
      </c>
      <c r="G231" s="5" t="n">
        <v>-0.003966919193530448</v>
      </c>
      <c r="H231" s="5" t="n">
        <v>-0.001126374836530857</v>
      </c>
      <c r="I231" s="5" t="n">
        <v>0.0008092568933823538</v>
      </c>
      <c r="J231" s="5" t="n">
        <v>-0.001527404315270875</v>
      </c>
      <c r="K231" s="5" t="n">
        <v>0.002345283741910554</v>
      </c>
      <c r="L231" s="5" t="n">
        <v>0.0004384672176321642</v>
      </c>
      <c r="M231" s="5">
        <f>SUMPRODUCT(Exposures!$B$6:$K$6,B231:K231)</f>
        <v/>
      </c>
      <c r="N231" s="5">
        <f>IF(AND($A231&gt;=DATE(2020,2,1),$A231&lt;=DATE(2020,5,31)),$M231,"")</f>
        <v/>
      </c>
      <c r="O231" s="5">
        <f>IF(AND($A231&gt;=DATE(2022,1,1),$A231&lt;=DATE(2022,10,31)),$M231,"")</f>
        <v/>
      </c>
      <c r="P231" s="5">
        <f>IF(AND($A231&gt;=DATE(2018,10,1),$A231&lt;=DATE(2018,12,31)),$M231,"")</f>
        <v/>
      </c>
      <c r="Q231" s="5">
        <f>SUMPRODUCT(Exposures!$B$8:$K$8,B231:K231)</f>
        <v/>
      </c>
      <c r="R231" s="5">
        <f>SUMPRODUCT(Exposures!$B$9:$K$9,B231:K231)</f>
        <v/>
      </c>
      <c r="S231" s="5">
        <f>SUMPRODUCT(Exposures!$B$10:$K$10,B231:K231)</f>
        <v/>
      </c>
    </row>
    <row r="232">
      <c r="A232" s="1" t="n">
        <v>42795</v>
      </c>
      <c r="B232" s="5" t="n">
        <v>0.009149969891537187</v>
      </c>
      <c r="C232" s="5" t="n">
        <v>3.786181670458692e-05</v>
      </c>
      <c r="D232" s="5" t="n">
        <v>-0.001439542873131125</v>
      </c>
      <c r="E232" s="5" t="n">
        <v>0.002373228454027539</v>
      </c>
      <c r="F232" s="5" t="n">
        <v>-0.0007388272507266886</v>
      </c>
      <c r="G232" s="5" t="n">
        <v>0.01508164040934308</v>
      </c>
      <c r="H232" s="5" t="n">
        <v>0.004157861142410259</v>
      </c>
      <c r="I232" s="5" t="n">
        <v>0.003698981510790496</v>
      </c>
      <c r="J232" s="5" t="n">
        <v>-0.002675523506533666</v>
      </c>
      <c r="K232" s="5" t="n">
        <v>-0.00319547910303545</v>
      </c>
      <c r="L232" s="5" t="n">
        <v>0.0002053945277421379</v>
      </c>
      <c r="M232" s="5">
        <f>SUMPRODUCT(Exposures!$B$6:$K$6,B232:K232)</f>
        <v/>
      </c>
      <c r="N232" s="5">
        <f>IF(AND($A232&gt;=DATE(2020,2,1),$A232&lt;=DATE(2020,5,31)),$M232,"")</f>
        <v/>
      </c>
      <c r="O232" s="5">
        <f>IF(AND($A232&gt;=DATE(2022,1,1),$A232&lt;=DATE(2022,10,31)),$M232,"")</f>
        <v/>
      </c>
      <c r="P232" s="5">
        <f>IF(AND($A232&gt;=DATE(2018,10,1),$A232&lt;=DATE(2018,12,31)),$M232,"")</f>
        <v/>
      </c>
      <c r="Q232" s="5">
        <f>SUMPRODUCT(Exposures!$B$8:$K$8,B232:K232)</f>
        <v/>
      </c>
      <c r="R232" s="5">
        <f>SUMPRODUCT(Exposures!$B$9:$K$9,B232:K232)</f>
        <v/>
      </c>
      <c r="S232" s="5">
        <f>SUMPRODUCT(Exposures!$B$10:$K$10,B232:K232)</f>
        <v/>
      </c>
    </row>
    <row r="233">
      <c r="A233" s="1" t="n">
        <v>42796</v>
      </c>
      <c r="B233" s="5" t="n">
        <v>-0.002484029907869285</v>
      </c>
      <c r="C233" s="5" t="n">
        <v>0.00103483732904578</v>
      </c>
      <c r="D233" s="5" t="n">
        <v>-0.0005812032469870272</v>
      </c>
      <c r="E233" s="5" t="n">
        <v>-0.001876135123463273</v>
      </c>
      <c r="F233" s="5" t="n">
        <v>0.006858251308765983</v>
      </c>
      <c r="G233" s="5" t="n">
        <v>-0.008003502245718785</v>
      </c>
      <c r="H233" s="5" t="n">
        <v>-0.005475236999400926</v>
      </c>
      <c r="I233" s="5" t="n">
        <v>0.004015003494097183</v>
      </c>
      <c r="J233" s="5" t="n">
        <v>-0.00211382462296743</v>
      </c>
      <c r="K233" s="5" t="n">
        <v>-0.008537419382023697</v>
      </c>
      <c r="L233" s="5" t="n">
        <v>-0.002298453366623948</v>
      </c>
      <c r="M233" s="5">
        <f>SUMPRODUCT(Exposures!$B$6:$K$6,B233:K233)</f>
        <v/>
      </c>
      <c r="N233" s="5">
        <f>IF(AND($A233&gt;=DATE(2020,2,1),$A233&lt;=DATE(2020,5,31)),$M233,"")</f>
        <v/>
      </c>
      <c r="O233" s="5">
        <f>IF(AND($A233&gt;=DATE(2022,1,1),$A233&lt;=DATE(2022,10,31)),$M233,"")</f>
        <v/>
      </c>
      <c r="P233" s="5">
        <f>IF(AND($A233&gt;=DATE(2018,10,1),$A233&lt;=DATE(2018,12,31)),$M233,"")</f>
        <v/>
      </c>
      <c r="Q233" s="5">
        <f>SUMPRODUCT(Exposures!$B$8:$K$8,B233:K233)</f>
        <v/>
      </c>
      <c r="R233" s="5">
        <f>SUMPRODUCT(Exposures!$B$9:$K$9,B233:K233)</f>
        <v/>
      </c>
      <c r="S233" s="5">
        <f>SUMPRODUCT(Exposures!$B$10:$K$10,B233:K233)</f>
        <v/>
      </c>
    </row>
    <row r="234">
      <c r="A234" s="1" t="n">
        <v>42797</v>
      </c>
      <c r="B234" s="5" t="n">
        <v>0.001059551515824962</v>
      </c>
      <c r="C234" s="5" t="n">
        <v>0.0009398757697635048</v>
      </c>
      <c r="D234" s="5" t="n">
        <v>0.001949638986883524</v>
      </c>
      <c r="E234" s="5" t="n">
        <v>-0.0005380973870300694</v>
      </c>
      <c r="F234" s="5" t="n">
        <v>-0.004212353124137901</v>
      </c>
      <c r="G234" s="5" t="n">
        <v>0.001040931609495795</v>
      </c>
      <c r="H234" s="5" t="n">
        <v>0.001762962878252263</v>
      </c>
      <c r="I234" s="5" t="n">
        <v>-0.0008697974326970137</v>
      </c>
      <c r="J234" s="5" t="n">
        <v>0.0005898294851476372</v>
      </c>
      <c r="K234" s="5" t="n">
        <v>0.004799313615342012</v>
      </c>
      <c r="L234" s="5" t="n">
        <v>0.0008757178564191431</v>
      </c>
      <c r="M234" s="5">
        <f>SUMPRODUCT(Exposures!$B$6:$K$6,B234:K234)</f>
        <v/>
      </c>
      <c r="N234" s="5">
        <f>IF(AND($A234&gt;=DATE(2020,2,1),$A234&lt;=DATE(2020,5,31)),$M234,"")</f>
        <v/>
      </c>
      <c r="O234" s="5">
        <f>IF(AND($A234&gt;=DATE(2022,1,1),$A234&lt;=DATE(2022,10,31)),$M234,"")</f>
        <v/>
      </c>
      <c r="P234" s="5">
        <f>IF(AND($A234&gt;=DATE(2018,10,1),$A234&lt;=DATE(2018,12,31)),$M234,"")</f>
        <v/>
      </c>
      <c r="Q234" s="5">
        <f>SUMPRODUCT(Exposures!$B$8:$K$8,B234:K234)</f>
        <v/>
      </c>
      <c r="R234" s="5">
        <f>SUMPRODUCT(Exposures!$B$9:$K$9,B234:K234)</f>
        <v/>
      </c>
      <c r="S234" s="5">
        <f>SUMPRODUCT(Exposures!$B$10:$K$10,B234:K234)</f>
        <v/>
      </c>
    </row>
    <row r="235">
      <c r="A235" s="1" t="n">
        <v>42800</v>
      </c>
      <c r="B235" s="5" t="n">
        <v>-0.002107678558155981</v>
      </c>
      <c r="C235" s="5" t="n">
        <v>0.0004410599517154895</v>
      </c>
      <c r="D235" s="5" t="n">
        <v>0.0006492266566516555</v>
      </c>
      <c r="E235" s="5" t="n">
        <v>-0.0004672920862280332</v>
      </c>
      <c r="F235" s="5" t="n">
        <v>0.001552149619998233</v>
      </c>
      <c r="G235" s="5" t="n">
        <v>-0.007247552674636342</v>
      </c>
      <c r="H235" s="5" t="n">
        <v>0.002348374084915132</v>
      </c>
      <c r="I235" s="5" t="n">
        <v>0.0008809685402319654</v>
      </c>
      <c r="J235" s="5" t="n">
        <v>-0.003994855895043137</v>
      </c>
      <c r="K235" s="5" t="n">
        <v>-0.001995884782814747</v>
      </c>
      <c r="L235" s="5" t="n">
        <v>-0.001069255183118061</v>
      </c>
      <c r="M235" s="5">
        <f>SUMPRODUCT(Exposures!$B$6:$K$6,B235:K235)</f>
        <v/>
      </c>
      <c r="N235" s="5">
        <f>IF(AND($A235&gt;=DATE(2020,2,1),$A235&lt;=DATE(2020,5,31)),$M235,"")</f>
        <v/>
      </c>
      <c r="O235" s="5">
        <f>IF(AND($A235&gt;=DATE(2022,1,1),$A235&lt;=DATE(2022,10,31)),$M235,"")</f>
        <v/>
      </c>
      <c r="P235" s="5">
        <f>IF(AND($A235&gt;=DATE(2018,10,1),$A235&lt;=DATE(2018,12,31)),$M235,"")</f>
        <v/>
      </c>
      <c r="Q235" s="5">
        <f>SUMPRODUCT(Exposures!$B$8:$K$8,B235:K235)</f>
        <v/>
      </c>
      <c r="R235" s="5">
        <f>SUMPRODUCT(Exposures!$B$9:$K$9,B235:K235)</f>
        <v/>
      </c>
      <c r="S235" s="5">
        <f>SUMPRODUCT(Exposures!$B$10:$K$10,B235:K235)</f>
        <v/>
      </c>
    </row>
    <row r="236">
      <c r="A236" s="1" t="n">
        <v>42801</v>
      </c>
      <c r="B236" s="5" t="n">
        <v>-0.0005516166394887885</v>
      </c>
      <c r="C236" s="5" t="n">
        <v>0.002471348031995301</v>
      </c>
      <c r="D236" s="5" t="n">
        <v>-0.0004889887642667694</v>
      </c>
      <c r="E236" s="5" t="n">
        <v>-0.0002231828597833313</v>
      </c>
      <c r="F236" s="5" t="n">
        <v>0.002026921968482438</v>
      </c>
      <c r="G236" s="5" t="n">
        <v>-0.004035504262510884</v>
      </c>
      <c r="H236" s="5" t="n">
        <v>0.002690221414830214</v>
      </c>
      <c r="I236" s="5" t="n">
        <v>0.001479238784248998</v>
      </c>
      <c r="J236" s="5" t="n">
        <v>-0.002991038597963161</v>
      </c>
      <c r="K236" s="5" t="n">
        <v>-0.003116398467557503</v>
      </c>
      <c r="L236" s="5" t="n">
        <v>-0.002373535263236253</v>
      </c>
      <c r="M236" s="5">
        <f>SUMPRODUCT(Exposures!$B$6:$K$6,B236:K236)</f>
        <v/>
      </c>
      <c r="N236" s="5">
        <f>IF(AND($A236&gt;=DATE(2020,2,1),$A236&lt;=DATE(2020,5,31)),$M236,"")</f>
        <v/>
      </c>
      <c r="O236" s="5">
        <f>IF(AND($A236&gt;=DATE(2022,1,1),$A236&lt;=DATE(2022,10,31)),$M236,"")</f>
        <v/>
      </c>
      <c r="P236" s="5">
        <f>IF(AND($A236&gt;=DATE(2018,10,1),$A236&lt;=DATE(2018,12,31)),$M236,"")</f>
        <v/>
      </c>
      <c r="Q236" s="5">
        <f>SUMPRODUCT(Exposures!$B$8:$K$8,B236:K236)</f>
        <v/>
      </c>
      <c r="R236" s="5">
        <f>SUMPRODUCT(Exposures!$B$9:$K$9,B236:K236)</f>
        <v/>
      </c>
      <c r="S236" s="5">
        <f>SUMPRODUCT(Exposures!$B$10:$K$10,B236:K236)</f>
        <v/>
      </c>
    </row>
    <row r="237">
      <c r="A237" s="1" t="n">
        <v>42802</v>
      </c>
      <c r="B237" s="5" t="n">
        <v>0.0001647956115036132</v>
      </c>
      <c r="C237" s="5" t="n">
        <v>-0.0001170110640447063</v>
      </c>
      <c r="D237" s="5" t="n">
        <v>-0.001278024729975365</v>
      </c>
      <c r="E237" s="5" t="n">
        <v>0.001309538545965181</v>
      </c>
      <c r="F237" s="5" t="n">
        <v>0.003198468385949032</v>
      </c>
      <c r="G237" s="5" t="n">
        <v>-0.000231184068639792</v>
      </c>
      <c r="H237" s="5" t="n">
        <v>-0.004060557223963813</v>
      </c>
      <c r="I237" s="5" t="n">
        <v>0.001209301182934216</v>
      </c>
      <c r="J237" s="5" t="n">
        <v>0.005516992735444897</v>
      </c>
      <c r="K237" s="5" t="n">
        <v>-0.0008805407612531135</v>
      </c>
      <c r="L237" s="5" t="n">
        <v>-0.001869186794917867</v>
      </c>
      <c r="M237" s="5">
        <f>SUMPRODUCT(Exposures!$B$6:$K$6,B237:K237)</f>
        <v/>
      </c>
      <c r="N237" s="5">
        <f>IF(AND($A237&gt;=DATE(2020,2,1),$A237&lt;=DATE(2020,5,31)),$M237,"")</f>
        <v/>
      </c>
      <c r="O237" s="5">
        <f>IF(AND($A237&gt;=DATE(2022,1,1),$A237&lt;=DATE(2022,10,31)),$M237,"")</f>
        <v/>
      </c>
      <c r="P237" s="5">
        <f>IF(AND($A237&gt;=DATE(2018,10,1),$A237&lt;=DATE(2018,12,31)),$M237,"")</f>
        <v/>
      </c>
      <c r="Q237" s="5">
        <f>SUMPRODUCT(Exposures!$B$8:$K$8,B237:K237)</f>
        <v/>
      </c>
      <c r="R237" s="5">
        <f>SUMPRODUCT(Exposures!$B$9:$K$9,B237:K237)</f>
        <v/>
      </c>
      <c r="S237" s="5">
        <f>SUMPRODUCT(Exposures!$B$10:$K$10,B237:K237)</f>
        <v/>
      </c>
    </row>
    <row r="238">
      <c r="A238" s="1" t="n">
        <v>42803</v>
      </c>
      <c r="B238" s="5" t="n">
        <v>-0.001185072197687847</v>
      </c>
      <c r="C238" s="5" t="n">
        <v>-0.0003791720464247979</v>
      </c>
      <c r="D238" s="5" t="n">
        <v>-0.0008682609151440511</v>
      </c>
      <c r="E238" s="5" t="n">
        <v>-0.001032144741017436</v>
      </c>
      <c r="F238" s="5" t="n">
        <v>-0.001155729919639185</v>
      </c>
      <c r="G238" s="5" t="n">
        <v>-0.001097363800294251</v>
      </c>
      <c r="H238" s="5" t="n">
        <v>0.0009366236430709237</v>
      </c>
      <c r="I238" s="5" t="n">
        <v>0.001139183157957386</v>
      </c>
      <c r="J238" s="5" t="n">
        <v>4.134722128940277e-05</v>
      </c>
      <c r="K238" s="5" t="n">
        <v>0.001827585329196294</v>
      </c>
      <c r="L238" s="5" t="n">
        <v>-0.0003403282387079616</v>
      </c>
      <c r="M238" s="5">
        <f>SUMPRODUCT(Exposures!$B$6:$K$6,B238:K238)</f>
        <v/>
      </c>
      <c r="N238" s="5">
        <f>IF(AND($A238&gt;=DATE(2020,2,1),$A238&lt;=DATE(2020,5,31)),$M238,"")</f>
        <v/>
      </c>
      <c r="O238" s="5">
        <f>IF(AND($A238&gt;=DATE(2022,1,1),$A238&lt;=DATE(2022,10,31)),$M238,"")</f>
        <v/>
      </c>
      <c r="P238" s="5">
        <f>IF(AND($A238&gt;=DATE(2018,10,1),$A238&lt;=DATE(2018,12,31)),$M238,"")</f>
        <v/>
      </c>
      <c r="Q238" s="5">
        <f>SUMPRODUCT(Exposures!$B$8:$K$8,B238:K238)</f>
        <v/>
      </c>
      <c r="R238" s="5">
        <f>SUMPRODUCT(Exposures!$B$9:$K$9,B238:K238)</f>
        <v/>
      </c>
      <c r="S238" s="5">
        <f>SUMPRODUCT(Exposures!$B$10:$K$10,B238:K238)</f>
        <v/>
      </c>
    </row>
    <row r="239">
      <c r="A239" s="1" t="n">
        <v>42804</v>
      </c>
      <c r="B239" s="5" t="n">
        <v>-0.0008980244545954456</v>
      </c>
      <c r="C239" s="5" t="n">
        <v>0.0005987415429279243</v>
      </c>
      <c r="D239" s="5" t="n">
        <v>-0.0008719269974185271</v>
      </c>
      <c r="E239" s="5" t="n">
        <v>0.001094687049652784</v>
      </c>
      <c r="F239" s="5" t="n">
        <v>0.0005875397409113865</v>
      </c>
      <c r="G239" s="5" t="n">
        <v>0.003499918970429522</v>
      </c>
      <c r="H239" s="5" t="n">
        <v>0.0003691350863186383</v>
      </c>
      <c r="I239" s="5" t="n">
        <v>-0.001666047342926587</v>
      </c>
      <c r="J239" s="5" t="n">
        <v>0.0009924877185344548</v>
      </c>
      <c r="K239" s="5" t="n">
        <v>0.001261372081540392</v>
      </c>
      <c r="L239" s="5" t="n">
        <v>-0.002268519568054622</v>
      </c>
      <c r="M239" s="5">
        <f>SUMPRODUCT(Exposures!$B$6:$K$6,B239:K239)</f>
        <v/>
      </c>
      <c r="N239" s="5">
        <f>IF(AND($A239&gt;=DATE(2020,2,1),$A239&lt;=DATE(2020,5,31)),$M239,"")</f>
        <v/>
      </c>
      <c r="O239" s="5">
        <f>IF(AND($A239&gt;=DATE(2022,1,1),$A239&lt;=DATE(2022,10,31)),$M239,"")</f>
        <v/>
      </c>
      <c r="P239" s="5">
        <f>IF(AND($A239&gt;=DATE(2018,10,1),$A239&lt;=DATE(2018,12,31)),$M239,"")</f>
        <v/>
      </c>
      <c r="Q239" s="5">
        <f>SUMPRODUCT(Exposures!$B$8:$K$8,B239:K239)</f>
        <v/>
      </c>
      <c r="R239" s="5">
        <f>SUMPRODUCT(Exposures!$B$9:$K$9,B239:K239)</f>
        <v/>
      </c>
      <c r="S239" s="5">
        <f>SUMPRODUCT(Exposures!$B$10:$K$10,B239:K239)</f>
        <v/>
      </c>
    </row>
    <row r="240">
      <c r="A240" s="1" t="n">
        <v>42807</v>
      </c>
      <c r="B240" s="5" t="n">
        <v>-0.00144894407226338</v>
      </c>
      <c r="C240" s="5" t="n">
        <v>0.001705906404697767</v>
      </c>
      <c r="D240" s="5" t="n">
        <v>0.00185006891954956</v>
      </c>
      <c r="E240" s="5" t="n">
        <v>-0.000757592521671752</v>
      </c>
      <c r="F240" s="5" t="n">
        <v>-0.002652988069094178</v>
      </c>
      <c r="G240" s="5" t="n">
        <v>0.002884636187924352</v>
      </c>
      <c r="H240" s="5" t="n">
        <v>0.004314260178696246</v>
      </c>
      <c r="I240" s="5" t="n">
        <v>-0.002244318698602939</v>
      </c>
      <c r="J240" s="5" t="n">
        <v>0.0008561154788548893</v>
      </c>
      <c r="K240" s="5" t="n">
        <v>0.002629464166761859</v>
      </c>
      <c r="L240" s="5" t="n">
        <v>-0.001513242121827728</v>
      </c>
      <c r="M240" s="5">
        <f>SUMPRODUCT(Exposures!$B$6:$K$6,B240:K240)</f>
        <v/>
      </c>
      <c r="N240" s="5">
        <f>IF(AND($A240&gt;=DATE(2020,2,1),$A240&lt;=DATE(2020,5,31)),$M240,"")</f>
        <v/>
      </c>
      <c r="O240" s="5">
        <f>IF(AND($A240&gt;=DATE(2022,1,1),$A240&lt;=DATE(2022,10,31)),$M240,"")</f>
        <v/>
      </c>
      <c r="P240" s="5">
        <f>IF(AND($A240&gt;=DATE(2018,10,1),$A240&lt;=DATE(2018,12,31)),$M240,"")</f>
        <v/>
      </c>
      <c r="Q240" s="5">
        <f>SUMPRODUCT(Exposures!$B$8:$K$8,B240:K240)</f>
        <v/>
      </c>
      <c r="R240" s="5">
        <f>SUMPRODUCT(Exposures!$B$9:$K$9,B240:K240)</f>
        <v/>
      </c>
      <c r="S240" s="5">
        <f>SUMPRODUCT(Exposures!$B$10:$K$10,B240:K240)</f>
        <v/>
      </c>
    </row>
    <row r="241">
      <c r="A241" s="1" t="n">
        <v>42808</v>
      </c>
      <c r="B241" s="5" t="n">
        <v>-0.0004308100767580553</v>
      </c>
      <c r="C241" s="5" t="n">
        <v>0.000643385877039265</v>
      </c>
      <c r="D241" s="5" t="n">
        <v>0.001346000736722476</v>
      </c>
      <c r="E241" s="5" t="n">
        <v>6.243139094242291e-05</v>
      </c>
      <c r="F241" s="5" t="n">
        <v>-0.0003408221547253323</v>
      </c>
      <c r="G241" s="5" t="n">
        <v>-0.004916177123305884</v>
      </c>
      <c r="H241" s="5" t="n">
        <v>5.806612417981392e-05</v>
      </c>
      <c r="I241" s="5" t="n">
        <v>0.0007189344622747108</v>
      </c>
      <c r="J241" s="5" t="n">
        <v>-0.003080319291058553</v>
      </c>
      <c r="K241" s="5" t="n">
        <v>-0.001569075361346099</v>
      </c>
      <c r="L241" s="5" t="n">
        <v>2.684652852626076e-05</v>
      </c>
      <c r="M241" s="5">
        <f>SUMPRODUCT(Exposures!$B$6:$K$6,B241:K241)</f>
        <v/>
      </c>
      <c r="N241" s="5">
        <f>IF(AND($A241&gt;=DATE(2020,2,1),$A241&lt;=DATE(2020,5,31)),$M241,"")</f>
        <v/>
      </c>
      <c r="O241" s="5">
        <f>IF(AND($A241&gt;=DATE(2022,1,1),$A241&lt;=DATE(2022,10,31)),$M241,"")</f>
        <v/>
      </c>
      <c r="P241" s="5">
        <f>IF(AND($A241&gt;=DATE(2018,10,1),$A241&lt;=DATE(2018,12,31)),$M241,"")</f>
        <v/>
      </c>
      <c r="Q241" s="5">
        <f>SUMPRODUCT(Exposures!$B$8:$K$8,B241:K241)</f>
        <v/>
      </c>
      <c r="R241" s="5">
        <f>SUMPRODUCT(Exposures!$B$9:$K$9,B241:K241)</f>
        <v/>
      </c>
      <c r="S241" s="5">
        <f>SUMPRODUCT(Exposures!$B$10:$K$10,B241:K241)</f>
        <v/>
      </c>
    </row>
    <row r="242">
      <c r="A242" s="1" t="n">
        <v>42809</v>
      </c>
      <c r="B242" s="5" t="n">
        <v>-0.0009937333345127457</v>
      </c>
      <c r="C242" s="5" t="n">
        <v>-0.001517036976606007</v>
      </c>
      <c r="D242" s="5" t="n">
        <v>-3.920192948919226e-05</v>
      </c>
      <c r="E242" s="5" t="n">
        <v>-0.001823858379862466</v>
      </c>
      <c r="F242" s="5" t="n">
        <v>-0.005027115224882801</v>
      </c>
      <c r="G242" s="5" t="n">
        <v>0.01226495077930317</v>
      </c>
      <c r="H242" s="5" t="n">
        <v>8.217663040837808e-05</v>
      </c>
      <c r="I242" s="5" t="n">
        <v>-0.00206753310318353</v>
      </c>
      <c r="J242" s="5" t="n">
        <v>0.003586234147392079</v>
      </c>
      <c r="K242" s="5" t="n">
        <v>0.002736369218585114</v>
      </c>
      <c r="L242" s="5" t="n">
        <v>-0.0007120554542121401</v>
      </c>
      <c r="M242" s="5">
        <f>SUMPRODUCT(Exposures!$B$6:$K$6,B242:K242)</f>
        <v/>
      </c>
      <c r="N242" s="5">
        <f>IF(AND($A242&gt;=DATE(2020,2,1),$A242&lt;=DATE(2020,5,31)),$M242,"")</f>
        <v/>
      </c>
      <c r="O242" s="5">
        <f>IF(AND($A242&gt;=DATE(2022,1,1),$A242&lt;=DATE(2022,10,31)),$M242,"")</f>
        <v/>
      </c>
      <c r="P242" s="5">
        <f>IF(AND($A242&gt;=DATE(2018,10,1),$A242&lt;=DATE(2018,12,31)),$M242,"")</f>
        <v/>
      </c>
      <c r="Q242" s="5">
        <f>SUMPRODUCT(Exposures!$B$8:$K$8,B242:K242)</f>
        <v/>
      </c>
      <c r="R242" s="5">
        <f>SUMPRODUCT(Exposures!$B$9:$K$9,B242:K242)</f>
        <v/>
      </c>
      <c r="S242" s="5">
        <f>SUMPRODUCT(Exposures!$B$10:$K$10,B242:K242)</f>
        <v/>
      </c>
    </row>
    <row r="243">
      <c r="A243" s="1" t="n">
        <v>42810</v>
      </c>
      <c r="B243" s="5" t="n">
        <v>0.003607659911730635</v>
      </c>
      <c r="C243" s="5" t="n">
        <v>0.001229523093683519</v>
      </c>
      <c r="D243" s="5" t="n">
        <v>-0.0002830022535939927</v>
      </c>
      <c r="E243" s="5" t="n">
        <v>-0.0009281571583819832</v>
      </c>
      <c r="F243" s="5" t="n">
        <v>0.001550013005823483</v>
      </c>
      <c r="G243" s="5" t="n">
        <v>-0.0008180764510038798</v>
      </c>
      <c r="H243" s="5" t="n">
        <v>-1.01711813212511e-05</v>
      </c>
      <c r="I243" s="5" t="n">
        <v>0.002956013105818526</v>
      </c>
      <c r="J243" s="5" t="n">
        <v>-0.001530699153055476</v>
      </c>
      <c r="K243" s="5" t="n">
        <v>-0.005665525549240137</v>
      </c>
      <c r="L243" s="5" t="n">
        <v>0.001771237068521765</v>
      </c>
      <c r="M243" s="5">
        <f>SUMPRODUCT(Exposures!$B$6:$K$6,B243:K243)</f>
        <v/>
      </c>
      <c r="N243" s="5">
        <f>IF(AND($A243&gt;=DATE(2020,2,1),$A243&lt;=DATE(2020,5,31)),$M243,"")</f>
        <v/>
      </c>
      <c r="O243" s="5">
        <f>IF(AND($A243&gt;=DATE(2022,1,1),$A243&lt;=DATE(2022,10,31)),$M243,"")</f>
        <v/>
      </c>
      <c r="P243" s="5">
        <f>IF(AND($A243&gt;=DATE(2018,10,1),$A243&lt;=DATE(2018,12,31)),$M243,"")</f>
        <v/>
      </c>
      <c r="Q243" s="5">
        <f>SUMPRODUCT(Exposures!$B$8:$K$8,B243:K243)</f>
        <v/>
      </c>
      <c r="R243" s="5">
        <f>SUMPRODUCT(Exposures!$B$9:$K$9,B243:K243)</f>
        <v/>
      </c>
      <c r="S243" s="5">
        <f>SUMPRODUCT(Exposures!$B$10:$K$10,B243:K243)</f>
        <v/>
      </c>
    </row>
    <row r="244">
      <c r="A244" s="1" t="n">
        <v>42811</v>
      </c>
      <c r="B244" s="5" t="n">
        <v>-0.003594418382488512</v>
      </c>
      <c r="C244" s="5" t="n">
        <v>0.0004449992490736964</v>
      </c>
      <c r="D244" s="5" t="n">
        <v>-0.001439321070079487</v>
      </c>
      <c r="E244" s="5" t="n">
        <v>-0.002301350917382292</v>
      </c>
      <c r="F244" s="5" t="n">
        <v>-0.0006061772449321214</v>
      </c>
      <c r="G244" s="5" t="n">
        <v>0.001981094210880874</v>
      </c>
      <c r="H244" s="5" t="n">
        <v>0.00221480043643602</v>
      </c>
      <c r="I244" s="5" t="n">
        <v>-0.0002806219881283047</v>
      </c>
      <c r="J244" s="5" t="n">
        <v>-0.001092511187736675</v>
      </c>
      <c r="K244" s="5" t="n">
        <v>-0.003918701844894788</v>
      </c>
      <c r="L244" s="5" t="n">
        <v>-0.003262471229727957</v>
      </c>
      <c r="M244" s="5">
        <f>SUMPRODUCT(Exposures!$B$6:$K$6,B244:K244)</f>
        <v/>
      </c>
      <c r="N244" s="5">
        <f>IF(AND($A244&gt;=DATE(2020,2,1),$A244&lt;=DATE(2020,5,31)),$M244,"")</f>
        <v/>
      </c>
      <c r="O244" s="5">
        <f>IF(AND($A244&gt;=DATE(2022,1,1),$A244&lt;=DATE(2022,10,31)),$M244,"")</f>
        <v/>
      </c>
      <c r="P244" s="5">
        <f>IF(AND($A244&gt;=DATE(2018,10,1),$A244&lt;=DATE(2018,12,31)),$M244,"")</f>
        <v/>
      </c>
      <c r="Q244" s="5">
        <f>SUMPRODUCT(Exposures!$B$8:$K$8,B244:K244)</f>
        <v/>
      </c>
      <c r="R244" s="5">
        <f>SUMPRODUCT(Exposures!$B$9:$K$9,B244:K244)</f>
        <v/>
      </c>
      <c r="S244" s="5">
        <f>SUMPRODUCT(Exposures!$B$10:$K$10,B244:K244)</f>
        <v/>
      </c>
    </row>
    <row r="245">
      <c r="A245" s="1" t="n">
        <v>42814</v>
      </c>
      <c r="B245" s="5" t="n">
        <v>-0.001655590866059255</v>
      </c>
      <c r="C245" s="5" t="n">
        <v>0.001660404770238461</v>
      </c>
      <c r="D245" s="5" t="n">
        <v>0.0008120246188923443</v>
      </c>
      <c r="E245" s="5" t="n">
        <v>-0.001639545608883128</v>
      </c>
      <c r="F245" s="5" t="n">
        <v>-0.0006813679302446956</v>
      </c>
      <c r="G245" s="5" t="n">
        <v>-0.001618145694964656</v>
      </c>
      <c r="H245" s="5" t="n">
        <v>0.001403422553174893</v>
      </c>
      <c r="I245" s="5" t="n">
        <v>-0.000818677361629957</v>
      </c>
      <c r="J245" s="5" t="n">
        <v>0.007028541150153467</v>
      </c>
      <c r="K245" s="5" t="n">
        <v>0.004409150256336702</v>
      </c>
      <c r="L245" s="5" t="n">
        <v>-0.001810893078028516</v>
      </c>
      <c r="M245" s="5">
        <f>SUMPRODUCT(Exposures!$B$6:$K$6,B245:K245)</f>
        <v/>
      </c>
      <c r="N245" s="5">
        <f>IF(AND($A245&gt;=DATE(2020,2,1),$A245&lt;=DATE(2020,5,31)),$M245,"")</f>
        <v/>
      </c>
      <c r="O245" s="5">
        <f>IF(AND($A245&gt;=DATE(2022,1,1),$A245&lt;=DATE(2022,10,31)),$M245,"")</f>
        <v/>
      </c>
      <c r="P245" s="5">
        <f>IF(AND($A245&gt;=DATE(2018,10,1),$A245&lt;=DATE(2018,12,31)),$M245,"")</f>
        <v/>
      </c>
      <c r="Q245" s="5">
        <f>SUMPRODUCT(Exposures!$B$8:$K$8,B245:K245)</f>
        <v/>
      </c>
      <c r="R245" s="5">
        <f>SUMPRODUCT(Exposures!$B$9:$K$9,B245:K245)</f>
        <v/>
      </c>
      <c r="S245" s="5">
        <f>SUMPRODUCT(Exposures!$B$10:$K$10,B245:K245)</f>
        <v/>
      </c>
    </row>
    <row r="246">
      <c r="A246" s="1" t="n">
        <v>42815</v>
      </c>
      <c r="B246" s="5" t="n">
        <v>-0.009746957261371364</v>
      </c>
      <c r="C246" s="5" t="n">
        <v>-0.00208486698153408</v>
      </c>
      <c r="D246" s="5" t="n">
        <v>0.0009324773546334691</v>
      </c>
      <c r="E246" s="5" t="n">
        <v>-0.0009719781649392934</v>
      </c>
      <c r="F246" s="5" t="n">
        <v>0.003101500178603622</v>
      </c>
      <c r="G246" s="5" t="n">
        <v>-0.01926644211321255</v>
      </c>
      <c r="H246" s="5" t="n">
        <v>-0.003951310964988611</v>
      </c>
      <c r="I246" s="5" t="n">
        <v>0.0006982970497310878</v>
      </c>
      <c r="J246" s="5" t="n">
        <v>-0.005811206263729613</v>
      </c>
      <c r="K246" s="5" t="n">
        <v>-0.002453827407830037</v>
      </c>
      <c r="L246" s="5" t="n">
        <v>-0.0005290198627173329</v>
      </c>
      <c r="M246" s="5">
        <f>SUMPRODUCT(Exposures!$B$6:$K$6,B246:K246)</f>
        <v/>
      </c>
      <c r="N246" s="5">
        <f>IF(AND($A246&gt;=DATE(2020,2,1),$A246&lt;=DATE(2020,5,31)),$M246,"")</f>
        <v/>
      </c>
      <c r="O246" s="5">
        <f>IF(AND($A246&gt;=DATE(2022,1,1),$A246&lt;=DATE(2022,10,31)),$M246,"")</f>
        <v/>
      </c>
      <c r="P246" s="5">
        <f>IF(AND($A246&gt;=DATE(2018,10,1),$A246&lt;=DATE(2018,12,31)),$M246,"")</f>
        <v/>
      </c>
      <c r="Q246" s="5">
        <f>SUMPRODUCT(Exposures!$B$8:$K$8,B246:K246)</f>
        <v/>
      </c>
      <c r="R246" s="5">
        <f>SUMPRODUCT(Exposures!$B$9:$K$9,B246:K246)</f>
        <v/>
      </c>
      <c r="S246" s="5">
        <f>SUMPRODUCT(Exposures!$B$10:$K$10,B246:K246)</f>
        <v/>
      </c>
    </row>
    <row r="247">
      <c r="A247" s="1" t="n">
        <v>42816</v>
      </c>
      <c r="B247" s="5" t="n">
        <v>-0.001637690398655941</v>
      </c>
      <c r="C247" s="5" t="n">
        <v>0.001354366185656825</v>
      </c>
      <c r="D247" s="5" t="n">
        <v>-0.0003764473948881188</v>
      </c>
      <c r="E247" s="5" t="n">
        <v>-0.0009497881181495128</v>
      </c>
      <c r="F247" s="5" t="n">
        <v>0.003426820837184799</v>
      </c>
      <c r="G247" s="5" t="n">
        <v>0.002482092597785582</v>
      </c>
      <c r="H247" s="5" t="n">
        <v>0.003282162952729865</v>
      </c>
      <c r="I247" s="5" t="n">
        <v>-0.001188241052781495</v>
      </c>
      <c r="J247" s="5" t="n">
        <v>0.002378546784404045</v>
      </c>
      <c r="K247" s="5" t="n">
        <v>-0.0008546833275790188</v>
      </c>
      <c r="L247" s="5" t="n">
        <v>-0.002051010008893614</v>
      </c>
      <c r="M247" s="5">
        <f>SUMPRODUCT(Exposures!$B$6:$K$6,B247:K247)</f>
        <v/>
      </c>
      <c r="N247" s="5">
        <f>IF(AND($A247&gt;=DATE(2020,2,1),$A247&lt;=DATE(2020,5,31)),$M247,"")</f>
        <v/>
      </c>
      <c r="O247" s="5">
        <f>IF(AND($A247&gt;=DATE(2022,1,1),$A247&lt;=DATE(2022,10,31)),$M247,"")</f>
        <v/>
      </c>
      <c r="P247" s="5">
        <f>IF(AND($A247&gt;=DATE(2018,10,1),$A247&lt;=DATE(2018,12,31)),$M247,"")</f>
        <v/>
      </c>
      <c r="Q247" s="5">
        <f>SUMPRODUCT(Exposures!$B$8:$K$8,B247:K247)</f>
        <v/>
      </c>
      <c r="R247" s="5">
        <f>SUMPRODUCT(Exposures!$B$9:$K$9,B247:K247)</f>
        <v/>
      </c>
      <c r="S247" s="5">
        <f>SUMPRODUCT(Exposures!$B$10:$K$10,B247:K247)</f>
        <v/>
      </c>
    </row>
    <row r="248">
      <c r="A248" s="1" t="n">
        <v>42817</v>
      </c>
      <c r="B248" s="5" t="n">
        <v>0.003075521001506428</v>
      </c>
      <c r="C248" s="5" t="n">
        <v>-0.0003941020851306897</v>
      </c>
      <c r="D248" s="5" t="n">
        <v>-0.0004016702266939348</v>
      </c>
      <c r="E248" s="5" t="n">
        <v>-0.0004841768262553617</v>
      </c>
      <c r="F248" s="5" t="n">
        <v>-0.001909794369147496</v>
      </c>
      <c r="G248" s="5" t="n">
        <v>0.0013990114653253</v>
      </c>
      <c r="H248" s="5" t="n">
        <v>0.0005726162050516656</v>
      </c>
      <c r="I248" s="5" t="n">
        <v>0.00166678036536981</v>
      </c>
      <c r="J248" s="5" t="n">
        <v>-0.00319427000992259</v>
      </c>
      <c r="K248" s="5" t="n">
        <v>-0.001513990953130053</v>
      </c>
      <c r="L248" s="5" t="n">
        <v>0.0001669496831962146</v>
      </c>
      <c r="M248" s="5">
        <f>SUMPRODUCT(Exposures!$B$6:$K$6,B248:K248)</f>
        <v/>
      </c>
      <c r="N248" s="5">
        <f>IF(AND($A248&gt;=DATE(2020,2,1),$A248&lt;=DATE(2020,5,31)),$M248,"")</f>
        <v/>
      </c>
      <c r="O248" s="5">
        <f>IF(AND($A248&gt;=DATE(2022,1,1),$A248&lt;=DATE(2022,10,31)),$M248,"")</f>
        <v/>
      </c>
      <c r="P248" s="5">
        <f>IF(AND($A248&gt;=DATE(2018,10,1),$A248&lt;=DATE(2018,12,31)),$M248,"")</f>
        <v/>
      </c>
      <c r="Q248" s="5">
        <f>SUMPRODUCT(Exposures!$B$8:$K$8,B248:K248)</f>
        <v/>
      </c>
      <c r="R248" s="5">
        <f>SUMPRODUCT(Exposures!$B$9:$K$9,B248:K248)</f>
        <v/>
      </c>
      <c r="S248" s="5">
        <f>SUMPRODUCT(Exposures!$B$10:$K$10,B248:K248)</f>
        <v/>
      </c>
    </row>
    <row r="249">
      <c r="A249" s="1" t="n">
        <v>42818</v>
      </c>
      <c r="B249" s="5" t="n">
        <v>-0.0003237876169597437</v>
      </c>
      <c r="C249" s="5" t="n">
        <v>-4.561804037098442e-07</v>
      </c>
      <c r="D249" s="5" t="n">
        <v>0.0003502509663508279</v>
      </c>
      <c r="E249" s="5" t="n">
        <v>0.0004776587299088309</v>
      </c>
      <c r="F249" s="5" t="n">
        <v>0.001939315590713891</v>
      </c>
      <c r="G249" s="5" t="n">
        <v>0.0008721791108544983</v>
      </c>
      <c r="H249" s="5" t="n">
        <v>0.0004066971230239793</v>
      </c>
      <c r="I249" s="5" t="n">
        <v>0.00114803589871169</v>
      </c>
      <c r="J249" s="5" t="n">
        <v>0.001868906641344662</v>
      </c>
      <c r="K249" s="5" t="n">
        <v>-0.002933044466384345</v>
      </c>
      <c r="L249" s="5" t="n">
        <v>-0.001389865245327274</v>
      </c>
      <c r="M249" s="5">
        <f>SUMPRODUCT(Exposures!$B$6:$K$6,B249:K249)</f>
        <v/>
      </c>
      <c r="N249" s="5">
        <f>IF(AND($A249&gt;=DATE(2020,2,1),$A249&lt;=DATE(2020,5,31)),$M249,"")</f>
        <v/>
      </c>
      <c r="O249" s="5">
        <f>IF(AND($A249&gt;=DATE(2022,1,1),$A249&lt;=DATE(2022,10,31)),$M249,"")</f>
        <v/>
      </c>
      <c r="P249" s="5">
        <f>IF(AND($A249&gt;=DATE(2018,10,1),$A249&lt;=DATE(2018,12,31)),$M249,"")</f>
        <v/>
      </c>
      <c r="Q249" s="5">
        <f>SUMPRODUCT(Exposures!$B$8:$K$8,B249:K249)</f>
        <v/>
      </c>
      <c r="R249" s="5">
        <f>SUMPRODUCT(Exposures!$B$9:$K$9,B249:K249)</f>
        <v/>
      </c>
      <c r="S249" s="5">
        <f>SUMPRODUCT(Exposures!$B$10:$K$10,B249:K249)</f>
        <v/>
      </c>
    </row>
    <row r="250">
      <c r="A250" s="1" t="n">
        <v>42821</v>
      </c>
      <c r="B250" s="5" t="n">
        <v>-0.0009378167855383198</v>
      </c>
      <c r="C250" s="5" t="n">
        <v>0.001267267515068954</v>
      </c>
      <c r="D250" s="5" t="n">
        <v>0.0003042096856339165</v>
      </c>
      <c r="E250" s="5" t="n">
        <v>0.0007379957197848777</v>
      </c>
      <c r="F250" s="5" t="n">
        <v>0.004191042877226186</v>
      </c>
      <c r="G250" s="5" t="n">
        <v>0.00125503235107109</v>
      </c>
      <c r="H250" s="5" t="n">
        <v>-0.001486586763482643</v>
      </c>
      <c r="I250" s="5" t="n">
        <v>0.001567036151863666</v>
      </c>
      <c r="J250" s="5" t="n">
        <v>0.004693781137470375</v>
      </c>
      <c r="K250" s="5" t="n">
        <v>-0.004951595319999186</v>
      </c>
      <c r="L250" s="5" t="n">
        <v>-0.001009228412709755</v>
      </c>
      <c r="M250" s="5">
        <f>SUMPRODUCT(Exposures!$B$6:$K$6,B250:K250)</f>
        <v/>
      </c>
      <c r="N250" s="5">
        <f>IF(AND($A250&gt;=DATE(2020,2,1),$A250&lt;=DATE(2020,5,31)),$M250,"")</f>
        <v/>
      </c>
      <c r="O250" s="5">
        <f>IF(AND($A250&gt;=DATE(2022,1,1),$A250&lt;=DATE(2022,10,31)),$M250,"")</f>
        <v/>
      </c>
      <c r="P250" s="5">
        <f>IF(AND($A250&gt;=DATE(2018,10,1),$A250&lt;=DATE(2018,12,31)),$M250,"")</f>
        <v/>
      </c>
      <c r="Q250" s="5">
        <f>SUMPRODUCT(Exposures!$B$8:$K$8,B250:K250)</f>
        <v/>
      </c>
      <c r="R250" s="5">
        <f>SUMPRODUCT(Exposures!$B$9:$K$9,B250:K250)</f>
        <v/>
      </c>
      <c r="S250" s="5">
        <f>SUMPRODUCT(Exposures!$B$10:$K$10,B250:K250)</f>
        <v/>
      </c>
    </row>
    <row r="251">
      <c r="A251" s="1" t="n">
        <v>42822</v>
      </c>
      <c r="B251" s="5" t="n">
        <v>0.003146785241189418</v>
      </c>
      <c r="C251" s="5" t="n">
        <v>0.0008775248691008837</v>
      </c>
      <c r="D251" s="5" t="n">
        <v>0.0006164591781299148</v>
      </c>
      <c r="E251" s="5" t="n">
        <v>0.002575023010480786</v>
      </c>
      <c r="F251" s="5" t="n">
        <v>0.002461323582659111</v>
      </c>
      <c r="G251" s="5" t="n">
        <v>0.007070791949618124</v>
      </c>
      <c r="H251" s="5" t="n">
        <v>0.001012727559937513</v>
      </c>
      <c r="I251" s="5" t="n">
        <v>0.0001421848210702751</v>
      </c>
      <c r="J251" s="5" t="n">
        <v>-0.0005989240500732587</v>
      </c>
      <c r="K251" s="5" t="n">
        <v>-0.003078032962230799</v>
      </c>
      <c r="L251" s="5" t="n">
        <v>0.00134355866245221</v>
      </c>
      <c r="M251" s="5">
        <f>SUMPRODUCT(Exposures!$B$6:$K$6,B251:K251)</f>
        <v/>
      </c>
      <c r="N251" s="5">
        <f>IF(AND($A251&gt;=DATE(2020,2,1),$A251&lt;=DATE(2020,5,31)),$M251,"")</f>
        <v/>
      </c>
      <c r="O251" s="5">
        <f>IF(AND($A251&gt;=DATE(2022,1,1),$A251&lt;=DATE(2022,10,31)),$M251,"")</f>
        <v/>
      </c>
      <c r="P251" s="5">
        <f>IF(AND($A251&gt;=DATE(2018,10,1),$A251&lt;=DATE(2018,12,31)),$M251,"")</f>
        <v/>
      </c>
      <c r="Q251" s="5">
        <f>SUMPRODUCT(Exposures!$B$8:$K$8,B251:K251)</f>
        <v/>
      </c>
      <c r="R251" s="5">
        <f>SUMPRODUCT(Exposures!$B$9:$K$9,B251:K251)</f>
        <v/>
      </c>
      <c r="S251" s="5">
        <f>SUMPRODUCT(Exposures!$B$10:$K$10,B251:K251)</f>
        <v/>
      </c>
    </row>
    <row r="252">
      <c r="A252" s="1" t="n">
        <v>42823</v>
      </c>
      <c r="B252" s="5" t="n">
        <v>0.000225290102738941</v>
      </c>
      <c r="C252" s="5" t="n">
        <v>-0.001138307948115131</v>
      </c>
      <c r="D252" s="5" t="n">
        <v>-0.0004493499899924367</v>
      </c>
      <c r="E252" s="5" t="n">
        <v>-0.001435551359199824</v>
      </c>
      <c r="F252" s="5" t="n">
        <v>0.002655547717287417</v>
      </c>
      <c r="G252" s="5" t="n">
        <v>0.002582160095702987</v>
      </c>
      <c r="H252" s="5" t="n">
        <v>-0.001010373553719741</v>
      </c>
      <c r="I252" s="5" t="n">
        <v>-0.0003486186356201706</v>
      </c>
      <c r="J252" s="5" t="n">
        <v>0.002066192565378091</v>
      </c>
      <c r="K252" s="5" t="n">
        <v>-0.002554275571543351</v>
      </c>
      <c r="L252" s="5" t="n">
        <v>0.001056834842135607</v>
      </c>
      <c r="M252" s="5">
        <f>SUMPRODUCT(Exposures!$B$6:$K$6,B252:K252)</f>
        <v/>
      </c>
      <c r="N252" s="5">
        <f>IF(AND($A252&gt;=DATE(2020,2,1),$A252&lt;=DATE(2020,5,31)),$M252,"")</f>
        <v/>
      </c>
      <c r="O252" s="5">
        <f>IF(AND($A252&gt;=DATE(2022,1,1),$A252&lt;=DATE(2022,10,31)),$M252,"")</f>
        <v/>
      </c>
      <c r="P252" s="5">
        <f>IF(AND($A252&gt;=DATE(2018,10,1),$A252&lt;=DATE(2018,12,31)),$M252,"")</f>
        <v/>
      </c>
      <c r="Q252" s="5">
        <f>SUMPRODUCT(Exposures!$B$8:$K$8,B252:K252)</f>
        <v/>
      </c>
      <c r="R252" s="5">
        <f>SUMPRODUCT(Exposures!$B$9:$K$9,B252:K252)</f>
        <v/>
      </c>
      <c r="S252" s="5">
        <f>SUMPRODUCT(Exposures!$B$10:$K$10,B252:K252)</f>
        <v/>
      </c>
    </row>
    <row r="253">
      <c r="A253" s="1" t="n">
        <v>42824</v>
      </c>
      <c r="B253" s="5" t="n">
        <v>0.003809995237907233</v>
      </c>
      <c r="C253" s="5" t="n">
        <v>-0.001105620912738224</v>
      </c>
      <c r="D253" s="5" t="n">
        <v>-0.002361131385150894</v>
      </c>
      <c r="E253" s="5" t="n">
        <v>0.003767727127901271</v>
      </c>
      <c r="F253" s="5" t="n">
        <v>0.001238051919887443</v>
      </c>
      <c r="G253" s="5" t="n">
        <v>0.002828623988672784</v>
      </c>
      <c r="H253" s="5" t="n">
        <v>0.001208611097148658</v>
      </c>
      <c r="I253" s="5" t="n">
        <v>0.001784289850078715</v>
      </c>
      <c r="J253" s="5" t="n">
        <v>-0.004081951678620201</v>
      </c>
      <c r="K253" s="5" t="n">
        <v>-0.004161748522729483</v>
      </c>
      <c r="L253" s="5" t="n">
        <v>0.001887116199918192</v>
      </c>
      <c r="M253" s="5">
        <f>SUMPRODUCT(Exposures!$B$6:$K$6,B253:K253)</f>
        <v/>
      </c>
      <c r="N253" s="5">
        <f>IF(AND($A253&gt;=DATE(2020,2,1),$A253&lt;=DATE(2020,5,31)),$M253,"")</f>
        <v/>
      </c>
      <c r="O253" s="5">
        <f>IF(AND($A253&gt;=DATE(2022,1,1),$A253&lt;=DATE(2022,10,31)),$M253,"")</f>
        <v/>
      </c>
      <c r="P253" s="5">
        <f>IF(AND($A253&gt;=DATE(2018,10,1),$A253&lt;=DATE(2018,12,31)),$M253,"")</f>
        <v/>
      </c>
      <c r="Q253" s="5">
        <f>SUMPRODUCT(Exposures!$B$8:$K$8,B253:K253)</f>
        <v/>
      </c>
      <c r="R253" s="5">
        <f>SUMPRODUCT(Exposures!$B$9:$K$9,B253:K253)</f>
        <v/>
      </c>
      <c r="S253" s="5">
        <f>SUMPRODUCT(Exposures!$B$10:$K$10,B253:K253)</f>
        <v/>
      </c>
    </row>
    <row r="254">
      <c r="A254" s="1" t="n">
        <v>42825</v>
      </c>
      <c r="B254" s="5" t="n">
        <v>-0.001079496245673964</v>
      </c>
      <c r="C254" s="5" t="n">
        <v>-0.002687338002471132</v>
      </c>
      <c r="D254" s="5" t="n">
        <v>0.0009091155647752403</v>
      </c>
      <c r="E254" s="5" t="n">
        <v>-0.0007249001192025876</v>
      </c>
      <c r="F254" s="5" t="n">
        <v>0.001559799102931898</v>
      </c>
      <c r="G254" s="5" t="n">
        <v>0.00127375659349621</v>
      </c>
      <c r="H254" s="5" t="n">
        <v>0.002493399616819982</v>
      </c>
      <c r="I254" s="5" t="n">
        <v>0.0003441523025351596</v>
      </c>
      <c r="J254" s="5" t="n">
        <v>1.119448732060625e-06</v>
      </c>
      <c r="K254" s="5" t="n">
        <v>-0.004195720543321754</v>
      </c>
      <c r="L254" s="5" t="n">
        <v>-0.001640685648626732</v>
      </c>
      <c r="M254" s="5">
        <f>SUMPRODUCT(Exposures!$B$6:$K$6,B254:K254)</f>
        <v/>
      </c>
      <c r="N254" s="5">
        <f>IF(AND($A254&gt;=DATE(2020,2,1),$A254&lt;=DATE(2020,5,31)),$M254,"")</f>
        <v/>
      </c>
      <c r="O254" s="5">
        <f>IF(AND($A254&gt;=DATE(2022,1,1),$A254&lt;=DATE(2022,10,31)),$M254,"")</f>
        <v/>
      </c>
      <c r="P254" s="5">
        <f>IF(AND($A254&gt;=DATE(2018,10,1),$A254&lt;=DATE(2018,12,31)),$M254,"")</f>
        <v/>
      </c>
      <c r="Q254" s="5">
        <f>SUMPRODUCT(Exposures!$B$8:$K$8,B254:K254)</f>
        <v/>
      </c>
      <c r="R254" s="5">
        <f>SUMPRODUCT(Exposures!$B$9:$K$9,B254:K254)</f>
        <v/>
      </c>
      <c r="S254" s="5">
        <f>SUMPRODUCT(Exposures!$B$10:$K$10,B254:K254)</f>
        <v/>
      </c>
    </row>
    <row r="255">
      <c r="A255" s="1" t="n">
        <v>42828</v>
      </c>
      <c r="B255" s="5" t="n">
        <v>-0.004243606452453352</v>
      </c>
      <c r="C255" s="5" t="n">
        <v>0.000940637159574985</v>
      </c>
      <c r="D255" s="5" t="n">
        <v>0.002404028262002162</v>
      </c>
      <c r="E255" s="5" t="n">
        <v>0.0003089099992917407</v>
      </c>
      <c r="F255" s="5" t="n">
        <v>0.003249948425048286</v>
      </c>
      <c r="G255" s="5" t="n">
        <v>-0.007627372049107414</v>
      </c>
      <c r="H255" s="5" t="n">
        <v>0.003251881209071228</v>
      </c>
      <c r="I255" s="5" t="n">
        <v>-0.0009149465480472489</v>
      </c>
      <c r="J255" s="5" t="n">
        <v>-0.001390824106346595</v>
      </c>
      <c r="K255" s="5" t="n">
        <v>0.0002654735978746678</v>
      </c>
      <c r="L255" s="5" t="n">
        <v>0.0003149071719258307</v>
      </c>
      <c r="M255" s="5">
        <f>SUMPRODUCT(Exposures!$B$6:$K$6,B255:K255)</f>
        <v/>
      </c>
      <c r="N255" s="5">
        <f>IF(AND($A255&gt;=DATE(2020,2,1),$A255&lt;=DATE(2020,5,31)),$M255,"")</f>
        <v/>
      </c>
      <c r="O255" s="5">
        <f>IF(AND($A255&gt;=DATE(2022,1,1),$A255&lt;=DATE(2022,10,31)),$M255,"")</f>
        <v/>
      </c>
      <c r="P255" s="5">
        <f>IF(AND($A255&gt;=DATE(2018,10,1),$A255&lt;=DATE(2018,12,31)),$M255,"")</f>
        <v/>
      </c>
      <c r="Q255" s="5">
        <f>SUMPRODUCT(Exposures!$B$8:$K$8,B255:K255)</f>
        <v/>
      </c>
      <c r="R255" s="5">
        <f>SUMPRODUCT(Exposures!$B$9:$K$9,B255:K255)</f>
        <v/>
      </c>
      <c r="S255" s="5">
        <f>SUMPRODUCT(Exposures!$B$10:$K$10,B255:K255)</f>
        <v/>
      </c>
    </row>
    <row r="256">
      <c r="A256" s="1" t="n">
        <v>42829</v>
      </c>
      <c r="B256" s="5" t="n">
        <v>-0.005178179646517151</v>
      </c>
      <c r="C256" s="5" t="n">
        <v>-0.0001530998669110043</v>
      </c>
      <c r="D256" s="5" t="n">
        <v>-0.0003412466272958832</v>
      </c>
      <c r="E256" s="5" t="n">
        <v>-0.0003384042484775228</v>
      </c>
      <c r="F256" s="5" t="n">
        <v>-0.00516627922180076</v>
      </c>
      <c r="G256" s="5" t="n">
        <v>-0.001462610930580765</v>
      </c>
      <c r="H256" s="5" t="n">
        <v>0.004156984200943742</v>
      </c>
      <c r="I256" s="5" t="n">
        <v>0.0007195363408154051</v>
      </c>
      <c r="J256" s="5" t="n">
        <v>0.0005760054763715011</v>
      </c>
      <c r="K256" s="5" t="n">
        <v>0.004080602675522774</v>
      </c>
      <c r="L256" s="5" t="n">
        <v>0.00188934727624675</v>
      </c>
      <c r="M256" s="5">
        <f>SUMPRODUCT(Exposures!$B$6:$K$6,B256:K256)</f>
        <v/>
      </c>
      <c r="N256" s="5">
        <f>IF(AND($A256&gt;=DATE(2020,2,1),$A256&lt;=DATE(2020,5,31)),$M256,"")</f>
        <v/>
      </c>
      <c r="O256" s="5">
        <f>IF(AND($A256&gt;=DATE(2022,1,1),$A256&lt;=DATE(2022,10,31)),$M256,"")</f>
        <v/>
      </c>
      <c r="P256" s="5">
        <f>IF(AND($A256&gt;=DATE(2018,10,1),$A256&lt;=DATE(2018,12,31)),$M256,"")</f>
        <v/>
      </c>
      <c r="Q256" s="5">
        <f>SUMPRODUCT(Exposures!$B$8:$K$8,B256:K256)</f>
        <v/>
      </c>
      <c r="R256" s="5">
        <f>SUMPRODUCT(Exposures!$B$9:$K$9,B256:K256)</f>
        <v/>
      </c>
      <c r="S256" s="5">
        <f>SUMPRODUCT(Exposures!$B$10:$K$10,B256:K256)</f>
        <v/>
      </c>
    </row>
    <row r="257">
      <c r="A257" s="1" t="n">
        <v>42830</v>
      </c>
      <c r="B257" s="5" t="n">
        <v>-0.004358933332927887</v>
      </c>
      <c r="C257" s="5" t="n">
        <v>-0.0004027991246937544</v>
      </c>
      <c r="D257" s="5" t="n">
        <v>5.256290221040841e-05</v>
      </c>
      <c r="E257" s="5" t="n">
        <v>0.001004938518483759</v>
      </c>
      <c r="F257" s="5" t="n">
        <v>-0.001474719624043568</v>
      </c>
      <c r="G257" s="5" t="n">
        <v>-0.009058098865639212</v>
      </c>
      <c r="H257" s="5" t="n">
        <v>-0.0009306920291205831</v>
      </c>
      <c r="I257" s="5" t="n">
        <v>-0.003455716547696411</v>
      </c>
      <c r="J257" s="5" t="n">
        <v>-0.00231634939966866</v>
      </c>
      <c r="K257" s="5" t="n">
        <v>0.005295914486183508</v>
      </c>
      <c r="L257" s="5" t="n">
        <v>0.001278694705286886</v>
      </c>
      <c r="M257" s="5">
        <f>SUMPRODUCT(Exposures!$B$6:$K$6,B257:K257)</f>
        <v/>
      </c>
      <c r="N257" s="5">
        <f>IF(AND($A257&gt;=DATE(2020,2,1),$A257&lt;=DATE(2020,5,31)),$M257,"")</f>
        <v/>
      </c>
      <c r="O257" s="5">
        <f>IF(AND($A257&gt;=DATE(2022,1,1),$A257&lt;=DATE(2022,10,31)),$M257,"")</f>
        <v/>
      </c>
      <c r="P257" s="5">
        <f>IF(AND($A257&gt;=DATE(2018,10,1),$A257&lt;=DATE(2018,12,31)),$M257,"")</f>
        <v/>
      </c>
      <c r="Q257" s="5">
        <f>SUMPRODUCT(Exposures!$B$8:$K$8,B257:K257)</f>
        <v/>
      </c>
      <c r="R257" s="5">
        <f>SUMPRODUCT(Exposures!$B$9:$K$9,B257:K257)</f>
        <v/>
      </c>
      <c r="S257" s="5">
        <f>SUMPRODUCT(Exposures!$B$10:$K$10,B257:K257)</f>
        <v/>
      </c>
    </row>
    <row r="258">
      <c r="A258" s="1" t="n">
        <v>42831</v>
      </c>
      <c r="B258" s="5" t="n">
        <v>0.002750393699970051</v>
      </c>
      <c r="C258" s="5" t="n">
        <v>0.0002453372395477093</v>
      </c>
      <c r="D258" s="5" t="n">
        <v>-0.0006104592388967555</v>
      </c>
      <c r="E258" s="5" t="n">
        <v>-0.0009944850104434421</v>
      </c>
      <c r="F258" s="5" t="n">
        <v>-0.002369330722053035</v>
      </c>
      <c r="G258" s="5" t="n">
        <v>0.004587755675404942</v>
      </c>
      <c r="H258" s="5" t="n">
        <v>-0.0009223425790428016</v>
      </c>
      <c r="I258" s="5" t="n">
        <v>0.0002939634625328975</v>
      </c>
      <c r="J258" s="5" t="n">
        <v>-0.0013326486315002</v>
      </c>
      <c r="K258" s="5" t="n">
        <v>4.459325661851626e-05</v>
      </c>
      <c r="L258" s="5" t="n">
        <v>0.0008254439367166798</v>
      </c>
      <c r="M258" s="5">
        <f>SUMPRODUCT(Exposures!$B$6:$K$6,B258:K258)</f>
        <v/>
      </c>
      <c r="N258" s="5">
        <f>IF(AND($A258&gt;=DATE(2020,2,1),$A258&lt;=DATE(2020,5,31)),$M258,"")</f>
        <v/>
      </c>
      <c r="O258" s="5">
        <f>IF(AND($A258&gt;=DATE(2022,1,1),$A258&lt;=DATE(2022,10,31)),$M258,"")</f>
        <v/>
      </c>
      <c r="P258" s="5">
        <f>IF(AND($A258&gt;=DATE(2018,10,1),$A258&lt;=DATE(2018,12,31)),$M258,"")</f>
        <v/>
      </c>
      <c r="Q258" s="5">
        <f>SUMPRODUCT(Exposures!$B$8:$K$8,B258:K258)</f>
        <v/>
      </c>
      <c r="R258" s="5">
        <f>SUMPRODUCT(Exposures!$B$9:$K$9,B258:K258)</f>
        <v/>
      </c>
      <c r="S258" s="5">
        <f>SUMPRODUCT(Exposures!$B$10:$K$10,B258:K258)</f>
        <v/>
      </c>
    </row>
    <row r="259">
      <c r="A259" s="1" t="n">
        <v>42832</v>
      </c>
      <c r="B259" s="5" t="n">
        <v>0.0002314688954651009</v>
      </c>
      <c r="C259" s="5" t="n">
        <v>8.023344733299254e-06</v>
      </c>
      <c r="D259" s="5" t="n">
        <v>-0.0001712905941411723</v>
      </c>
      <c r="E259" s="5" t="n">
        <v>0.0005233459662967537</v>
      </c>
      <c r="F259" s="5" t="n">
        <v>-0.001305068912163821</v>
      </c>
      <c r="G259" s="5" t="n">
        <v>-0.0001688891128505881</v>
      </c>
      <c r="H259" s="5" t="n">
        <v>-1.14431856915535e-05</v>
      </c>
      <c r="I259" s="5" t="n">
        <v>0.00087901591459908</v>
      </c>
      <c r="J259" s="5" t="n">
        <v>0.0009555059381066962</v>
      </c>
      <c r="K259" s="5" t="n">
        <v>0.0005181778215410816</v>
      </c>
      <c r="L259" s="5" t="n">
        <v>-0.001585522301621455</v>
      </c>
      <c r="M259" s="5">
        <f>SUMPRODUCT(Exposures!$B$6:$K$6,B259:K259)</f>
        <v/>
      </c>
      <c r="N259" s="5">
        <f>IF(AND($A259&gt;=DATE(2020,2,1),$A259&lt;=DATE(2020,5,31)),$M259,"")</f>
        <v/>
      </c>
      <c r="O259" s="5">
        <f>IF(AND($A259&gt;=DATE(2022,1,1),$A259&lt;=DATE(2022,10,31)),$M259,"")</f>
        <v/>
      </c>
      <c r="P259" s="5">
        <f>IF(AND($A259&gt;=DATE(2018,10,1),$A259&lt;=DATE(2018,12,31)),$M259,"")</f>
        <v/>
      </c>
      <c r="Q259" s="5">
        <f>SUMPRODUCT(Exposures!$B$8:$K$8,B259:K259)</f>
        <v/>
      </c>
      <c r="R259" s="5">
        <f>SUMPRODUCT(Exposures!$B$9:$K$9,B259:K259)</f>
        <v/>
      </c>
      <c r="S259" s="5">
        <f>SUMPRODUCT(Exposures!$B$10:$K$10,B259:K259)</f>
        <v/>
      </c>
    </row>
    <row r="260">
      <c r="A260" s="1" t="n">
        <v>42835</v>
      </c>
      <c r="B260" s="5" t="n">
        <v>0.0003268291292695077</v>
      </c>
      <c r="C260" s="5" t="n">
        <v>0.001282202852477748</v>
      </c>
      <c r="D260" s="5" t="n">
        <v>0.004542869528578319</v>
      </c>
      <c r="E260" s="5" t="n">
        <v>-0.001524753897291129</v>
      </c>
      <c r="F260" s="5" t="n">
        <v>0.0001551929818626056</v>
      </c>
      <c r="G260" s="5" t="n">
        <v>0.002206367023339308</v>
      </c>
      <c r="H260" s="5" t="n">
        <v>-0.003007259749804184</v>
      </c>
      <c r="I260" s="5" t="n">
        <v>-0.001503254051862747</v>
      </c>
      <c r="J260" s="5" t="n">
        <v>0.001364555251928245</v>
      </c>
      <c r="K260" s="5" t="n">
        <v>0.0008187053663350695</v>
      </c>
      <c r="L260" s="5" t="n">
        <v>0.001252526146464231</v>
      </c>
      <c r="M260" s="5">
        <f>SUMPRODUCT(Exposures!$B$6:$K$6,B260:K260)</f>
        <v/>
      </c>
      <c r="N260" s="5">
        <f>IF(AND($A260&gt;=DATE(2020,2,1),$A260&lt;=DATE(2020,5,31)),$M260,"")</f>
        <v/>
      </c>
      <c r="O260" s="5">
        <f>IF(AND($A260&gt;=DATE(2022,1,1),$A260&lt;=DATE(2022,10,31)),$M260,"")</f>
        <v/>
      </c>
      <c r="P260" s="5">
        <f>IF(AND($A260&gt;=DATE(2018,10,1),$A260&lt;=DATE(2018,12,31)),$M260,"")</f>
        <v/>
      </c>
      <c r="Q260" s="5">
        <f>SUMPRODUCT(Exposures!$B$8:$K$8,B260:K260)</f>
        <v/>
      </c>
      <c r="R260" s="5">
        <f>SUMPRODUCT(Exposures!$B$9:$K$9,B260:K260)</f>
        <v/>
      </c>
      <c r="S260" s="5">
        <f>SUMPRODUCT(Exposures!$B$10:$K$10,B260:K260)</f>
        <v/>
      </c>
    </row>
    <row r="261">
      <c r="A261" s="1" t="n">
        <v>42836</v>
      </c>
      <c r="B261" s="5" t="n">
        <v>0.001563756615960679</v>
      </c>
      <c r="C261" s="5" t="n">
        <v>-0.0006223118916260222</v>
      </c>
      <c r="D261" s="5" t="n">
        <v>-0.002695661558602919</v>
      </c>
      <c r="E261" s="5" t="n">
        <v>0.0009734019502955435</v>
      </c>
      <c r="F261" s="5" t="n">
        <v>-0.001958867720010381</v>
      </c>
      <c r="G261" s="5" t="n">
        <v>0.002724770074416853</v>
      </c>
      <c r="H261" s="5" t="n">
        <v>-0.001782272500451332</v>
      </c>
      <c r="I261" s="5" t="n">
        <v>0.000671054560018723</v>
      </c>
      <c r="J261" s="5" t="n">
        <v>-0.001227368243822622</v>
      </c>
      <c r="K261" s="5" t="n">
        <v>-0.001821887046588058</v>
      </c>
      <c r="L261" s="5" t="n">
        <v>0.0002614738471652723</v>
      </c>
      <c r="M261" s="5">
        <f>SUMPRODUCT(Exposures!$B$6:$K$6,B261:K261)</f>
        <v/>
      </c>
      <c r="N261" s="5">
        <f>IF(AND($A261&gt;=DATE(2020,2,1),$A261&lt;=DATE(2020,5,31)),$M261,"")</f>
        <v/>
      </c>
      <c r="O261" s="5">
        <f>IF(AND($A261&gt;=DATE(2022,1,1),$A261&lt;=DATE(2022,10,31)),$M261,"")</f>
        <v/>
      </c>
      <c r="P261" s="5">
        <f>IF(AND($A261&gt;=DATE(2018,10,1),$A261&lt;=DATE(2018,12,31)),$M261,"")</f>
        <v/>
      </c>
      <c r="Q261" s="5">
        <f>SUMPRODUCT(Exposures!$B$8:$K$8,B261:K261)</f>
        <v/>
      </c>
      <c r="R261" s="5">
        <f>SUMPRODUCT(Exposures!$B$9:$K$9,B261:K261)</f>
        <v/>
      </c>
      <c r="S261" s="5">
        <f>SUMPRODUCT(Exposures!$B$10:$K$10,B261:K261)</f>
        <v/>
      </c>
    </row>
    <row r="262">
      <c r="A262" s="1" t="n">
        <v>42837</v>
      </c>
      <c r="B262" s="5" t="n">
        <v>-0.005053423077721934</v>
      </c>
      <c r="C262" s="5" t="n">
        <v>0.0005035007436978434</v>
      </c>
      <c r="D262" s="5" t="n">
        <v>-0.0007706965093965041</v>
      </c>
      <c r="E262" s="5" t="n">
        <v>-0.0001339757959047341</v>
      </c>
      <c r="F262" s="5" t="n">
        <v>-0.002859482815069145</v>
      </c>
      <c r="G262" s="5" t="n">
        <v>-0.008350864923359923</v>
      </c>
      <c r="H262" s="5" t="n">
        <v>-0.002640978313456758</v>
      </c>
      <c r="I262" s="5" t="n">
        <v>-0.0007805840828041572</v>
      </c>
      <c r="J262" s="5" t="n">
        <v>0.0003252002925135966</v>
      </c>
      <c r="K262" s="5" t="n">
        <v>0.006142272794238501</v>
      </c>
      <c r="L262" s="5" t="n">
        <v>-0.0005647820569004068</v>
      </c>
      <c r="M262" s="5">
        <f>SUMPRODUCT(Exposures!$B$6:$K$6,B262:K262)</f>
        <v/>
      </c>
      <c r="N262" s="5">
        <f>IF(AND($A262&gt;=DATE(2020,2,1),$A262&lt;=DATE(2020,5,31)),$M262,"")</f>
        <v/>
      </c>
      <c r="O262" s="5">
        <f>IF(AND($A262&gt;=DATE(2022,1,1),$A262&lt;=DATE(2022,10,31)),$M262,"")</f>
        <v/>
      </c>
      <c r="P262" s="5">
        <f>IF(AND($A262&gt;=DATE(2018,10,1),$A262&lt;=DATE(2018,12,31)),$M262,"")</f>
        <v/>
      </c>
      <c r="Q262" s="5">
        <f>SUMPRODUCT(Exposures!$B$8:$K$8,B262:K262)</f>
        <v/>
      </c>
      <c r="R262" s="5">
        <f>SUMPRODUCT(Exposures!$B$9:$K$9,B262:K262)</f>
        <v/>
      </c>
      <c r="S262" s="5">
        <f>SUMPRODUCT(Exposures!$B$10:$K$10,B262:K262)</f>
        <v/>
      </c>
    </row>
    <row r="263">
      <c r="A263" s="1" t="n">
        <v>42838</v>
      </c>
      <c r="B263" s="5" t="n">
        <v>-0.002967659803012971</v>
      </c>
      <c r="C263" s="5" t="n">
        <v>0.001557747295499059</v>
      </c>
      <c r="D263" s="5" t="n">
        <v>-0.0003311692860288994</v>
      </c>
      <c r="E263" s="5" t="n">
        <v>-0.001117923274638451</v>
      </c>
      <c r="F263" s="5" t="n">
        <v>0.0007630334219322831</v>
      </c>
      <c r="G263" s="5" t="n">
        <v>-0.007525140105751231</v>
      </c>
      <c r="H263" s="5" t="n">
        <v>-0.0001447936826327448</v>
      </c>
      <c r="I263" s="5" t="n">
        <v>0.0003639720048362972</v>
      </c>
      <c r="J263" s="5" t="n">
        <v>0.002621366472916151</v>
      </c>
      <c r="K263" s="5" t="n">
        <v>-0.0003643361369303087</v>
      </c>
      <c r="L263" s="5" t="n">
        <v>-0.001780374920799853</v>
      </c>
      <c r="M263" s="5">
        <f>SUMPRODUCT(Exposures!$B$6:$K$6,B263:K263)</f>
        <v/>
      </c>
      <c r="N263" s="5">
        <f>IF(AND($A263&gt;=DATE(2020,2,1),$A263&lt;=DATE(2020,5,31)),$M263,"")</f>
        <v/>
      </c>
      <c r="O263" s="5">
        <f>IF(AND($A263&gt;=DATE(2022,1,1),$A263&lt;=DATE(2022,10,31)),$M263,"")</f>
        <v/>
      </c>
      <c r="P263" s="5">
        <f>IF(AND($A263&gt;=DATE(2018,10,1),$A263&lt;=DATE(2018,12,31)),$M263,"")</f>
        <v/>
      </c>
      <c r="Q263" s="5">
        <f>SUMPRODUCT(Exposures!$B$8:$K$8,B263:K263)</f>
        <v/>
      </c>
      <c r="R263" s="5">
        <f>SUMPRODUCT(Exposures!$B$9:$K$9,B263:K263)</f>
        <v/>
      </c>
      <c r="S263" s="5">
        <f>SUMPRODUCT(Exposures!$B$10:$K$10,B263:K263)</f>
        <v/>
      </c>
    </row>
    <row r="264">
      <c r="A264" s="1" t="n">
        <v>42842</v>
      </c>
      <c r="B264" s="5" t="n">
        <v>0.001643643866629431</v>
      </c>
      <c r="C264" s="5" t="n">
        <v>0.0004534058841863598</v>
      </c>
      <c r="D264" s="5" t="n">
        <v>9.782412789360955e-05</v>
      </c>
      <c r="E264" s="5" t="n">
        <v>0.001448988929828026</v>
      </c>
      <c r="F264" s="5" t="n">
        <v>0.0002505801182818065</v>
      </c>
      <c r="G264" s="5" t="n">
        <v>0.009531528490836962</v>
      </c>
      <c r="H264" s="5" t="n">
        <v>0.001004762651207745</v>
      </c>
      <c r="I264" s="5" t="n">
        <v>-0.000702442212724255</v>
      </c>
      <c r="J264" s="5" t="n">
        <v>-0.002720151538230446</v>
      </c>
      <c r="K264" s="5" t="n">
        <v>-0.000624382640648892</v>
      </c>
      <c r="L264" s="5" t="n">
        <v>0.0006104805837136572</v>
      </c>
      <c r="M264" s="5">
        <f>SUMPRODUCT(Exposures!$B$6:$K$6,B264:K264)</f>
        <v/>
      </c>
      <c r="N264" s="5">
        <f>IF(AND($A264&gt;=DATE(2020,2,1),$A264&lt;=DATE(2020,5,31)),$M264,"")</f>
        <v/>
      </c>
      <c r="O264" s="5">
        <f>IF(AND($A264&gt;=DATE(2022,1,1),$A264&lt;=DATE(2022,10,31)),$M264,"")</f>
        <v/>
      </c>
      <c r="P264" s="5">
        <f>IF(AND($A264&gt;=DATE(2018,10,1),$A264&lt;=DATE(2018,12,31)),$M264,"")</f>
        <v/>
      </c>
      <c r="Q264" s="5">
        <f>SUMPRODUCT(Exposures!$B$8:$K$8,B264:K264)</f>
        <v/>
      </c>
      <c r="R264" s="5">
        <f>SUMPRODUCT(Exposures!$B$9:$K$9,B264:K264)</f>
        <v/>
      </c>
      <c r="S264" s="5">
        <f>SUMPRODUCT(Exposures!$B$10:$K$10,B264:K264)</f>
        <v/>
      </c>
    </row>
    <row r="265">
      <c r="A265" s="1" t="n">
        <v>42843</v>
      </c>
      <c r="B265" s="5" t="n">
        <v>-0.001099095611182901</v>
      </c>
      <c r="C265" s="5" t="n">
        <v>5.694952368167703e-05</v>
      </c>
      <c r="D265" s="5" t="n">
        <v>0.002960840775517344</v>
      </c>
      <c r="E265" s="5" t="n">
        <v>-0.001036912689295915</v>
      </c>
      <c r="F265" s="5" t="n">
        <v>0.003398275024855239</v>
      </c>
      <c r="G265" s="5" t="n">
        <v>-0.001152164039624097</v>
      </c>
      <c r="H265" s="5" t="n">
        <v>0.001619987776964311</v>
      </c>
      <c r="I265" s="5" t="n">
        <v>0.0007311681347721103</v>
      </c>
      <c r="J265" s="5" t="n">
        <v>-0.004396630588688322</v>
      </c>
      <c r="K265" s="5" t="n">
        <v>-0.007144970411141751</v>
      </c>
      <c r="L265" s="5" t="n">
        <v>-0.001588803020054217</v>
      </c>
      <c r="M265" s="5">
        <f>SUMPRODUCT(Exposures!$B$6:$K$6,B265:K265)</f>
        <v/>
      </c>
      <c r="N265" s="5">
        <f>IF(AND($A265&gt;=DATE(2020,2,1),$A265&lt;=DATE(2020,5,31)),$M265,"")</f>
        <v/>
      </c>
      <c r="O265" s="5">
        <f>IF(AND($A265&gt;=DATE(2022,1,1),$A265&lt;=DATE(2022,10,31)),$M265,"")</f>
        <v/>
      </c>
      <c r="P265" s="5">
        <f>IF(AND($A265&gt;=DATE(2018,10,1),$A265&lt;=DATE(2018,12,31)),$M265,"")</f>
        <v/>
      </c>
      <c r="Q265" s="5">
        <f>SUMPRODUCT(Exposures!$B$8:$K$8,B265:K265)</f>
        <v/>
      </c>
      <c r="R265" s="5">
        <f>SUMPRODUCT(Exposures!$B$9:$K$9,B265:K265)</f>
        <v/>
      </c>
      <c r="S265" s="5">
        <f>SUMPRODUCT(Exposures!$B$10:$K$10,B265:K265)</f>
        <v/>
      </c>
    </row>
    <row r="266">
      <c r="A266" s="1" t="n">
        <v>42844</v>
      </c>
      <c r="B266" s="5" t="n">
        <v>0.00129553354543405</v>
      </c>
      <c r="C266" s="5" t="n">
        <v>0.001767273609415413</v>
      </c>
      <c r="D266" s="5" t="n">
        <v>8.867327412932782e-05</v>
      </c>
      <c r="E266" s="5" t="n">
        <v>-0.001233369105419356</v>
      </c>
      <c r="F266" s="5" t="n">
        <v>0.002398565095413231</v>
      </c>
      <c r="G266" s="5" t="n">
        <v>0.001533091431452165</v>
      </c>
      <c r="H266" s="5" t="n">
        <v>0.001220369161168241</v>
      </c>
      <c r="I266" s="5" t="n">
        <v>0.0004056058536149527</v>
      </c>
      <c r="J266" s="5" t="n">
        <v>-0.001962367887040396</v>
      </c>
      <c r="K266" s="5" t="n">
        <v>-0.004351935930289211</v>
      </c>
      <c r="L266" s="5" t="n">
        <v>-0.002455485894659611</v>
      </c>
      <c r="M266" s="5">
        <f>SUMPRODUCT(Exposures!$B$6:$K$6,B266:K266)</f>
        <v/>
      </c>
      <c r="N266" s="5">
        <f>IF(AND($A266&gt;=DATE(2020,2,1),$A266&lt;=DATE(2020,5,31)),$M266,"")</f>
        <v/>
      </c>
      <c r="O266" s="5">
        <f>IF(AND($A266&gt;=DATE(2022,1,1),$A266&lt;=DATE(2022,10,31)),$M266,"")</f>
        <v/>
      </c>
      <c r="P266" s="5">
        <f>IF(AND($A266&gt;=DATE(2018,10,1),$A266&lt;=DATE(2018,12,31)),$M266,"")</f>
        <v/>
      </c>
      <c r="Q266" s="5">
        <f>SUMPRODUCT(Exposures!$B$8:$K$8,B266:K266)</f>
        <v/>
      </c>
      <c r="R266" s="5">
        <f>SUMPRODUCT(Exposures!$B$9:$K$9,B266:K266)</f>
        <v/>
      </c>
      <c r="S266" s="5">
        <f>SUMPRODUCT(Exposures!$B$10:$K$10,B266:K266)</f>
        <v/>
      </c>
    </row>
    <row r="267">
      <c r="A267" s="1" t="n">
        <v>42845</v>
      </c>
      <c r="B267" s="5" t="n">
        <v>0.004220808790259905</v>
      </c>
      <c r="C267" s="5" t="n">
        <v>0.001210567723413432</v>
      </c>
      <c r="D267" s="5" t="n">
        <v>0.002036306215959962</v>
      </c>
      <c r="E267" s="5" t="n">
        <v>0.00165267004314971</v>
      </c>
      <c r="F267" s="5" t="n">
        <v>0.00399000152464543</v>
      </c>
      <c r="G267" s="5" t="n">
        <v>0.01052602403455544</v>
      </c>
      <c r="H267" s="5" t="n">
        <v>0.0009605132885298678</v>
      </c>
      <c r="I267" s="5" t="n">
        <v>-0.0002650180918685577</v>
      </c>
      <c r="J267" s="5" t="n">
        <v>4.590354555922098e-05</v>
      </c>
      <c r="K267" s="5" t="n">
        <v>-0.003807540541901013</v>
      </c>
      <c r="L267" s="5" t="n">
        <v>0.0004137970275738511</v>
      </c>
      <c r="M267" s="5">
        <f>SUMPRODUCT(Exposures!$B$6:$K$6,B267:K267)</f>
        <v/>
      </c>
      <c r="N267" s="5">
        <f>IF(AND($A267&gt;=DATE(2020,2,1),$A267&lt;=DATE(2020,5,31)),$M267,"")</f>
        <v/>
      </c>
      <c r="O267" s="5">
        <f>IF(AND($A267&gt;=DATE(2022,1,1),$A267&lt;=DATE(2022,10,31)),$M267,"")</f>
        <v/>
      </c>
      <c r="P267" s="5">
        <f>IF(AND($A267&gt;=DATE(2018,10,1),$A267&lt;=DATE(2018,12,31)),$M267,"")</f>
        <v/>
      </c>
      <c r="Q267" s="5">
        <f>SUMPRODUCT(Exposures!$B$8:$K$8,B267:K267)</f>
        <v/>
      </c>
      <c r="R267" s="5">
        <f>SUMPRODUCT(Exposures!$B$9:$K$9,B267:K267)</f>
        <v/>
      </c>
      <c r="S267" s="5">
        <f>SUMPRODUCT(Exposures!$B$10:$K$10,B267:K267)</f>
        <v/>
      </c>
    </row>
    <row r="268">
      <c r="A268" s="1" t="n">
        <v>42846</v>
      </c>
      <c r="B268" s="5" t="n">
        <v>-0.003726684251762909</v>
      </c>
      <c r="C268" s="5" t="n">
        <v>0.001591130002137564</v>
      </c>
      <c r="D268" s="5" t="n">
        <v>-0.0017313231574434</v>
      </c>
      <c r="E268" s="5" t="n">
        <v>-0.0006414063366516861</v>
      </c>
      <c r="F268" s="5" t="n">
        <v>-0.001302351655489213</v>
      </c>
      <c r="G268" s="5" t="n">
        <v>-0.001854160428724093</v>
      </c>
      <c r="H268" s="5" t="n">
        <v>0.001463615153505212</v>
      </c>
      <c r="I268" s="5" t="n">
        <v>-0.0004043645768209395</v>
      </c>
      <c r="J268" s="5" t="n">
        <v>0.001123369732450791</v>
      </c>
      <c r="K268" s="5" t="n">
        <v>0.0007558307721851256</v>
      </c>
      <c r="L268" s="5" t="n">
        <v>-0.0003974507161633109</v>
      </c>
      <c r="M268" s="5">
        <f>SUMPRODUCT(Exposures!$B$6:$K$6,B268:K268)</f>
        <v/>
      </c>
      <c r="N268" s="5">
        <f>IF(AND($A268&gt;=DATE(2020,2,1),$A268&lt;=DATE(2020,5,31)),$M268,"")</f>
        <v/>
      </c>
      <c r="O268" s="5">
        <f>IF(AND($A268&gt;=DATE(2022,1,1),$A268&lt;=DATE(2022,10,31)),$M268,"")</f>
        <v/>
      </c>
      <c r="P268" s="5">
        <f>IF(AND($A268&gt;=DATE(2018,10,1),$A268&lt;=DATE(2018,12,31)),$M268,"")</f>
        <v/>
      </c>
      <c r="Q268" s="5">
        <f>SUMPRODUCT(Exposures!$B$8:$K$8,B268:K268)</f>
        <v/>
      </c>
      <c r="R268" s="5">
        <f>SUMPRODUCT(Exposures!$B$9:$K$9,B268:K268)</f>
        <v/>
      </c>
      <c r="S268" s="5">
        <f>SUMPRODUCT(Exposures!$B$10:$K$10,B268:K268)</f>
        <v/>
      </c>
    </row>
    <row r="269">
      <c r="A269" s="1" t="n">
        <v>42849</v>
      </c>
      <c r="B269" s="5" t="n">
        <v>0.007034345916706269</v>
      </c>
      <c r="C269" s="5" t="n">
        <v>0.001281313933159327</v>
      </c>
      <c r="D269" s="5" t="n">
        <v>-0.003891847914513203</v>
      </c>
      <c r="E269" s="5" t="n">
        <v>-0.0005099019187505727</v>
      </c>
      <c r="F269" s="5" t="n">
        <v>0.0002122792843898221</v>
      </c>
      <c r="G269" s="5" t="n">
        <v>0.01254710378265178</v>
      </c>
      <c r="H269" s="5" t="n">
        <v>0.001165247653258147</v>
      </c>
      <c r="I269" s="5" t="n">
        <v>-0.0007133700108411742</v>
      </c>
      <c r="J269" s="5" t="n">
        <v>0.001528444295758605</v>
      </c>
      <c r="K269" s="5" t="n">
        <v>0.002861867871812003</v>
      </c>
      <c r="L269" s="5" t="n">
        <v>0.0008649931227753001</v>
      </c>
      <c r="M269" s="5">
        <f>SUMPRODUCT(Exposures!$B$6:$K$6,B269:K269)</f>
        <v/>
      </c>
      <c r="N269" s="5">
        <f>IF(AND($A269&gt;=DATE(2020,2,1),$A269&lt;=DATE(2020,5,31)),$M269,"")</f>
        <v/>
      </c>
      <c r="O269" s="5">
        <f>IF(AND($A269&gt;=DATE(2022,1,1),$A269&lt;=DATE(2022,10,31)),$M269,"")</f>
        <v/>
      </c>
      <c r="P269" s="5">
        <f>IF(AND($A269&gt;=DATE(2018,10,1),$A269&lt;=DATE(2018,12,31)),$M269,"")</f>
        <v/>
      </c>
      <c r="Q269" s="5">
        <f>SUMPRODUCT(Exposures!$B$8:$K$8,B269:K269)</f>
        <v/>
      </c>
      <c r="R269" s="5">
        <f>SUMPRODUCT(Exposures!$B$9:$K$9,B269:K269)</f>
        <v/>
      </c>
      <c r="S269" s="5">
        <f>SUMPRODUCT(Exposures!$B$10:$K$10,B269:K269)</f>
        <v/>
      </c>
    </row>
    <row r="270">
      <c r="A270" s="1" t="n">
        <v>42850</v>
      </c>
      <c r="B270" s="5" t="n">
        <v>0.004051315520071709</v>
      </c>
      <c r="C270" s="5" t="n">
        <v>-0.003414554707873445</v>
      </c>
      <c r="D270" s="5" t="n">
        <v>0.0008024575517501667</v>
      </c>
      <c r="E270" s="5" t="n">
        <v>-0.0003318952013418039</v>
      </c>
      <c r="F270" s="5" t="n">
        <v>0.002061155265680135</v>
      </c>
      <c r="G270" s="5" t="n">
        <v>0.007844857840078504</v>
      </c>
      <c r="H270" s="5" t="n">
        <v>-0.000462579499013105</v>
      </c>
      <c r="I270" s="5" t="n">
        <v>0.0004452015962264644</v>
      </c>
      <c r="J270" s="5" t="n">
        <v>0.003933719706614684</v>
      </c>
      <c r="K270" s="5" t="n">
        <v>0.0004528519264737204</v>
      </c>
      <c r="L270" s="5" t="n">
        <v>0.002937615193522346</v>
      </c>
      <c r="M270" s="5">
        <f>SUMPRODUCT(Exposures!$B$6:$K$6,B270:K270)</f>
        <v/>
      </c>
      <c r="N270" s="5">
        <f>IF(AND($A270&gt;=DATE(2020,2,1),$A270&lt;=DATE(2020,5,31)),$M270,"")</f>
        <v/>
      </c>
      <c r="O270" s="5">
        <f>IF(AND($A270&gt;=DATE(2022,1,1),$A270&lt;=DATE(2022,10,31)),$M270,"")</f>
        <v/>
      </c>
      <c r="P270" s="5">
        <f>IF(AND($A270&gt;=DATE(2018,10,1),$A270&lt;=DATE(2018,12,31)),$M270,"")</f>
        <v/>
      </c>
      <c r="Q270" s="5">
        <f>SUMPRODUCT(Exposures!$B$8:$K$8,B270:K270)</f>
        <v/>
      </c>
      <c r="R270" s="5">
        <f>SUMPRODUCT(Exposures!$B$9:$K$9,B270:K270)</f>
        <v/>
      </c>
      <c r="S270" s="5">
        <f>SUMPRODUCT(Exposures!$B$10:$K$10,B270:K270)</f>
        <v/>
      </c>
    </row>
    <row r="271">
      <c r="A271" s="1" t="n">
        <v>42851</v>
      </c>
      <c r="B271" s="5" t="n">
        <v>0.000656502472952221</v>
      </c>
      <c r="C271" s="5" t="n">
        <v>-0.0005175541216569596</v>
      </c>
      <c r="D271" s="5" t="n">
        <v>-0.001408477095102519</v>
      </c>
      <c r="E271" s="5" t="n">
        <v>-0.002001010945791776</v>
      </c>
      <c r="F271" s="5" t="n">
        <v>-0.004420577841765817</v>
      </c>
      <c r="G271" s="5" t="n">
        <v>0.000627662086603641</v>
      </c>
      <c r="H271" s="5" t="n">
        <v>-0.0006210606410122765</v>
      </c>
      <c r="I271" s="5" t="n">
        <v>0.0007411525629176586</v>
      </c>
      <c r="J271" s="5" t="n">
        <v>0.0007211193459646628</v>
      </c>
      <c r="K271" s="5" t="n">
        <v>0.001670546503470546</v>
      </c>
      <c r="L271" s="5" t="n">
        <v>0.002226207331447797</v>
      </c>
      <c r="M271" s="5">
        <f>SUMPRODUCT(Exposures!$B$6:$K$6,B271:K271)</f>
        <v/>
      </c>
      <c r="N271" s="5">
        <f>IF(AND($A271&gt;=DATE(2020,2,1),$A271&lt;=DATE(2020,5,31)),$M271,"")</f>
        <v/>
      </c>
      <c r="O271" s="5">
        <f>IF(AND($A271&gt;=DATE(2022,1,1),$A271&lt;=DATE(2022,10,31)),$M271,"")</f>
        <v/>
      </c>
      <c r="P271" s="5">
        <f>IF(AND($A271&gt;=DATE(2018,10,1),$A271&lt;=DATE(2018,12,31)),$M271,"")</f>
        <v/>
      </c>
      <c r="Q271" s="5">
        <f>SUMPRODUCT(Exposures!$B$8:$K$8,B271:K271)</f>
        <v/>
      </c>
      <c r="R271" s="5">
        <f>SUMPRODUCT(Exposures!$B$9:$K$9,B271:K271)</f>
        <v/>
      </c>
      <c r="S271" s="5">
        <f>SUMPRODUCT(Exposures!$B$10:$K$10,B271:K271)</f>
        <v/>
      </c>
    </row>
    <row r="272">
      <c r="A272" s="1" t="n">
        <v>42852</v>
      </c>
      <c r="B272" s="5" t="n">
        <v>-0.001840758200901106</v>
      </c>
      <c r="C272" s="5" t="n">
        <v>0.00118824163283334</v>
      </c>
      <c r="D272" s="5" t="n">
        <v>2.021565802335916e-05</v>
      </c>
      <c r="E272" s="5" t="n">
        <v>-0.0002747129191088088</v>
      </c>
      <c r="F272" s="5" t="n">
        <v>5.166771625933638e-05</v>
      </c>
      <c r="G272" s="5" t="n">
        <v>0.0004803161830532302</v>
      </c>
      <c r="H272" s="5" t="n">
        <v>0.001115925392465108</v>
      </c>
      <c r="I272" s="5" t="n">
        <v>0.0002505125646820417</v>
      </c>
      <c r="J272" s="5" t="n">
        <v>-1.842702633420457e-05</v>
      </c>
      <c r="K272" s="5" t="n">
        <v>0.000153837031806725</v>
      </c>
      <c r="L272" s="5" t="n">
        <v>-0.002433015965296777</v>
      </c>
      <c r="M272" s="5">
        <f>SUMPRODUCT(Exposures!$B$6:$K$6,B272:K272)</f>
        <v/>
      </c>
      <c r="N272" s="5">
        <f>IF(AND($A272&gt;=DATE(2020,2,1),$A272&lt;=DATE(2020,5,31)),$M272,"")</f>
        <v/>
      </c>
      <c r="O272" s="5">
        <f>IF(AND($A272&gt;=DATE(2022,1,1),$A272&lt;=DATE(2022,10,31)),$M272,"")</f>
        <v/>
      </c>
      <c r="P272" s="5">
        <f>IF(AND($A272&gt;=DATE(2018,10,1),$A272&lt;=DATE(2018,12,31)),$M272,"")</f>
        <v/>
      </c>
      <c r="Q272" s="5">
        <f>SUMPRODUCT(Exposures!$B$8:$K$8,B272:K272)</f>
        <v/>
      </c>
      <c r="R272" s="5">
        <f>SUMPRODUCT(Exposures!$B$9:$K$9,B272:K272)</f>
        <v/>
      </c>
      <c r="S272" s="5">
        <f>SUMPRODUCT(Exposures!$B$10:$K$10,B272:K272)</f>
        <v/>
      </c>
    </row>
    <row r="273">
      <c r="A273" s="1" t="n">
        <v>42853</v>
      </c>
      <c r="B273" s="5" t="n">
        <v>-0.003580983447945642</v>
      </c>
      <c r="C273" s="5" t="n">
        <v>0.0004180260525598173</v>
      </c>
      <c r="D273" s="5" t="n">
        <v>0.00154094364090173</v>
      </c>
      <c r="E273" s="5" t="n">
        <v>-0.003484096774390665</v>
      </c>
      <c r="F273" s="5" t="n">
        <v>-0.000542251798562782</v>
      </c>
      <c r="G273" s="5" t="n">
        <v>-0.002745477560462128</v>
      </c>
      <c r="H273" s="5" t="n">
        <v>-0.0003012628822045507</v>
      </c>
      <c r="I273" s="5" t="n">
        <v>-0.002896254119965164</v>
      </c>
      <c r="J273" s="5" t="n">
        <v>0.002494713317505775</v>
      </c>
      <c r="K273" s="5" t="n">
        <v>0.004760149730513783</v>
      </c>
      <c r="L273" s="5" t="n">
        <v>0.001401350696441928</v>
      </c>
      <c r="M273" s="5">
        <f>SUMPRODUCT(Exposures!$B$6:$K$6,B273:K273)</f>
        <v/>
      </c>
      <c r="N273" s="5">
        <f>IF(AND($A273&gt;=DATE(2020,2,1),$A273&lt;=DATE(2020,5,31)),$M273,"")</f>
        <v/>
      </c>
      <c r="O273" s="5">
        <f>IF(AND($A273&gt;=DATE(2022,1,1),$A273&lt;=DATE(2022,10,31)),$M273,"")</f>
        <v/>
      </c>
      <c r="P273" s="5">
        <f>IF(AND($A273&gt;=DATE(2018,10,1),$A273&lt;=DATE(2018,12,31)),$M273,"")</f>
        <v/>
      </c>
      <c r="Q273" s="5">
        <f>SUMPRODUCT(Exposures!$B$8:$K$8,B273:K273)</f>
        <v/>
      </c>
      <c r="R273" s="5">
        <f>SUMPRODUCT(Exposures!$B$9:$K$9,B273:K273)</f>
        <v/>
      </c>
      <c r="S273" s="5">
        <f>SUMPRODUCT(Exposures!$B$10:$K$10,B273:K273)</f>
        <v/>
      </c>
    </row>
    <row r="274">
      <c r="A274" s="1" t="n">
        <v>42856</v>
      </c>
      <c r="B274" s="5" t="n">
        <v>0.003318267400853811</v>
      </c>
      <c r="C274" s="5" t="n">
        <v>-0.001308409089925106</v>
      </c>
      <c r="D274" s="5" t="n">
        <v>0.001726352805323208</v>
      </c>
      <c r="E274" s="5" t="n">
        <v>-0.0005006540958845242</v>
      </c>
      <c r="F274" s="5" t="n">
        <v>0.00500046661547127</v>
      </c>
      <c r="G274" s="5" t="n">
        <v>0.001711462712415055</v>
      </c>
      <c r="H274" s="5" t="n">
        <v>0.003319175323586394</v>
      </c>
      <c r="I274" s="5" t="n">
        <v>-1.464200610590781e-05</v>
      </c>
      <c r="J274" s="5" t="n">
        <v>-0.0007979795587919339</v>
      </c>
      <c r="K274" s="5" t="n">
        <v>-0.002904237995070164</v>
      </c>
      <c r="L274" s="5" t="n">
        <v>0.0006663956130301393</v>
      </c>
      <c r="M274" s="5">
        <f>SUMPRODUCT(Exposures!$B$6:$K$6,B274:K274)</f>
        <v/>
      </c>
      <c r="N274" s="5">
        <f>IF(AND($A274&gt;=DATE(2020,2,1),$A274&lt;=DATE(2020,5,31)),$M274,"")</f>
        <v/>
      </c>
      <c r="O274" s="5">
        <f>IF(AND($A274&gt;=DATE(2022,1,1),$A274&lt;=DATE(2022,10,31)),$M274,"")</f>
        <v/>
      </c>
      <c r="P274" s="5">
        <f>IF(AND($A274&gt;=DATE(2018,10,1),$A274&lt;=DATE(2018,12,31)),$M274,"")</f>
        <v/>
      </c>
      <c r="Q274" s="5">
        <f>SUMPRODUCT(Exposures!$B$8:$K$8,B274:K274)</f>
        <v/>
      </c>
      <c r="R274" s="5">
        <f>SUMPRODUCT(Exposures!$B$9:$K$9,B274:K274)</f>
        <v/>
      </c>
      <c r="S274" s="5">
        <f>SUMPRODUCT(Exposures!$B$10:$K$10,B274:K274)</f>
        <v/>
      </c>
    </row>
    <row r="275">
      <c r="A275" s="1" t="n">
        <v>42857</v>
      </c>
      <c r="B275" s="5" t="n">
        <v>0.001902595887901786</v>
      </c>
      <c r="C275" s="5" t="n">
        <v>0.004850907052447118</v>
      </c>
      <c r="D275" s="5" t="n">
        <v>-0.0001882093812885715</v>
      </c>
      <c r="E275" s="5" t="n">
        <v>-0.004432287541100172</v>
      </c>
      <c r="F275" s="5" t="n">
        <v>-0.007048671391824955</v>
      </c>
      <c r="G275" s="5" t="n">
        <v>-0.002571283897173874</v>
      </c>
      <c r="H275" s="5" t="n">
        <v>-0.004167224977537135</v>
      </c>
      <c r="I275" s="5" t="n">
        <v>0.0002517273817409764</v>
      </c>
      <c r="J275" s="5" t="n">
        <v>-0.008411379098856588</v>
      </c>
      <c r="K275" s="5" t="n">
        <v>0.00439023654909392</v>
      </c>
      <c r="L275" s="5" t="n">
        <v>0.002206896589877125</v>
      </c>
      <c r="M275" s="5">
        <f>SUMPRODUCT(Exposures!$B$6:$K$6,B275:K275)</f>
        <v/>
      </c>
      <c r="N275" s="5">
        <f>IF(AND($A275&gt;=DATE(2020,2,1),$A275&lt;=DATE(2020,5,31)),$M275,"")</f>
        <v/>
      </c>
      <c r="O275" s="5">
        <f>IF(AND($A275&gt;=DATE(2022,1,1),$A275&lt;=DATE(2022,10,31)),$M275,"")</f>
        <v/>
      </c>
      <c r="P275" s="5">
        <f>IF(AND($A275&gt;=DATE(2018,10,1),$A275&lt;=DATE(2018,12,31)),$M275,"")</f>
        <v/>
      </c>
      <c r="Q275" s="5">
        <f>SUMPRODUCT(Exposures!$B$8:$K$8,B275:K275)</f>
        <v/>
      </c>
      <c r="R275" s="5">
        <f>SUMPRODUCT(Exposures!$B$9:$K$9,B275:K275)</f>
        <v/>
      </c>
      <c r="S275" s="5">
        <f>SUMPRODUCT(Exposures!$B$10:$K$10,B275:K275)</f>
        <v/>
      </c>
    </row>
    <row r="276">
      <c r="A276" s="1" t="n">
        <v>42858</v>
      </c>
      <c r="B276" s="5" t="n">
        <v>0.002529811861936846</v>
      </c>
      <c r="C276" s="5" t="n">
        <v>0.002177508643047815</v>
      </c>
      <c r="D276" s="5" t="n">
        <v>0.001231497709295732</v>
      </c>
      <c r="E276" s="5" t="n">
        <v>-0.001317134997767524</v>
      </c>
      <c r="F276" s="5" t="n">
        <v>0.000113689528910071</v>
      </c>
      <c r="G276" s="5" t="n">
        <v>-0.006176434398872824</v>
      </c>
      <c r="H276" s="5" t="n">
        <v>-0.000537728330969379</v>
      </c>
      <c r="I276" s="5" t="n">
        <v>-0.0001552181509539583</v>
      </c>
      <c r="J276" s="5" t="n">
        <v>-0.005704847361403225</v>
      </c>
      <c r="K276" s="5" t="n">
        <v>0.0001523206367111258</v>
      </c>
      <c r="L276" s="5" t="n">
        <v>5.018451173819963e-05</v>
      </c>
      <c r="M276" s="5">
        <f>SUMPRODUCT(Exposures!$B$6:$K$6,B276:K276)</f>
        <v/>
      </c>
      <c r="N276" s="5">
        <f>IF(AND($A276&gt;=DATE(2020,2,1),$A276&lt;=DATE(2020,5,31)),$M276,"")</f>
        <v/>
      </c>
      <c r="O276" s="5">
        <f>IF(AND($A276&gt;=DATE(2022,1,1),$A276&lt;=DATE(2022,10,31)),$M276,"")</f>
        <v/>
      </c>
      <c r="P276" s="5">
        <f>IF(AND($A276&gt;=DATE(2018,10,1),$A276&lt;=DATE(2018,12,31)),$M276,"")</f>
        <v/>
      </c>
      <c r="Q276" s="5">
        <f>SUMPRODUCT(Exposures!$B$8:$K$8,B276:K276)</f>
        <v/>
      </c>
      <c r="R276" s="5">
        <f>SUMPRODUCT(Exposures!$B$9:$K$9,B276:K276)</f>
        <v/>
      </c>
      <c r="S276" s="5">
        <f>SUMPRODUCT(Exposures!$B$10:$K$10,B276:K276)</f>
        <v/>
      </c>
    </row>
    <row r="277">
      <c r="A277" s="1" t="n">
        <v>42859</v>
      </c>
      <c r="B277" s="5" t="n">
        <v>0.001822814913668997</v>
      </c>
      <c r="C277" s="5" t="n">
        <v>0.002419769641487222</v>
      </c>
      <c r="D277" s="5" t="n">
        <v>-0.004048624461819419</v>
      </c>
      <c r="E277" s="5" t="n">
        <v>0.0001280835768308536</v>
      </c>
      <c r="F277" s="5" t="n">
        <v>0.0009916460748910867</v>
      </c>
      <c r="G277" s="5" t="n">
        <v>0.001236303761252282</v>
      </c>
      <c r="H277" s="5" t="n">
        <v>-0.00310884929388896</v>
      </c>
      <c r="I277" s="5" t="n">
        <v>-0.002931489090042259</v>
      </c>
      <c r="J277" s="5" t="n">
        <v>-0.003031094100151418</v>
      </c>
      <c r="K277" s="5" t="n">
        <v>0.0009002165116558711</v>
      </c>
      <c r="L277" s="5" t="n">
        <v>-0.001852200223574732</v>
      </c>
      <c r="M277" s="5">
        <f>SUMPRODUCT(Exposures!$B$6:$K$6,B277:K277)</f>
        <v/>
      </c>
      <c r="N277" s="5">
        <f>IF(AND($A277&gt;=DATE(2020,2,1),$A277&lt;=DATE(2020,5,31)),$M277,"")</f>
        <v/>
      </c>
      <c r="O277" s="5">
        <f>IF(AND($A277&gt;=DATE(2022,1,1),$A277&lt;=DATE(2022,10,31)),$M277,"")</f>
        <v/>
      </c>
      <c r="P277" s="5">
        <f>IF(AND($A277&gt;=DATE(2018,10,1),$A277&lt;=DATE(2018,12,31)),$M277,"")</f>
        <v/>
      </c>
      <c r="Q277" s="5">
        <f>SUMPRODUCT(Exposures!$B$8:$K$8,B277:K277)</f>
        <v/>
      </c>
      <c r="R277" s="5">
        <f>SUMPRODUCT(Exposures!$B$9:$K$9,B277:K277)</f>
        <v/>
      </c>
      <c r="S277" s="5">
        <f>SUMPRODUCT(Exposures!$B$10:$K$10,B277:K277)</f>
        <v/>
      </c>
    </row>
    <row r="278">
      <c r="A278" s="1" t="n">
        <v>42860</v>
      </c>
      <c r="B278" s="5" t="n">
        <v>-0.003081995288957155</v>
      </c>
      <c r="C278" s="5" t="n">
        <v>-0.001350584730393863</v>
      </c>
      <c r="D278" s="5" t="n">
        <v>0.003834820138392287</v>
      </c>
      <c r="E278" s="5" t="n">
        <v>0.0007840059302133924</v>
      </c>
      <c r="F278" s="5" t="n">
        <v>0.003795566470382625</v>
      </c>
      <c r="G278" s="5" t="n">
        <v>0.005446637312945993</v>
      </c>
      <c r="H278" s="5" t="n">
        <v>0.002251125874446413</v>
      </c>
      <c r="I278" s="5" t="n">
        <v>-0.001523078316664659</v>
      </c>
      <c r="J278" s="5" t="n">
        <v>0.005234892216129961</v>
      </c>
      <c r="K278" s="5" t="n">
        <v>-0.001860256480158096</v>
      </c>
      <c r="L278" s="5" t="n">
        <v>-0.0007967099653975316</v>
      </c>
      <c r="M278" s="5">
        <f>SUMPRODUCT(Exposures!$B$6:$K$6,B278:K278)</f>
        <v/>
      </c>
      <c r="N278" s="5">
        <f>IF(AND($A278&gt;=DATE(2020,2,1),$A278&lt;=DATE(2020,5,31)),$M278,"")</f>
        <v/>
      </c>
      <c r="O278" s="5">
        <f>IF(AND($A278&gt;=DATE(2022,1,1),$A278&lt;=DATE(2022,10,31)),$M278,"")</f>
        <v/>
      </c>
      <c r="P278" s="5">
        <f>IF(AND($A278&gt;=DATE(2018,10,1),$A278&lt;=DATE(2018,12,31)),$M278,"")</f>
        <v/>
      </c>
      <c r="Q278" s="5">
        <f>SUMPRODUCT(Exposures!$B$8:$K$8,B278:K278)</f>
        <v/>
      </c>
      <c r="R278" s="5">
        <f>SUMPRODUCT(Exposures!$B$9:$K$9,B278:K278)</f>
        <v/>
      </c>
      <c r="S278" s="5">
        <f>SUMPRODUCT(Exposures!$B$10:$K$10,B278:K278)</f>
        <v/>
      </c>
    </row>
    <row r="279">
      <c r="A279" s="1" t="n">
        <v>42863</v>
      </c>
      <c r="B279" s="5" t="n">
        <v>-0.002751189677532019</v>
      </c>
      <c r="C279" s="5" t="n">
        <v>0.001834597709222767</v>
      </c>
      <c r="D279" s="5" t="n">
        <v>0.0009509684216906887</v>
      </c>
      <c r="E279" s="5" t="n">
        <v>0.0004784416864923345</v>
      </c>
      <c r="F279" s="5" t="n">
        <v>0.00353864681789906</v>
      </c>
      <c r="G279" s="5" t="n">
        <v>-0.003756157639816442</v>
      </c>
      <c r="H279" s="5" t="n">
        <v>0.002546935288545459</v>
      </c>
      <c r="I279" s="5" t="n">
        <v>0.002899310562114232</v>
      </c>
      <c r="J279" s="5" t="n">
        <v>-0.002424505904141931</v>
      </c>
      <c r="K279" s="5" t="n">
        <v>-0.005387975621030004</v>
      </c>
      <c r="L279" s="5" t="n">
        <v>0.0006769849329524573</v>
      </c>
      <c r="M279" s="5">
        <f>SUMPRODUCT(Exposures!$B$6:$K$6,B279:K279)</f>
        <v/>
      </c>
      <c r="N279" s="5">
        <f>IF(AND($A279&gt;=DATE(2020,2,1),$A279&lt;=DATE(2020,5,31)),$M279,"")</f>
        <v/>
      </c>
      <c r="O279" s="5">
        <f>IF(AND($A279&gt;=DATE(2022,1,1),$A279&lt;=DATE(2022,10,31)),$M279,"")</f>
        <v/>
      </c>
      <c r="P279" s="5">
        <f>IF(AND($A279&gt;=DATE(2018,10,1),$A279&lt;=DATE(2018,12,31)),$M279,"")</f>
        <v/>
      </c>
      <c r="Q279" s="5">
        <f>SUMPRODUCT(Exposures!$B$8:$K$8,B279:K279)</f>
        <v/>
      </c>
      <c r="R279" s="5">
        <f>SUMPRODUCT(Exposures!$B$9:$K$9,B279:K279)</f>
        <v/>
      </c>
      <c r="S279" s="5">
        <f>SUMPRODUCT(Exposures!$B$10:$K$10,B279:K279)</f>
        <v/>
      </c>
    </row>
    <row r="280">
      <c r="A280" s="1" t="n">
        <v>42864</v>
      </c>
      <c r="B280" s="5" t="n">
        <v>0.00250327280363343</v>
      </c>
      <c r="C280" s="5" t="n">
        <v>0.002489325753750177</v>
      </c>
      <c r="D280" s="5" t="n">
        <v>-0.0006167813264125715</v>
      </c>
      <c r="E280" s="5" t="n">
        <v>-0.0004443566300431993</v>
      </c>
      <c r="F280" s="5" t="n">
        <v>0.0120692670147367</v>
      </c>
      <c r="G280" s="5" t="n">
        <v>0.0005800587607682255</v>
      </c>
      <c r="H280" s="5" t="n">
        <v>0.001731943060635021</v>
      </c>
      <c r="I280" s="5" t="n">
        <v>0.001806838312664897</v>
      </c>
      <c r="J280" s="5" t="n">
        <v>0.001261362247683342</v>
      </c>
      <c r="K280" s="5" t="n">
        <v>-0.01031809716497078</v>
      </c>
      <c r="L280" s="5" t="n">
        <v>-0.005834250728624903</v>
      </c>
      <c r="M280" s="5">
        <f>SUMPRODUCT(Exposures!$B$6:$K$6,B280:K280)</f>
        <v/>
      </c>
      <c r="N280" s="5">
        <f>IF(AND($A280&gt;=DATE(2020,2,1),$A280&lt;=DATE(2020,5,31)),$M280,"")</f>
        <v/>
      </c>
      <c r="O280" s="5">
        <f>IF(AND($A280&gt;=DATE(2022,1,1),$A280&lt;=DATE(2022,10,31)),$M280,"")</f>
        <v/>
      </c>
      <c r="P280" s="5">
        <f>IF(AND($A280&gt;=DATE(2018,10,1),$A280&lt;=DATE(2018,12,31)),$M280,"")</f>
        <v/>
      </c>
      <c r="Q280" s="5">
        <f>SUMPRODUCT(Exposures!$B$8:$K$8,B280:K280)</f>
        <v/>
      </c>
      <c r="R280" s="5">
        <f>SUMPRODUCT(Exposures!$B$9:$K$9,B280:K280)</f>
        <v/>
      </c>
      <c r="S280" s="5">
        <f>SUMPRODUCT(Exposures!$B$10:$K$10,B280:K280)</f>
        <v/>
      </c>
    </row>
    <row r="281">
      <c r="A281" s="1" t="n">
        <v>42865</v>
      </c>
      <c r="B281" s="5" t="n">
        <v>-0.001925005271336254</v>
      </c>
      <c r="C281" s="5" t="n">
        <v>-0.00440355825122291</v>
      </c>
      <c r="D281" s="5" t="n">
        <v>-0.0001930492663336752</v>
      </c>
      <c r="E281" s="5" t="n">
        <v>0.001338770905528604</v>
      </c>
      <c r="F281" s="5" t="n">
        <v>0.00172530524158102</v>
      </c>
      <c r="G281" s="5" t="n">
        <v>0.005420101518332695</v>
      </c>
      <c r="H281" s="5" t="n">
        <v>0.001492206307324173</v>
      </c>
      <c r="I281" s="5" t="n">
        <v>0.001367465880327855</v>
      </c>
      <c r="J281" s="5" t="n">
        <v>0.005040812842835494</v>
      </c>
      <c r="K281" s="5" t="n">
        <v>-0.004316362523091362</v>
      </c>
      <c r="L281" s="5" t="n">
        <v>0.002735903588828998</v>
      </c>
      <c r="M281" s="5">
        <f>SUMPRODUCT(Exposures!$B$6:$K$6,B281:K281)</f>
        <v/>
      </c>
      <c r="N281" s="5">
        <f>IF(AND($A281&gt;=DATE(2020,2,1),$A281&lt;=DATE(2020,5,31)),$M281,"")</f>
        <v/>
      </c>
      <c r="O281" s="5">
        <f>IF(AND($A281&gt;=DATE(2022,1,1),$A281&lt;=DATE(2022,10,31)),$M281,"")</f>
        <v/>
      </c>
      <c r="P281" s="5">
        <f>IF(AND($A281&gt;=DATE(2018,10,1),$A281&lt;=DATE(2018,12,31)),$M281,"")</f>
        <v/>
      </c>
      <c r="Q281" s="5">
        <f>SUMPRODUCT(Exposures!$B$8:$K$8,B281:K281)</f>
        <v/>
      </c>
      <c r="R281" s="5">
        <f>SUMPRODUCT(Exposures!$B$9:$K$9,B281:K281)</f>
        <v/>
      </c>
      <c r="S281" s="5">
        <f>SUMPRODUCT(Exposures!$B$10:$K$10,B281:K281)</f>
        <v/>
      </c>
    </row>
    <row r="282">
      <c r="A282" s="1" t="n">
        <v>42866</v>
      </c>
      <c r="B282" s="5" t="n">
        <v>-0.005165748579190851</v>
      </c>
      <c r="C282" s="5" t="n">
        <v>-0.0008487214548619465</v>
      </c>
      <c r="D282" s="5" t="n">
        <v>0.0002159395368501758</v>
      </c>
      <c r="E282" s="5" t="n">
        <v>-6.629379865157427e-05</v>
      </c>
      <c r="F282" s="5" t="n">
        <v>0.002788708939992182</v>
      </c>
      <c r="G282" s="5" t="n">
        <v>-0.005269157321661216</v>
      </c>
      <c r="H282" s="5" t="n">
        <v>0.002475441652144928</v>
      </c>
      <c r="I282" s="5" t="n">
        <v>-0.0007941784317412378</v>
      </c>
      <c r="J282" s="5" t="n">
        <v>0.002863937411842608</v>
      </c>
      <c r="K282" s="5" t="n">
        <v>0.002032774196474173</v>
      </c>
      <c r="L282" s="5" t="n">
        <v>0.0004175086456147434</v>
      </c>
      <c r="M282" s="5">
        <f>SUMPRODUCT(Exposures!$B$6:$K$6,B282:K282)</f>
        <v/>
      </c>
      <c r="N282" s="5">
        <f>IF(AND($A282&gt;=DATE(2020,2,1),$A282&lt;=DATE(2020,5,31)),$M282,"")</f>
        <v/>
      </c>
      <c r="O282" s="5">
        <f>IF(AND($A282&gt;=DATE(2022,1,1),$A282&lt;=DATE(2022,10,31)),$M282,"")</f>
        <v/>
      </c>
      <c r="P282" s="5">
        <f>IF(AND($A282&gt;=DATE(2018,10,1),$A282&lt;=DATE(2018,12,31)),$M282,"")</f>
        <v/>
      </c>
      <c r="Q282" s="5">
        <f>SUMPRODUCT(Exposures!$B$8:$K$8,B282:K282)</f>
        <v/>
      </c>
      <c r="R282" s="5">
        <f>SUMPRODUCT(Exposures!$B$9:$K$9,B282:K282)</f>
        <v/>
      </c>
      <c r="S282" s="5">
        <f>SUMPRODUCT(Exposures!$B$10:$K$10,B282:K282)</f>
        <v/>
      </c>
    </row>
    <row r="283">
      <c r="A283" s="1" t="n">
        <v>42867</v>
      </c>
      <c r="B283" s="5" t="n">
        <v>-0.0007092505334455735</v>
      </c>
      <c r="C283" s="5" t="n">
        <v>-0.001966334286269845</v>
      </c>
      <c r="D283" s="5" t="n">
        <v>-0.0007939539383071658</v>
      </c>
      <c r="E283" s="5" t="n">
        <v>-0.0001401287438487689</v>
      </c>
      <c r="F283" s="5" t="n">
        <v>8.114471476770575e-05</v>
      </c>
      <c r="G283" s="5" t="n">
        <v>-0.002317991857361739</v>
      </c>
      <c r="H283" s="5" t="n">
        <v>0.002111729657870048</v>
      </c>
      <c r="I283" s="5" t="n">
        <v>-0.0007955989486247999</v>
      </c>
      <c r="J283" s="5" t="n">
        <v>0.001678277883268622</v>
      </c>
      <c r="K283" s="5" t="n">
        <v>0.002491892266823848</v>
      </c>
      <c r="L283" s="5" t="n">
        <v>0.0001611962491725379</v>
      </c>
      <c r="M283" s="5">
        <f>SUMPRODUCT(Exposures!$B$6:$K$6,B283:K283)</f>
        <v/>
      </c>
      <c r="N283" s="5">
        <f>IF(AND($A283&gt;=DATE(2020,2,1),$A283&lt;=DATE(2020,5,31)),$M283,"")</f>
        <v/>
      </c>
      <c r="O283" s="5">
        <f>IF(AND($A283&gt;=DATE(2022,1,1),$A283&lt;=DATE(2022,10,31)),$M283,"")</f>
        <v/>
      </c>
      <c r="P283" s="5">
        <f>IF(AND($A283&gt;=DATE(2018,10,1),$A283&lt;=DATE(2018,12,31)),$M283,"")</f>
        <v/>
      </c>
      <c r="Q283" s="5">
        <f>SUMPRODUCT(Exposures!$B$8:$K$8,B283:K283)</f>
        <v/>
      </c>
      <c r="R283" s="5">
        <f>SUMPRODUCT(Exposures!$B$9:$K$9,B283:K283)</f>
        <v/>
      </c>
      <c r="S283" s="5">
        <f>SUMPRODUCT(Exposures!$B$10:$K$10,B283:K283)</f>
        <v/>
      </c>
    </row>
    <row r="284">
      <c r="A284" s="1" t="n">
        <v>42870</v>
      </c>
      <c r="B284" s="5" t="n">
        <v>0.005633976855476015</v>
      </c>
      <c r="C284" s="5" t="n">
        <v>0.002052166887079901</v>
      </c>
      <c r="D284" s="5" t="n">
        <v>0.001035404565244021</v>
      </c>
      <c r="E284" s="5" t="n">
        <v>-0.0003061024384487864</v>
      </c>
      <c r="F284" s="5" t="n">
        <v>-0.005720939871958797</v>
      </c>
      <c r="G284" s="5" t="n">
        <v>0.007643808265045931</v>
      </c>
      <c r="H284" s="5" t="n">
        <v>-0.002543672802585805</v>
      </c>
      <c r="I284" s="5" t="n">
        <v>-0.002875120246303454</v>
      </c>
      <c r="J284" s="5" t="n">
        <v>0.00164971833679335</v>
      </c>
      <c r="K284" s="5" t="n">
        <v>0.008153596798616282</v>
      </c>
      <c r="L284" s="5" t="n">
        <v>-0.0003169691382190995</v>
      </c>
      <c r="M284" s="5">
        <f>SUMPRODUCT(Exposures!$B$6:$K$6,B284:K284)</f>
        <v/>
      </c>
      <c r="N284" s="5">
        <f>IF(AND($A284&gt;=DATE(2020,2,1),$A284&lt;=DATE(2020,5,31)),$M284,"")</f>
        <v/>
      </c>
      <c r="O284" s="5">
        <f>IF(AND($A284&gt;=DATE(2022,1,1),$A284&lt;=DATE(2022,10,31)),$M284,"")</f>
        <v/>
      </c>
      <c r="P284" s="5">
        <f>IF(AND($A284&gt;=DATE(2018,10,1),$A284&lt;=DATE(2018,12,31)),$M284,"")</f>
        <v/>
      </c>
      <c r="Q284" s="5">
        <f>SUMPRODUCT(Exposures!$B$8:$K$8,B284:K284)</f>
        <v/>
      </c>
      <c r="R284" s="5">
        <f>SUMPRODUCT(Exposures!$B$9:$K$9,B284:K284)</f>
        <v/>
      </c>
      <c r="S284" s="5">
        <f>SUMPRODUCT(Exposures!$B$10:$K$10,B284:K284)</f>
        <v/>
      </c>
    </row>
    <row r="285">
      <c r="A285" s="1" t="n">
        <v>42871</v>
      </c>
      <c r="B285" s="5" t="n">
        <v>0.004424803012564316</v>
      </c>
      <c r="C285" s="5" t="n">
        <v>0.0003316328205001202</v>
      </c>
      <c r="D285" s="5" t="n">
        <v>9.822371922288386e-06</v>
      </c>
      <c r="E285" s="5" t="n">
        <v>0.0010741936597704</v>
      </c>
      <c r="F285" s="5" t="n">
        <v>0.002703165620120102</v>
      </c>
      <c r="G285" s="5" t="n">
        <v>0.0003872337676090427</v>
      </c>
      <c r="H285" s="5" t="n">
        <v>0.002526511975445035</v>
      </c>
      <c r="I285" s="5" t="n">
        <v>-0.0006030648576339085</v>
      </c>
      <c r="J285" s="5" t="n">
        <v>0.003538186342415114</v>
      </c>
      <c r="K285" s="5" t="n">
        <v>0.001348312264693153</v>
      </c>
      <c r="L285" s="5" t="n">
        <v>-0.0003603151642391935</v>
      </c>
      <c r="M285" s="5">
        <f>SUMPRODUCT(Exposures!$B$6:$K$6,B285:K285)</f>
        <v/>
      </c>
      <c r="N285" s="5">
        <f>IF(AND($A285&gt;=DATE(2020,2,1),$A285&lt;=DATE(2020,5,31)),$M285,"")</f>
        <v/>
      </c>
      <c r="O285" s="5">
        <f>IF(AND($A285&gt;=DATE(2022,1,1),$A285&lt;=DATE(2022,10,31)),$M285,"")</f>
        <v/>
      </c>
      <c r="P285" s="5">
        <f>IF(AND($A285&gt;=DATE(2018,10,1),$A285&lt;=DATE(2018,12,31)),$M285,"")</f>
        <v/>
      </c>
      <c r="Q285" s="5">
        <f>SUMPRODUCT(Exposures!$B$8:$K$8,B285:K285)</f>
        <v/>
      </c>
      <c r="R285" s="5">
        <f>SUMPRODUCT(Exposures!$B$9:$K$9,B285:K285)</f>
        <v/>
      </c>
      <c r="S285" s="5">
        <f>SUMPRODUCT(Exposures!$B$10:$K$10,B285:K285)</f>
        <v/>
      </c>
    </row>
    <row r="286">
      <c r="A286" s="1" t="n">
        <v>42872</v>
      </c>
      <c r="B286" s="5" t="n">
        <v>-0.008379316155360257</v>
      </c>
      <c r="C286" s="5" t="n">
        <v>-0.002054607569978297</v>
      </c>
      <c r="D286" s="5" t="n">
        <v>0.0001380476517954231</v>
      </c>
      <c r="E286" s="5" t="n">
        <v>-0.001823903846305457</v>
      </c>
      <c r="F286" s="5" t="n">
        <v>-0.005696667558534704</v>
      </c>
      <c r="G286" s="5" t="n">
        <v>-0.02250582864591087</v>
      </c>
      <c r="H286" s="5" t="n">
        <v>-0.005993558016916816</v>
      </c>
      <c r="I286" s="5" t="n">
        <v>-0.0003084222822728726</v>
      </c>
      <c r="J286" s="5" t="n">
        <v>-0.007738613416413656</v>
      </c>
      <c r="K286" s="5" t="n">
        <v>0.001870241181920213</v>
      </c>
      <c r="L286" s="5" t="n">
        <v>-0.0001761064918464265</v>
      </c>
      <c r="M286" s="5">
        <f>SUMPRODUCT(Exposures!$B$6:$K$6,B286:K286)</f>
        <v/>
      </c>
      <c r="N286" s="5">
        <f>IF(AND($A286&gt;=DATE(2020,2,1),$A286&lt;=DATE(2020,5,31)),$M286,"")</f>
        <v/>
      </c>
      <c r="O286" s="5">
        <f>IF(AND($A286&gt;=DATE(2022,1,1),$A286&lt;=DATE(2022,10,31)),$M286,"")</f>
        <v/>
      </c>
      <c r="P286" s="5">
        <f>IF(AND($A286&gt;=DATE(2018,10,1),$A286&lt;=DATE(2018,12,31)),$M286,"")</f>
        <v/>
      </c>
      <c r="Q286" s="5">
        <f>SUMPRODUCT(Exposures!$B$8:$K$8,B286:K286)</f>
        <v/>
      </c>
      <c r="R286" s="5">
        <f>SUMPRODUCT(Exposures!$B$9:$K$9,B286:K286)</f>
        <v/>
      </c>
      <c r="S286" s="5">
        <f>SUMPRODUCT(Exposures!$B$10:$K$10,B286:K286)</f>
        <v/>
      </c>
    </row>
    <row r="287">
      <c r="A287" s="1" t="n">
        <v>42873</v>
      </c>
      <c r="B287" s="5" t="n">
        <v>-0.0003878449477237743</v>
      </c>
      <c r="C287" s="5" t="n">
        <v>-0.0005101038558304392</v>
      </c>
      <c r="D287" s="5" t="n">
        <v>-0.002638167822622408</v>
      </c>
      <c r="E287" s="5" t="n">
        <v>-0.000921250562002736</v>
      </c>
      <c r="F287" s="5" t="n">
        <v>0.00518574937476405</v>
      </c>
      <c r="G287" s="5" t="n">
        <v>0.001660996920407831</v>
      </c>
      <c r="H287" s="5" t="n">
        <v>0.003625099734490581</v>
      </c>
      <c r="I287" s="5" t="n">
        <v>0.0002783736567807863</v>
      </c>
      <c r="J287" s="5" t="n">
        <v>-0.0003608644681501807</v>
      </c>
      <c r="K287" s="5" t="n">
        <v>-0.005943432218251001</v>
      </c>
      <c r="L287" s="5" t="n">
        <v>0.0005437076246913403</v>
      </c>
      <c r="M287" s="5">
        <f>SUMPRODUCT(Exposures!$B$6:$K$6,B287:K287)</f>
        <v/>
      </c>
      <c r="N287" s="5">
        <f>IF(AND($A287&gt;=DATE(2020,2,1),$A287&lt;=DATE(2020,5,31)),$M287,"")</f>
        <v/>
      </c>
      <c r="O287" s="5">
        <f>IF(AND($A287&gt;=DATE(2022,1,1),$A287&lt;=DATE(2022,10,31)),$M287,"")</f>
        <v/>
      </c>
      <c r="P287" s="5">
        <f>IF(AND($A287&gt;=DATE(2018,10,1),$A287&lt;=DATE(2018,12,31)),$M287,"")</f>
        <v/>
      </c>
      <c r="Q287" s="5">
        <f>SUMPRODUCT(Exposures!$B$8:$K$8,B287:K287)</f>
        <v/>
      </c>
      <c r="R287" s="5">
        <f>SUMPRODUCT(Exposures!$B$9:$K$9,B287:K287)</f>
        <v/>
      </c>
      <c r="S287" s="5">
        <f>SUMPRODUCT(Exposures!$B$10:$K$10,B287:K287)</f>
        <v/>
      </c>
    </row>
    <row r="288">
      <c r="A288" s="1" t="n">
        <v>42874</v>
      </c>
      <c r="B288" s="5" t="n">
        <v>0.003462073772371422</v>
      </c>
      <c r="C288" s="5" t="n">
        <v>-0.0001634365676453971</v>
      </c>
      <c r="D288" s="5" t="n">
        <v>0.004887661948355015</v>
      </c>
      <c r="E288" s="5" t="n">
        <v>0.001782843954158942</v>
      </c>
      <c r="F288" s="5" t="n">
        <v>-0.00315108827970876</v>
      </c>
      <c r="G288" s="5" t="n">
        <v>0.006926918733999287</v>
      </c>
      <c r="H288" s="5" t="n">
        <v>0.0008428081342847276</v>
      </c>
      <c r="I288" s="5" t="n">
        <v>-0.004517518509168649</v>
      </c>
      <c r="J288" s="5" t="n">
        <v>0.001099000910926322</v>
      </c>
      <c r="K288" s="5" t="n">
        <v>0.006538999272745791</v>
      </c>
      <c r="L288" s="5" t="n">
        <v>-0.0006089053496902936</v>
      </c>
      <c r="M288" s="5">
        <f>SUMPRODUCT(Exposures!$B$6:$K$6,B288:K288)</f>
        <v/>
      </c>
      <c r="N288" s="5">
        <f>IF(AND($A288&gt;=DATE(2020,2,1),$A288&lt;=DATE(2020,5,31)),$M288,"")</f>
        <v/>
      </c>
      <c r="O288" s="5">
        <f>IF(AND($A288&gt;=DATE(2022,1,1),$A288&lt;=DATE(2022,10,31)),$M288,"")</f>
        <v/>
      </c>
      <c r="P288" s="5">
        <f>IF(AND($A288&gt;=DATE(2018,10,1),$A288&lt;=DATE(2018,12,31)),$M288,"")</f>
        <v/>
      </c>
      <c r="Q288" s="5">
        <f>SUMPRODUCT(Exposures!$B$8:$K$8,B288:K288)</f>
        <v/>
      </c>
      <c r="R288" s="5">
        <f>SUMPRODUCT(Exposures!$B$9:$K$9,B288:K288)</f>
        <v/>
      </c>
      <c r="S288" s="5">
        <f>SUMPRODUCT(Exposures!$B$10:$K$10,B288:K288)</f>
        <v/>
      </c>
    </row>
    <row r="289">
      <c r="A289" s="1" t="n">
        <v>42877</v>
      </c>
      <c r="B289" s="5" t="n">
        <v>-1.680685912580876e-05</v>
      </c>
      <c r="C289" s="5" t="n">
        <v>0.001107460346167674</v>
      </c>
      <c r="D289" s="5" t="n">
        <v>0.002564502332611349</v>
      </c>
      <c r="E289" s="5" t="n">
        <v>0.0008440380449412291</v>
      </c>
      <c r="F289" s="5" t="n">
        <v>0.001368348699494049</v>
      </c>
      <c r="G289" s="5" t="n">
        <v>0.007628348061389395</v>
      </c>
      <c r="H289" s="5" t="n">
        <v>0.002721489348086756</v>
      </c>
      <c r="I289" s="5" t="n">
        <v>0.001506821298037262</v>
      </c>
      <c r="J289" s="5" t="n">
        <v>-0.00146988012623767</v>
      </c>
      <c r="K289" s="5" t="n">
        <v>-0.005427051809724859</v>
      </c>
      <c r="L289" s="5" t="n">
        <v>-0.00260120723837538</v>
      </c>
      <c r="M289" s="5">
        <f>SUMPRODUCT(Exposures!$B$6:$K$6,B289:K289)</f>
        <v/>
      </c>
      <c r="N289" s="5">
        <f>IF(AND($A289&gt;=DATE(2020,2,1),$A289&lt;=DATE(2020,5,31)),$M289,"")</f>
        <v/>
      </c>
      <c r="O289" s="5">
        <f>IF(AND($A289&gt;=DATE(2022,1,1),$A289&lt;=DATE(2022,10,31)),$M289,"")</f>
        <v/>
      </c>
      <c r="P289" s="5">
        <f>IF(AND($A289&gt;=DATE(2018,10,1),$A289&lt;=DATE(2018,12,31)),$M289,"")</f>
        <v/>
      </c>
      <c r="Q289" s="5">
        <f>SUMPRODUCT(Exposures!$B$8:$K$8,B289:K289)</f>
        <v/>
      </c>
      <c r="R289" s="5">
        <f>SUMPRODUCT(Exposures!$B$9:$K$9,B289:K289)</f>
        <v/>
      </c>
      <c r="S289" s="5">
        <f>SUMPRODUCT(Exposures!$B$10:$K$10,B289:K289)</f>
        <v/>
      </c>
    </row>
    <row r="290">
      <c r="A290" s="1" t="n">
        <v>42878</v>
      </c>
      <c r="B290" s="5" t="n">
        <v>0.003955263588669277</v>
      </c>
      <c r="C290" s="5" t="n">
        <v>-0.001237648140990763</v>
      </c>
      <c r="D290" s="5" t="n">
        <v>-0.002713587479410506</v>
      </c>
      <c r="E290" s="5" t="n">
        <v>0.002809152492195322</v>
      </c>
      <c r="F290" s="5" t="n">
        <v>-0.001791212776715098</v>
      </c>
      <c r="G290" s="5" t="n">
        <v>-9.803667463019261e-05</v>
      </c>
      <c r="H290" s="5" t="n">
        <v>0.001578992831157703</v>
      </c>
      <c r="I290" s="5" t="n">
        <v>0.0006735787551850992</v>
      </c>
      <c r="J290" s="5" t="n">
        <v>-0.006326875116474283</v>
      </c>
      <c r="K290" s="5" t="n">
        <v>-6.771512917422111e-06</v>
      </c>
      <c r="L290" s="5" t="n">
        <v>0.003999831270223974</v>
      </c>
      <c r="M290" s="5">
        <f>SUMPRODUCT(Exposures!$B$6:$K$6,B290:K290)</f>
        <v/>
      </c>
      <c r="N290" s="5">
        <f>IF(AND($A290&gt;=DATE(2020,2,1),$A290&lt;=DATE(2020,5,31)),$M290,"")</f>
        <v/>
      </c>
      <c r="O290" s="5">
        <f>IF(AND($A290&gt;=DATE(2022,1,1),$A290&lt;=DATE(2022,10,31)),$M290,"")</f>
        <v/>
      </c>
      <c r="P290" s="5">
        <f>IF(AND($A290&gt;=DATE(2018,10,1),$A290&lt;=DATE(2018,12,31)),$M290,"")</f>
        <v/>
      </c>
      <c r="Q290" s="5">
        <f>SUMPRODUCT(Exposures!$B$8:$K$8,B290:K290)</f>
        <v/>
      </c>
      <c r="R290" s="5">
        <f>SUMPRODUCT(Exposures!$B$9:$K$9,B290:K290)</f>
        <v/>
      </c>
      <c r="S290" s="5">
        <f>SUMPRODUCT(Exposures!$B$10:$K$10,B290:K290)</f>
        <v/>
      </c>
    </row>
    <row r="291">
      <c r="A291" s="1" t="n">
        <v>42879</v>
      </c>
      <c r="B291" s="5" t="n">
        <v>-0.0004388313134137843</v>
      </c>
      <c r="C291" s="5" t="n">
        <v>-0.002002195849944403</v>
      </c>
      <c r="D291" s="5" t="n">
        <v>-0.001855869389193349</v>
      </c>
      <c r="E291" s="5" t="n">
        <v>-9.749881234038274e-05</v>
      </c>
      <c r="F291" s="5" t="n">
        <v>0.009369175434320731</v>
      </c>
      <c r="G291" s="5" t="n">
        <v>0.0003539097879693199</v>
      </c>
      <c r="H291" s="5" t="n">
        <v>0.0009173656695233017</v>
      </c>
      <c r="I291" s="5" t="n">
        <v>0.00310017771892423</v>
      </c>
      <c r="J291" s="5" t="n">
        <v>-0.007112110134913147</v>
      </c>
      <c r="K291" s="5" t="n">
        <v>-0.01080249332919732</v>
      </c>
      <c r="L291" s="5" t="n">
        <v>-0.0005912404023459928</v>
      </c>
      <c r="M291" s="5">
        <f>SUMPRODUCT(Exposures!$B$6:$K$6,B291:K291)</f>
        <v/>
      </c>
      <c r="N291" s="5">
        <f>IF(AND($A291&gt;=DATE(2020,2,1),$A291&lt;=DATE(2020,5,31)),$M291,"")</f>
        <v/>
      </c>
      <c r="O291" s="5">
        <f>IF(AND($A291&gt;=DATE(2022,1,1),$A291&lt;=DATE(2022,10,31)),$M291,"")</f>
        <v/>
      </c>
      <c r="P291" s="5">
        <f>IF(AND($A291&gt;=DATE(2018,10,1),$A291&lt;=DATE(2018,12,31)),$M291,"")</f>
        <v/>
      </c>
      <c r="Q291" s="5">
        <f>SUMPRODUCT(Exposures!$B$8:$K$8,B291:K291)</f>
        <v/>
      </c>
      <c r="R291" s="5">
        <f>SUMPRODUCT(Exposures!$B$9:$K$9,B291:K291)</f>
        <v/>
      </c>
      <c r="S291" s="5">
        <f>SUMPRODUCT(Exposures!$B$10:$K$10,B291:K291)</f>
        <v/>
      </c>
    </row>
    <row r="292">
      <c r="A292" s="1" t="n">
        <v>42880</v>
      </c>
      <c r="B292" s="5" t="n">
        <v>-0.002708805816547039</v>
      </c>
      <c r="C292" s="5" t="n">
        <v>0.00484546681475091</v>
      </c>
      <c r="D292" s="5" t="n">
        <v>0.001136089507016462</v>
      </c>
      <c r="E292" s="5" t="n">
        <v>0.0011574810177238</v>
      </c>
      <c r="F292" s="5" t="n">
        <v>0.008468794418251957</v>
      </c>
      <c r="G292" s="5" t="n">
        <v>0.00726103606875556</v>
      </c>
      <c r="H292" s="5" t="n">
        <v>0.005394202707438705</v>
      </c>
      <c r="I292" s="5" t="n">
        <v>0.002654613741312539</v>
      </c>
      <c r="J292" s="5" t="n">
        <v>0.00373821839918701</v>
      </c>
      <c r="K292" s="5" t="n">
        <v>-0.009908860036291746</v>
      </c>
      <c r="L292" s="5" t="n">
        <v>-0.006119709760838162</v>
      </c>
      <c r="M292" s="5">
        <f>SUMPRODUCT(Exposures!$B$6:$K$6,B292:K292)</f>
        <v/>
      </c>
      <c r="N292" s="5">
        <f>IF(AND($A292&gt;=DATE(2020,2,1),$A292&lt;=DATE(2020,5,31)),$M292,"")</f>
        <v/>
      </c>
      <c r="O292" s="5">
        <f>IF(AND($A292&gt;=DATE(2022,1,1),$A292&lt;=DATE(2022,10,31)),$M292,"")</f>
        <v/>
      </c>
      <c r="P292" s="5">
        <f>IF(AND($A292&gt;=DATE(2018,10,1),$A292&lt;=DATE(2018,12,31)),$M292,"")</f>
        <v/>
      </c>
      <c r="Q292" s="5">
        <f>SUMPRODUCT(Exposures!$B$8:$K$8,B292:K292)</f>
        <v/>
      </c>
      <c r="R292" s="5">
        <f>SUMPRODUCT(Exposures!$B$9:$K$9,B292:K292)</f>
        <v/>
      </c>
      <c r="S292" s="5">
        <f>SUMPRODUCT(Exposures!$B$10:$K$10,B292:K292)</f>
        <v/>
      </c>
    </row>
    <row r="293">
      <c r="A293" s="1" t="n">
        <v>42881</v>
      </c>
      <c r="B293" s="5" t="n">
        <v>-0.002179869169848319</v>
      </c>
      <c r="C293" s="5" t="n">
        <v>-0.0006681681788225223</v>
      </c>
      <c r="D293" s="5" t="n">
        <v>0.0001340687798523391</v>
      </c>
      <c r="E293" s="5" t="n">
        <v>-6.381170898457362e-05</v>
      </c>
      <c r="F293" s="5" t="n">
        <v>-0.001719009143365452</v>
      </c>
      <c r="G293" s="5" t="n">
        <v>-6.737992733847663e-05</v>
      </c>
      <c r="H293" s="5" t="n">
        <v>0.002269968175028947</v>
      </c>
      <c r="I293" s="5" t="n">
        <v>-0.001503076770397283</v>
      </c>
      <c r="J293" s="5" t="n">
        <v>-0.000563980861582972</v>
      </c>
      <c r="K293" s="5" t="n">
        <v>0.002454665871739746</v>
      </c>
      <c r="L293" s="5" t="n">
        <v>0.0005498415826440333</v>
      </c>
      <c r="M293" s="5">
        <f>SUMPRODUCT(Exposures!$B$6:$K$6,B293:K293)</f>
        <v/>
      </c>
      <c r="N293" s="5">
        <f>IF(AND($A293&gt;=DATE(2020,2,1),$A293&lt;=DATE(2020,5,31)),$M293,"")</f>
        <v/>
      </c>
      <c r="O293" s="5">
        <f>IF(AND($A293&gt;=DATE(2022,1,1),$A293&lt;=DATE(2022,10,31)),$M293,"")</f>
        <v/>
      </c>
      <c r="P293" s="5">
        <f>IF(AND($A293&gt;=DATE(2018,10,1),$A293&lt;=DATE(2018,12,31)),$M293,"")</f>
        <v/>
      </c>
      <c r="Q293" s="5">
        <f>SUMPRODUCT(Exposures!$B$8:$K$8,B293:K293)</f>
        <v/>
      </c>
      <c r="R293" s="5">
        <f>SUMPRODUCT(Exposures!$B$9:$K$9,B293:K293)</f>
        <v/>
      </c>
      <c r="S293" s="5">
        <f>SUMPRODUCT(Exposures!$B$10:$K$10,B293:K293)</f>
        <v/>
      </c>
    </row>
    <row r="294">
      <c r="A294" s="1" t="n">
        <v>42885</v>
      </c>
      <c r="B294" s="5" t="n">
        <v>-0.00156953836263753</v>
      </c>
      <c r="C294" s="5" t="n">
        <v>0.0001068606477623774</v>
      </c>
      <c r="D294" s="5" t="n">
        <v>0.0001019223368518155</v>
      </c>
      <c r="E294" s="5" t="n">
        <v>-0.0008505726153906854</v>
      </c>
      <c r="F294" s="5" t="n">
        <v>0.004836476546419999</v>
      </c>
      <c r="G294" s="5" t="n">
        <v>-0.004491438207270734</v>
      </c>
      <c r="H294" s="5" t="n">
        <v>0.001536863356943459</v>
      </c>
      <c r="I294" s="5" t="n">
        <v>0.0002906129466598757</v>
      </c>
      <c r="J294" s="5" t="n">
        <v>-0.005535695965546572</v>
      </c>
      <c r="K294" s="5" t="n">
        <v>-0.004445557001462066</v>
      </c>
      <c r="L294" s="5" t="n">
        <v>-0.001652845557488128</v>
      </c>
      <c r="M294" s="5">
        <f>SUMPRODUCT(Exposures!$B$6:$K$6,B294:K294)</f>
        <v/>
      </c>
      <c r="N294" s="5">
        <f>IF(AND($A294&gt;=DATE(2020,2,1),$A294&lt;=DATE(2020,5,31)),$M294,"")</f>
        <v/>
      </c>
      <c r="O294" s="5">
        <f>IF(AND($A294&gt;=DATE(2022,1,1),$A294&lt;=DATE(2022,10,31)),$M294,"")</f>
        <v/>
      </c>
      <c r="P294" s="5">
        <f>IF(AND($A294&gt;=DATE(2018,10,1),$A294&lt;=DATE(2018,12,31)),$M294,"")</f>
        <v/>
      </c>
      <c r="Q294" s="5">
        <f>SUMPRODUCT(Exposures!$B$8:$K$8,B294:K294)</f>
        <v/>
      </c>
      <c r="R294" s="5">
        <f>SUMPRODUCT(Exposures!$B$9:$K$9,B294:K294)</f>
        <v/>
      </c>
      <c r="S294" s="5">
        <f>SUMPRODUCT(Exposures!$B$10:$K$10,B294:K294)</f>
        <v/>
      </c>
    </row>
    <row r="295">
      <c r="A295" s="1" t="n">
        <v>42886</v>
      </c>
      <c r="B295" s="5" t="n">
        <v>-0.001412638956596047</v>
      </c>
      <c r="C295" s="5" t="n">
        <v>0.0002076850095418542</v>
      </c>
      <c r="D295" s="5" t="n">
        <v>-0.001500866879230423</v>
      </c>
      <c r="E295" s="5" t="n">
        <v>-0.0004235619474443359</v>
      </c>
      <c r="F295" s="5" t="n">
        <v>-0.0008348889355311676</v>
      </c>
      <c r="G295" s="5" t="n">
        <v>-0.0004773457080927108</v>
      </c>
      <c r="H295" s="5" t="n">
        <v>-0.0006046004573867171</v>
      </c>
      <c r="I295" s="5" t="n">
        <v>-0.0008960898775904928</v>
      </c>
      <c r="J295" s="5" t="n">
        <v>-0.002551133065269783</v>
      </c>
      <c r="K295" s="5" t="n">
        <v>-0.000476795392799979</v>
      </c>
      <c r="L295" s="5" t="n">
        <v>-0.001802611418787917</v>
      </c>
      <c r="M295" s="5">
        <f>SUMPRODUCT(Exposures!$B$6:$K$6,B295:K295)</f>
        <v/>
      </c>
      <c r="N295" s="5">
        <f>IF(AND($A295&gt;=DATE(2020,2,1),$A295&lt;=DATE(2020,5,31)),$M295,"")</f>
        <v/>
      </c>
      <c r="O295" s="5">
        <f>IF(AND($A295&gt;=DATE(2022,1,1),$A295&lt;=DATE(2022,10,31)),$M295,"")</f>
        <v/>
      </c>
      <c r="P295" s="5">
        <f>IF(AND($A295&gt;=DATE(2018,10,1),$A295&lt;=DATE(2018,12,31)),$M295,"")</f>
        <v/>
      </c>
      <c r="Q295" s="5">
        <f>SUMPRODUCT(Exposures!$B$8:$K$8,B295:K295)</f>
        <v/>
      </c>
      <c r="R295" s="5">
        <f>SUMPRODUCT(Exposures!$B$9:$K$9,B295:K295)</f>
        <v/>
      </c>
      <c r="S295" s="5">
        <f>SUMPRODUCT(Exposures!$B$10:$K$10,B295:K295)</f>
        <v/>
      </c>
    </row>
    <row r="296">
      <c r="A296" s="1" t="n">
        <v>42887</v>
      </c>
      <c r="B296" s="5" t="n">
        <v>0.006174896041984574</v>
      </c>
      <c r="C296" s="5" t="n">
        <v>0.0001952450092526812</v>
      </c>
      <c r="D296" s="5" t="n">
        <v>-0.002459662016640804</v>
      </c>
      <c r="E296" s="5" t="n">
        <v>-0.002096468792266968</v>
      </c>
      <c r="F296" s="5" t="n">
        <v>-0.001862556903849847</v>
      </c>
      <c r="G296" s="5" t="n">
        <v>0.01449333133174053</v>
      </c>
      <c r="H296" s="5" t="n">
        <v>-0.005244128482140464</v>
      </c>
      <c r="I296" s="5" t="n">
        <v>-0.001876624333533295</v>
      </c>
      <c r="J296" s="5" t="n">
        <v>0.00312734910599887</v>
      </c>
      <c r="K296" s="5" t="n">
        <v>0.001562939785658503</v>
      </c>
      <c r="L296" s="5" t="n">
        <v>-0.0002998124245634377</v>
      </c>
      <c r="M296" s="5">
        <f>SUMPRODUCT(Exposures!$B$6:$K$6,B296:K296)</f>
        <v/>
      </c>
      <c r="N296" s="5">
        <f>IF(AND($A296&gt;=DATE(2020,2,1),$A296&lt;=DATE(2020,5,31)),$M296,"")</f>
        <v/>
      </c>
      <c r="O296" s="5">
        <f>IF(AND($A296&gt;=DATE(2022,1,1),$A296&lt;=DATE(2022,10,31)),$M296,"")</f>
        <v/>
      </c>
      <c r="P296" s="5">
        <f>IF(AND($A296&gt;=DATE(2018,10,1),$A296&lt;=DATE(2018,12,31)),$M296,"")</f>
        <v/>
      </c>
      <c r="Q296" s="5">
        <f>SUMPRODUCT(Exposures!$B$8:$K$8,B296:K296)</f>
        <v/>
      </c>
      <c r="R296" s="5">
        <f>SUMPRODUCT(Exposures!$B$9:$K$9,B296:K296)</f>
        <v/>
      </c>
      <c r="S296" s="5">
        <f>SUMPRODUCT(Exposures!$B$10:$K$10,B296:K296)</f>
        <v/>
      </c>
    </row>
    <row r="297">
      <c r="A297" s="1" t="n">
        <v>42888</v>
      </c>
      <c r="B297" s="5" t="n">
        <v>0.0009673555705545029</v>
      </c>
      <c r="C297" s="5" t="n">
        <v>-0.001203717020509295</v>
      </c>
      <c r="D297" s="5" t="n">
        <v>0.0001846661541471606</v>
      </c>
      <c r="E297" s="5" t="n">
        <v>-0.002162158437037879</v>
      </c>
      <c r="F297" s="5" t="n">
        <v>0.003995405339452523</v>
      </c>
      <c r="G297" s="5" t="n">
        <v>0.002879783420532248</v>
      </c>
      <c r="H297" s="5" t="n">
        <v>0.001137355862655466</v>
      </c>
      <c r="I297" s="5" t="n">
        <v>0.001842553573047145</v>
      </c>
      <c r="J297" s="5" t="n">
        <v>-0.001873088769127499</v>
      </c>
      <c r="K297" s="5" t="n">
        <v>-0.003507579931751994</v>
      </c>
      <c r="L297" s="5" t="n">
        <v>-0.002639299413734575</v>
      </c>
      <c r="M297" s="5">
        <f>SUMPRODUCT(Exposures!$B$6:$K$6,B297:K297)</f>
        <v/>
      </c>
      <c r="N297" s="5">
        <f>IF(AND($A297&gt;=DATE(2020,2,1),$A297&lt;=DATE(2020,5,31)),$M297,"")</f>
        <v/>
      </c>
      <c r="O297" s="5">
        <f>IF(AND($A297&gt;=DATE(2022,1,1),$A297&lt;=DATE(2022,10,31)),$M297,"")</f>
        <v/>
      </c>
      <c r="P297" s="5">
        <f>IF(AND($A297&gt;=DATE(2018,10,1),$A297&lt;=DATE(2018,12,31)),$M297,"")</f>
        <v/>
      </c>
      <c r="Q297" s="5">
        <f>SUMPRODUCT(Exposures!$B$8:$K$8,B297:K297)</f>
        <v/>
      </c>
      <c r="R297" s="5">
        <f>SUMPRODUCT(Exposures!$B$9:$K$9,B297:K297)</f>
        <v/>
      </c>
      <c r="S297" s="5">
        <f>SUMPRODUCT(Exposures!$B$10:$K$10,B297:K297)</f>
        <v/>
      </c>
    </row>
    <row r="298">
      <c r="A298" s="1" t="n">
        <v>42891</v>
      </c>
      <c r="B298" s="5" t="n">
        <v>-0.0003687107624203896</v>
      </c>
      <c r="C298" s="5" t="n">
        <v>0.0009514953950863036</v>
      </c>
      <c r="D298" s="5" t="n">
        <v>-0.004206756449117634</v>
      </c>
      <c r="E298" s="5" t="n">
        <v>-0.0001043786093338938</v>
      </c>
      <c r="F298" s="5" t="n">
        <v>-0.00164898671321161</v>
      </c>
      <c r="G298" s="5" t="n">
        <v>-0.003607206729258838</v>
      </c>
      <c r="H298" s="5" t="n">
        <v>0.002389799458879939</v>
      </c>
      <c r="I298" s="5" t="n">
        <v>-0.001271788043564715</v>
      </c>
      <c r="J298" s="5" t="n">
        <v>0.0005592783844877857</v>
      </c>
      <c r="K298" s="5" t="n">
        <v>0.002790473302497059</v>
      </c>
      <c r="L298" s="5" t="n">
        <v>0.0006104336777773968</v>
      </c>
      <c r="M298" s="5">
        <f>SUMPRODUCT(Exposures!$B$6:$K$6,B298:K298)</f>
        <v/>
      </c>
      <c r="N298" s="5">
        <f>IF(AND($A298&gt;=DATE(2020,2,1),$A298&lt;=DATE(2020,5,31)),$M298,"")</f>
        <v/>
      </c>
      <c r="O298" s="5">
        <f>IF(AND($A298&gt;=DATE(2022,1,1),$A298&lt;=DATE(2022,10,31)),$M298,"")</f>
        <v/>
      </c>
      <c r="P298" s="5">
        <f>IF(AND($A298&gt;=DATE(2018,10,1),$A298&lt;=DATE(2018,12,31)),$M298,"")</f>
        <v/>
      </c>
      <c r="Q298" s="5">
        <f>SUMPRODUCT(Exposures!$B$8:$K$8,B298:K298)</f>
        <v/>
      </c>
      <c r="R298" s="5">
        <f>SUMPRODUCT(Exposures!$B$9:$K$9,B298:K298)</f>
        <v/>
      </c>
      <c r="S298" s="5">
        <f>SUMPRODUCT(Exposures!$B$10:$K$10,B298:K298)</f>
        <v/>
      </c>
    </row>
    <row r="299">
      <c r="A299" s="1" t="n">
        <v>42892</v>
      </c>
      <c r="B299" s="5" t="n">
        <v>0.002151638626816992</v>
      </c>
      <c r="C299" s="5" t="n">
        <v>-0.001774470812978063</v>
      </c>
      <c r="D299" s="5" t="n">
        <v>-0.001095560906295055</v>
      </c>
      <c r="E299" s="5" t="n">
        <v>0.001441562861533698</v>
      </c>
      <c r="F299" s="5" t="n">
        <v>0.009797443599678287</v>
      </c>
      <c r="G299" s="5" t="n">
        <v>-0.005248043656004171</v>
      </c>
      <c r="H299" s="5" t="n">
        <v>0.0009098703608851548</v>
      </c>
      <c r="I299" s="5" t="n">
        <v>0.001082470579383466</v>
      </c>
      <c r="J299" s="5" t="n">
        <v>-0.002685238731211913</v>
      </c>
      <c r="K299" s="5" t="n">
        <v>-0.00838888136406085</v>
      </c>
      <c r="L299" s="5" t="n">
        <v>-0.002132853454245204</v>
      </c>
      <c r="M299" s="5">
        <f>SUMPRODUCT(Exposures!$B$6:$K$6,B299:K299)</f>
        <v/>
      </c>
      <c r="N299" s="5">
        <f>IF(AND($A299&gt;=DATE(2020,2,1),$A299&lt;=DATE(2020,5,31)),$M299,"")</f>
        <v/>
      </c>
      <c r="O299" s="5">
        <f>IF(AND($A299&gt;=DATE(2022,1,1),$A299&lt;=DATE(2022,10,31)),$M299,"")</f>
        <v/>
      </c>
      <c r="P299" s="5">
        <f>IF(AND($A299&gt;=DATE(2018,10,1),$A299&lt;=DATE(2018,12,31)),$M299,"")</f>
        <v/>
      </c>
      <c r="Q299" s="5">
        <f>SUMPRODUCT(Exposures!$B$8:$K$8,B299:K299)</f>
        <v/>
      </c>
      <c r="R299" s="5">
        <f>SUMPRODUCT(Exposures!$B$9:$K$9,B299:K299)</f>
        <v/>
      </c>
      <c r="S299" s="5">
        <f>SUMPRODUCT(Exposures!$B$10:$K$10,B299:K299)</f>
        <v/>
      </c>
    </row>
    <row r="300">
      <c r="A300" s="1" t="n">
        <v>42893</v>
      </c>
      <c r="B300" s="5" t="n">
        <v>-0.001045807217423359</v>
      </c>
      <c r="C300" s="5" t="n">
        <v>0.000751606071076397</v>
      </c>
      <c r="D300" s="5" t="n">
        <v>0.00301005079233983</v>
      </c>
      <c r="E300" s="5" t="n">
        <v>0.00286076776816781</v>
      </c>
      <c r="F300" s="5" t="n">
        <v>-0.0007108181226866187</v>
      </c>
      <c r="G300" s="5" t="n">
        <v>0.003264109828523203</v>
      </c>
      <c r="H300" s="5" t="n">
        <v>0.001539433738501542</v>
      </c>
      <c r="I300" s="5" t="n">
        <v>0.0007616663817526278</v>
      </c>
      <c r="J300" s="5" t="n">
        <v>0.00157301853121817</v>
      </c>
      <c r="K300" s="5" t="n">
        <v>0.001919272068664617</v>
      </c>
      <c r="L300" s="5" t="n">
        <v>0.0001305023269845156</v>
      </c>
      <c r="M300" s="5">
        <f>SUMPRODUCT(Exposures!$B$6:$K$6,B300:K300)</f>
        <v/>
      </c>
      <c r="N300" s="5">
        <f>IF(AND($A300&gt;=DATE(2020,2,1),$A300&lt;=DATE(2020,5,31)),$M300,"")</f>
        <v/>
      </c>
      <c r="O300" s="5">
        <f>IF(AND($A300&gt;=DATE(2022,1,1),$A300&lt;=DATE(2022,10,31)),$M300,"")</f>
        <v/>
      </c>
      <c r="P300" s="5">
        <f>IF(AND($A300&gt;=DATE(2018,10,1),$A300&lt;=DATE(2018,12,31)),$M300,"")</f>
        <v/>
      </c>
      <c r="Q300" s="5">
        <f>SUMPRODUCT(Exposures!$B$8:$K$8,B300:K300)</f>
        <v/>
      </c>
      <c r="R300" s="5">
        <f>SUMPRODUCT(Exposures!$B$9:$K$9,B300:K300)</f>
        <v/>
      </c>
      <c r="S300" s="5">
        <f>SUMPRODUCT(Exposures!$B$10:$K$10,B300:K300)</f>
        <v/>
      </c>
    </row>
    <row r="301">
      <c r="A301" s="1" t="n">
        <v>42894</v>
      </c>
      <c r="B301" s="5" t="n">
        <v>0.005744847282604887</v>
      </c>
      <c r="C301" s="5" t="n">
        <v>0.004156972994092298</v>
      </c>
      <c r="D301" s="5" t="n">
        <v>2.545622481694932e-05</v>
      </c>
      <c r="E301" s="5" t="n">
        <v>-0.002216315100681682</v>
      </c>
      <c r="F301" s="5" t="n">
        <v>-0.01088840258279096</v>
      </c>
      <c r="G301" s="5" t="n">
        <v>0.007246715898312382</v>
      </c>
      <c r="H301" s="5" t="n">
        <v>0.004483703301159972</v>
      </c>
      <c r="I301" s="5" t="n">
        <v>0.001280294522670981</v>
      </c>
      <c r="J301" s="5" t="n">
        <v>0.006375485912048506</v>
      </c>
      <c r="K301" s="5" t="n">
        <v>0.01237253747187082</v>
      </c>
      <c r="L301" s="5" t="n">
        <v>0.004446825564581111</v>
      </c>
      <c r="M301" s="5">
        <f>SUMPRODUCT(Exposures!$B$6:$K$6,B301:K301)</f>
        <v/>
      </c>
      <c r="N301" s="5">
        <f>IF(AND($A301&gt;=DATE(2020,2,1),$A301&lt;=DATE(2020,5,31)),$M301,"")</f>
        <v/>
      </c>
      <c r="O301" s="5">
        <f>IF(AND($A301&gt;=DATE(2022,1,1),$A301&lt;=DATE(2022,10,31)),$M301,"")</f>
        <v/>
      </c>
      <c r="P301" s="5">
        <f>IF(AND($A301&gt;=DATE(2018,10,1),$A301&lt;=DATE(2018,12,31)),$M301,"")</f>
        <v/>
      </c>
      <c r="Q301" s="5">
        <f>SUMPRODUCT(Exposures!$B$8:$K$8,B301:K301)</f>
        <v/>
      </c>
      <c r="R301" s="5">
        <f>SUMPRODUCT(Exposures!$B$9:$K$9,B301:K301)</f>
        <v/>
      </c>
      <c r="S301" s="5">
        <f>SUMPRODUCT(Exposures!$B$10:$K$10,B301:K301)</f>
        <v/>
      </c>
    </row>
    <row r="302">
      <c r="A302" s="1" t="n">
        <v>42895</v>
      </c>
      <c r="B302" s="5" t="n">
        <v>0.002105973099786903</v>
      </c>
      <c r="C302" s="5" t="n">
        <v>-0.001321460666379344</v>
      </c>
      <c r="D302" s="5" t="n">
        <v>-0.003868253792697376</v>
      </c>
      <c r="E302" s="5" t="n">
        <v>0.003779684411337234</v>
      </c>
      <c r="F302" s="5" t="n">
        <v>-0.01406739872286522</v>
      </c>
      <c r="G302" s="5" t="n">
        <v>0.0008759730860785032</v>
      </c>
      <c r="H302" s="5" t="n">
        <v>-0.01098177920768474</v>
      </c>
      <c r="I302" s="5" t="n">
        <v>-0.001141406556000247</v>
      </c>
      <c r="J302" s="5" t="n">
        <v>-0.0004624688598001475</v>
      </c>
      <c r="K302" s="5" t="n">
        <v>0.011393104179426</v>
      </c>
      <c r="L302" s="5" t="n">
        <v>0.006231511067335775</v>
      </c>
      <c r="M302" s="5">
        <f>SUMPRODUCT(Exposures!$B$6:$K$6,B302:K302)</f>
        <v/>
      </c>
      <c r="N302" s="5">
        <f>IF(AND($A302&gt;=DATE(2020,2,1),$A302&lt;=DATE(2020,5,31)),$M302,"")</f>
        <v/>
      </c>
      <c r="O302" s="5">
        <f>IF(AND($A302&gt;=DATE(2022,1,1),$A302&lt;=DATE(2022,10,31)),$M302,"")</f>
        <v/>
      </c>
      <c r="P302" s="5">
        <f>IF(AND($A302&gt;=DATE(2018,10,1),$A302&lt;=DATE(2018,12,31)),$M302,"")</f>
        <v/>
      </c>
      <c r="Q302" s="5">
        <f>SUMPRODUCT(Exposures!$B$8:$K$8,B302:K302)</f>
        <v/>
      </c>
      <c r="R302" s="5">
        <f>SUMPRODUCT(Exposures!$B$9:$K$9,B302:K302)</f>
        <v/>
      </c>
      <c r="S302" s="5">
        <f>SUMPRODUCT(Exposures!$B$10:$K$10,B302:K302)</f>
        <v/>
      </c>
    </row>
    <row r="303">
      <c r="A303" s="1" t="n">
        <v>42898</v>
      </c>
      <c r="B303" s="5" t="n">
        <v>0.00257006989791913</v>
      </c>
      <c r="C303" s="5" t="n">
        <v>-0.000955465766866003</v>
      </c>
      <c r="D303" s="5" t="n">
        <v>0.002735752599894659</v>
      </c>
      <c r="E303" s="5" t="n">
        <v>0.001116482060500456</v>
      </c>
      <c r="F303" s="5" t="n">
        <v>0.00259623656847047</v>
      </c>
      <c r="G303" s="5" t="n">
        <v>-0.00132481393867478</v>
      </c>
      <c r="H303" s="5" t="n">
        <v>-0.005879394303689888</v>
      </c>
      <c r="I303" s="5" t="n">
        <v>0.001254926786903575</v>
      </c>
      <c r="J303" s="5" t="n">
        <v>-0.001616237733708549</v>
      </c>
      <c r="K303" s="5" t="n">
        <v>-0.00256306215111827</v>
      </c>
      <c r="L303" s="5" t="n">
        <v>-0.0003568074306618215</v>
      </c>
      <c r="M303" s="5">
        <f>SUMPRODUCT(Exposures!$B$6:$K$6,B303:K303)</f>
        <v/>
      </c>
      <c r="N303" s="5">
        <f>IF(AND($A303&gt;=DATE(2020,2,1),$A303&lt;=DATE(2020,5,31)),$M303,"")</f>
        <v/>
      </c>
      <c r="O303" s="5">
        <f>IF(AND($A303&gt;=DATE(2022,1,1),$A303&lt;=DATE(2022,10,31)),$M303,"")</f>
        <v/>
      </c>
      <c r="P303" s="5">
        <f>IF(AND($A303&gt;=DATE(2018,10,1),$A303&lt;=DATE(2018,12,31)),$M303,"")</f>
        <v/>
      </c>
      <c r="Q303" s="5">
        <f>SUMPRODUCT(Exposures!$B$8:$K$8,B303:K303)</f>
        <v/>
      </c>
      <c r="R303" s="5">
        <f>SUMPRODUCT(Exposures!$B$9:$K$9,B303:K303)</f>
        <v/>
      </c>
      <c r="S303" s="5">
        <f>SUMPRODUCT(Exposures!$B$10:$K$10,B303:K303)</f>
        <v/>
      </c>
    </row>
    <row r="304">
      <c r="A304" s="1" t="n">
        <v>42899</v>
      </c>
      <c r="B304" s="5" t="n">
        <v>-0.0003601535928201767</v>
      </c>
      <c r="C304" s="5" t="n">
        <v>-4.622905550455821e-05</v>
      </c>
      <c r="D304" s="5" t="n">
        <v>-0.002506895459534326</v>
      </c>
      <c r="E304" s="5" t="n">
        <v>0.0004923397853638664</v>
      </c>
      <c r="F304" s="5" t="n">
        <v>-0.0003549756726096358</v>
      </c>
      <c r="G304" s="5" t="n">
        <v>0.004950438974858365</v>
      </c>
      <c r="H304" s="5" t="n">
        <v>0.000742155813513114</v>
      </c>
      <c r="I304" s="5" t="n">
        <v>-0.002562479165060718</v>
      </c>
      <c r="J304" s="5" t="n">
        <v>0.0008523889388284218</v>
      </c>
      <c r="K304" s="5" t="n">
        <v>0.001591346528512336</v>
      </c>
      <c r="L304" s="5" t="n">
        <v>0.0007366826159541608</v>
      </c>
      <c r="M304" s="5">
        <f>SUMPRODUCT(Exposures!$B$6:$K$6,B304:K304)</f>
        <v/>
      </c>
      <c r="N304" s="5">
        <f>IF(AND($A304&gt;=DATE(2020,2,1),$A304&lt;=DATE(2020,5,31)),$M304,"")</f>
        <v/>
      </c>
      <c r="O304" s="5">
        <f>IF(AND($A304&gt;=DATE(2022,1,1),$A304&lt;=DATE(2022,10,31)),$M304,"")</f>
        <v/>
      </c>
      <c r="P304" s="5">
        <f>IF(AND($A304&gt;=DATE(2018,10,1),$A304&lt;=DATE(2018,12,31)),$M304,"")</f>
        <v/>
      </c>
      <c r="Q304" s="5">
        <f>SUMPRODUCT(Exposures!$B$8:$K$8,B304:K304)</f>
        <v/>
      </c>
      <c r="R304" s="5">
        <f>SUMPRODUCT(Exposures!$B$9:$K$9,B304:K304)</f>
        <v/>
      </c>
      <c r="S304" s="5">
        <f>SUMPRODUCT(Exposures!$B$10:$K$10,B304:K304)</f>
        <v/>
      </c>
    </row>
    <row r="305">
      <c r="A305" s="1" t="n">
        <v>42900</v>
      </c>
      <c r="B305" s="5" t="n">
        <v>-0.001358763758768363</v>
      </c>
      <c r="C305" s="5" t="n">
        <v>-0.001875927379392722</v>
      </c>
      <c r="D305" s="5" t="n">
        <v>0.00240894312065353</v>
      </c>
      <c r="E305" s="5" t="n">
        <v>0.001645945935820787</v>
      </c>
      <c r="F305" s="5" t="n">
        <v>0.001673740142409238</v>
      </c>
      <c r="G305" s="5" t="n">
        <v>-0.001853415895059289</v>
      </c>
      <c r="H305" s="5" t="n">
        <v>-0.00499910059533576</v>
      </c>
      <c r="I305" s="5" t="n">
        <v>0.001333344154978754</v>
      </c>
      <c r="J305" s="5" t="n">
        <v>-0.003049701709023717</v>
      </c>
      <c r="K305" s="5" t="n">
        <v>-0.002835493168228578</v>
      </c>
      <c r="L305" s="5" t="n">
        <v>-0.001046616739633273</v>
      </c>
      <c r="M305" s="5">
        <f>SUMPRODUCT(Exposures!$B$6:$K$6,B305:K305)</f>
        <v/>
      </c>
      <c r="N305" s="5">
        <f>IF(AND($A305&gt;=DATE(2020,2,1),$A305&lt;=DATE(2020,5,31)),$M305,"")</f>
        <v/>
      </c>
      <c r="O305" s="5">
        <f>IF(AND($A305&gt;=DATE(2022,1,1),$A305&lt;=DATE(2022,10,31)),$M305,"")</f>
        <v/>
      </c>
      <c r="P305" s="5">
        <f>IF(AND($A305&gt;=DATE(2018,10,1),$A305&lt;=DATE(2018,12,31)),$M305,"")</f>
        <v/>
      </c>
      <c r="Q305" s="5">
        <f>SUMPRODUCT(Exposures!$B$8:$K$8,B305:K305)</f>
        <v/>
      </c>
      <c r="R305" s="5">
        <f>SUMPRODUCT(Exposures!$B$9:$K$9,B305:K305)</f>
        <v/>
      </c>
      <c r="S305" s="5">
        <f>SUMPRODUCT(Exposures!$B$10:$K$10,B305:K305)</f>
        <v/>
      </c>
    </row>
    <row r="306">
      <c r="A306" s="1" t="n">
        <v>42901</v>
      </c>
      <c r="B306" s="5" t="n">
        <v>-0.002421846822932474</v>
      </c>
      <c r="C306" s="5" t="n">
        <v>-0.001464839943175817</v>
      </c>
      <c r="D306" s="5" t="n">
        <v>0.0002501944647260705</v>
      </c>
      <c r="E306" s="5" t="n">
        <v>0.002852253876343274</v>
      </c>
      <c r="F306" s="5" t="n">
        <v>-0.001428171358826047</v>
      </c>
      <c r="G306" s="5" t="n">
        <v>-0.004336894814862344</v>
      </c>
      <c r="H306" s="5" t="n">
        <v>-0.001922213811526722</v>
      </c>
      <c r="I306" s="5" t="n">
        <v>-0.0008534877462173939</v>
      </c>
      <c r="J306" s="5" t="n">
        <v>-0.004162826000351771</v>
      </c>
      <c r="K306" s="5" t="n">
        <v>0.001311771364440364</v>
      </c>
      <c r="L306" s="5" t="n">
        <v>-0.0001665461462483191</v>
      </c>
      <c r="M306" s="5">
        <f>SUMPRODUCT(Exposures!$B$6:$K$6,B306:K306)</f>
        <v/>
      </c>
      <c r="N306" s="5">
        <f>IF(AND($A306&gt;=DATE(2020,2,1),$A306&lt;=DATE(2020,5,31)),$M306,"")</f>
        <v/>
      </c>
      <c r="O306" s="5">
        <f>IF(AND($A306&gt;=DATE(2022,1,1),$A306&lt;=DATE(2022,10,31)),$M306,"")</f>
        <v/>
      </c>
      <c r="P306" s="5">
        <f>IF(AND($A306&gt;=DATE(2018,10,1),$A306&lt;=DATE(2018,12,31)),$M306,"")</f>
        <v/>
      </c>
      <c r="Q306" s="5">
        <f>SUMPRODUCT(Exposures!$B$8:$K$8,B306:K306)</f>
        <v/>
      </c>
      <c r="R306" s="5">
        <f>SUMPRODUCT(Exposures!$B$9:$K$9,B306:K306)</f>
        <v/>
      </c>
      <c r="S306" s="5">
        <f>SUMPRODUCT(Exposures!$B$10:$K$10,B306:K306)</f>
        <v/>
      </c>
    </row>
    <row r="307">
      <c r="A307" s="1" t="n">
        <v>42902</v>
      </c>
      <c r="B307" s="5" t="n">
        <v>-0.001882988291337793</v>
      </c>
      <c r="C307" s="5" t="n">
        <v>-0.001866505731746831</v>
      </c>
      <c r="D307" s="5" t="n">
        <v>-0.005811775399878124</v>
      </c>
      <c r="E307" s="5" t="n">
        <v>-0.0002782091310645726</v>
      </c>
      <c r="F307" s="5" t="n">
        <v>-0.003742571577055623</v>
      </c>
      <c r="G307" s="5" t="n">
        <v>0.0008676989043004596</v>
      </c>
      <c r="H307" s="5" t="n">
        <v>0.00223115955120316</v>
      </c>
      <c r="I307" s="5" t="n">
        <v>0.001216166664835553</v>
      </c>
      <c r="J307" s="5" t="n">
        <v>-0.0004429395853081236</v>
      </c>
      <c r="K307" s="5" t="n">
        <v>0.0009876531809718089</v>
      </c>
      <c r="L307" s="5" t="n">
        <v>0.0004304209589695322</v>
      </c>
      <c r="M307" s="5">
        <f>SUMPRODUCT(Exposures!$B$6:$K$6,B307:K307)</f>
        <v/>
      </c>
      <c r="N307" s="5">
        <f>IF(AND($A307&gt;=DATE(2020,2,1),$A307&lt;=DATE(2020,5,31)),$M307,"")</f>
        <v/>
      </c>
      <c r="O307" s="5">
        <f>IF(AND($A307&gt;=DATE(2022,1,1),$A307&lt;=DATE(2022,10,31)),$M307,"")</f>
        <v/>
      </c>
      <c r="P307" s="5">
        <f>IF(AND($A307&gt;=DATE(2018,10,1),$A307&lt;=DATE(2018,12,31)),$M307,"")</f>
        <v/>
      </c>
      <c r="Q307" s="5">
        <f>SUMPRODUCT(Exposures!$B$8:$K$8,B307:K307)</f>
        <v/>
      </c>
      <c r="R307" s="5">
        <f>SUMPRODUCT(Exposures!$B$9:$K$9,B307:K307)</f>
        <v/>
      </c>
      <c r="S307" s="5">
        <f>SUMPRODUCT(Exposures!$B$10:$K$10,B307:K307)</f>
        <v/>
      </c>
    </row>
    <row r="308">
      <c r="A308" s="1" t="n">
        <v>42905</v>
      </c>
      <c r="B308" s="5" t="n">
        <v>0.002623455922089042</v>
      </c>
      <c r="C308" s="5" t="n">
        <v>0.002326650737947922</v>
      </c>
      <c r="D308" s="5" t="n">
        <v>-0.001506550037794849</v>
      </c>
      <c r="E308" s="5" t="n">
        <v>-0.002558515029156089</v>
      </c>
      <c r="F308" s="5" t="n">
        <v>0.001806730571886421</v>
      </c>
      <c r="G308" s="5" t="n">
        <v>0.01015955819559069</v>
      </c>
      <c r="H308" s="5" t="n">
        <v>0.002536837576157</v>
      </c>
      <c r="I308" s="5" t="n">
        <v>0.0008761637558066737</v>
      </c>
      <c r="J308" s="5" t="n">
        <v>0.004414833880712898</v>
      </c>
      <c r="K308" s="5" t="n">
        <v>0.001730059417288993</v>
      </c>
      <c r="L308" s="5" t="n">
        <v>-0.002236590846811121</v>
      </c>
      <c r="M308" s="5">
        <f>SUMPRODUCT(Exposures!$B$6:$K$6,B308:K308)</f>
        <v/>
      </c>
      <c r="N308" s="5">
        <f>IF(AND($A308&gt;=DATE(2020,2,1),$A308&lt;=DATE(2020,5,31)),$M308,"")</f>
        <v/>
      </c>
      <c r="O308" s="5">
        <f>IF(AND($A308&gt;=DATE(2022,1,1),$A308&lt;=DATE(2022,10,31)),$M308,"")</f>
        <v/>
      </c>
      <c r="P308" s="5">
        <f>IF(AND($A308&gt;=DATE(2018,10,1),$A308&lt;=DATE(2018,12,31)),$M308,"")</f>
        <v/>
      </c>
      <c r="Q308" s="5">
        <f>SUMPRODUCT(Exposures!$B$8:$K$8,B308:K308)</f>
        <v/>
      </c>
      <c r="R308" s="5">
        <f>SUMPRODUCT(Exposures!$B$9:$K$9,B308:K308)</f>
        <v/>
      </c>
      <c r="S308" s="5">
        <f>SUMPRODUCT(Exposures!$B$10:$K$10,B308:K308)</f>
        <v/>
      </c>
    </row>
    <row r="309">
      <c r="A309" s="1" t="n">
        <v>42906</v>
      </c>
      <c r="B309" s="5" t="n">
        <v>-0.001938322895543671</v>
      </c>
      <c r="C309" s="5" t="n">
        <v>-0.001587522623823726</v>
      </c>
      <c r="D309" s="5" t="n">
        <v>0.000566300698822214</v>
      </c>
      <c r="E309" s="5" t="n">
        <v>0.001409196849186996</v>
      </c>
      <c r="F309" s="5" t="n">
        <v>-0.003070778756988789</v>
      </c>
      <c r="G309" s="5" t="n">
        <v>-0.006954882803715823</v>
      </c>
      <c r="H309" s="5" t="n">
        <v>-0.001856126748309838</v>
      </c>
      <c r="I309" s="5" t="n">
        <v>0.0003360352713151871</v>
      </c>
      <c r="J309" s="5" t="n">
        <v>0.003157247043239137</v>
      </c>
      <c r="K309" s="5" t="n">
        <v>0.005198698750542923</v>
      </c>
      <c r="L309" s="5" t="n">
        <v>-0.0004777197010029871</v>
      </c>
      <c r="M309" s="5">
        <f>SUMPRODUCT(Exposures!$B$6:$K$6,B309:K309)</f>
        <v/>
      </c>
      <c r="N309" s="5">
        <f>IF(AND($A309&gt;=DATE(2020,2,1),$A309&lt;=DATE(2020,5,31)),$M309,"")</f>
        <v/>
      </c>
      <c r="O309" s="5">
        <f>IF(AND($A309&gt;=DATE(2022,1,1),$A309&lt;=DATE(2022,10,31)),$M309,"")</f>
        <v/>
      </c>
      <c r="P309" s="5">
        <f>IF(AND($A309&gt;=DATE(2018,10,1),$A309&lt;=DATE(2018,12,31)),$M309,"")</f>
        <v/>
      </c>
      <c r="Q309" s="5">
        <f>SUMPRODUCT(Exposures!$B$8:$K$8,B309:K309)</f>
        <v/>
      </c>
      <c r="R309" s="5">
        <f>SUMPRODUCT(Exposures!$B$9:$K$9,B309:K309)</f>
        <v/>
      </c>
      <c r="S309" s="5">
        <f>SUMPRODUCT(Exposures!$B$10:$K$10,B309:K309)</f>
        <v/>
      </c>
    </row>
    <row r="310">
      <c r="A310" s="1" t="n">
        <v>42907</v>
      </c>
      <c r="B310" s="5" t="n">
        <v>-0.002739178666351334</v>
      </c>
      <c r="C310" s="5" t="n">
        <v>-0.0004351408537194434</v>
      </c>
      <c r="D310" s="5" t="n">
        <v>0.002970570172824748</v>
      </c>
      <c r="E310" s="5" t="n">
        <v>-0.001885396817032216</v>
      </c>
      <c r="F310" s="5" t="n">
        <v>0.005169908691991385</v>
      </c>
      <c r="G310" s="5" t="n">
        <v>-2.37389689709672e-05</v>
      </c>
      <c r="H310" s="5" t="n">
        <v>0.001145484015959107</v>
      </c>
      <c r="I310" s="5" t="n">
        <v>-0.0006250045874951891</v>
      </c>
      <c r="J310" s="5" t="n">
        <v>0.01099924983420962</v>
      </c>
      <c r="K310" s="5" t="n">
        <v>0.004238960071835463</v>
      </c>
      <c r="L310" s="5" t="n">
        <v>-0.001986783713425049</v>
      </c>
      <c r="M310" s="5">
        <f>SUMPRODUCT(Exposures!$B$6:$K$6,B310:K310)</f>
        <v/>
      </c>
      <c r="N310" s="5">
        <f>IF(AND($A310&gt;=DATE(2020,2,1),$A310&lt;=DATE(2020,5,31)),$M310,"")</f>
        <v/>
      </c>
      <c r="O310" s="5">
        <f>IF(AND($A310&gt;=DATE(2022,1,1),$A310&lt;=DATE(2022,10,31)),$M310,"")</f>
        <v/>
      </c>
      <c r="P310" s="5">
        <f>IF(AND($A310&gt;=DATE(2018,10,1),$A310&lt;=DATE(2018,12,31)),$M310,"")</f>
        <v/>
      </c>
      <c r="Q310" s="5">
        <f>SUMPRODUCT(Exposures!$B$8:$K$8,B310:K310)</f>
        <v/>
      </c>
      <c r="R310" s="5">
        <f>SUMPRODUCT(Exposures!$B$9:$K$9,B310:K310)</f>
        <v/>
      </c>
      <c r="S310" s="5">
        <f>SUMPRODUCT(Exposures!$B$10:$K$10,B310:K310)</f>
        <v/>
      </c>
    </row>
    <row r="311">
      <c r="A311" s="1" t="n">
        <v>42908</v>
      </c>
      <c r="B311" s="5" t="n">
        <v>0.001730523958523696</v>
      </c>
      <c r="C311" s="5" t="n">
        <v>-0.0002276937793644833</v>
      </c>
      <c r="D311" s="5" t="n">
        <v>2.081720974839747e-05</v>
      </c>
      <c r="E311" s="5" t="n">
        <v>0.0001622602473569781</v>
      </c>
      <c r="F311" s="5" t="n">
        <v>0.006531442229820028</v>
      </c>
      <c r="G311" s="5" t="n">
        <v>0.002642340449274166</v>
      </c>
      <c r="H311" s="5" t="n">
        <v>-0.002931112030750811</v>
      </c>
      <c r="I311" s="5" t="n">
        <v>0.002037501374114473</v>
      </c>
      <c r="J311" s="5" t="n">
        <v>0.002534128353311779</v>
      </c>
      <c r="K311" s="5" t="n">
        <v>-0.006367814693875679</v>
      </c>
      <c r="L311" s="5" t="n">
        <v>-0.002092404452136958</v>
      </c>
      <c r="M311" s="5">
        <f>SUMPRODUCT(Exposures!$B$6:$K$6,B311:K311)</f>
        <v/>
      </c>
      <c r="N311" s="5">
        <f>IF(AND($A311&gt;=DATE(2020,2,1),$A311&lt;=DATE(2020,5,31)),$M311,"")</f>
        <v/>
      </c>
      <c r="O311" s="5">
        <f>IF(AND($A311&gt;=DATE(2022,1,1),$A311&lt;=DATE(2022,10,31)),$M311,"")</f>
        <v/>
      </c>
      <c r="P311" s="5">
        <f>IF(AND($A311&gt;=DATE(2018,10,1),$A311&lt;=DATE(2018,12,31)),$M311,"")</f>
        <v/>
      </c>
      <c r="Q311" s="5">
        <f>SUMPRODUCT(Exposures!$B$8:$K$8,B311:K311)</f>
        <v/>
      </c>
      <c r="R311" s="5">
        <f>SUMPRODUCT(Exposures!$B$9:$K$9,B311:K311)</f>
        <v/>
      </c>
      <c r="S311" s="5">
        <f>SUMPRODUCT(Exposures!$B$10:$K$10,B311:K311)</f>
        <v/>
      </c>
    </row>
    <row r="312">
      <c r="A312" s="1" t="n">
        <v>42909</v>
      </c>
      <c r="B312" s="5" t="n">
        <v>0.002865612382875083</v>
      </c>
      <c r="C312" s="5" t="n">
        <v>-0.0008270227073442052</v>
      </c>
      <c r="D312" s="5" t="n">
        <v>-0.001958568284962275</v>
      </c>
      <c r="E312" s="5" t="n">
        <v>-0.003094861560469815</v>
      </c>
      <c r="F312" s="5" t="n">
        <v>0.005607779665761392</v>
      </c>
      <c r="G312" s="5" t="n">
        <v>0.002733103181088132</v>
      </c>
      <c r="H312" s="5" t="n">
        <v>0.0006641594866557214</v>
      </c>
      <c r="I312" s="5" t="n">
        <v>0.0003413914123561416</v>
      </c>
      <c r="J312" s="5" t="n">
        <v>-0.002732854260544078</v>
      </c>
      <c r="K312" s="5" t="n">
        <v>-0.006793856895229221</v>
      </c>
      <c r="L312" s="5" t="n">
        <v>-0.00100993503548354</v>
      </c>
      <c r="M312" s="5">
        <f>SUMPRODUCT(Exposures!$B$6:$K$6,B312:K312)</f>
        <v/>
      </c>
      <c r="N312" s="5">
        <f>IF(AND($A312&gt;=DATE(2020,2,1),$A312&lt;=DATE(2020,5,31)),$M312,"")</f>
        <v/>
      </c>
      <c r="O312" s="5">
        <f>IF(AND($A312&gt;=DATE(2022,1,1),$A312&lt;=DATE(2022,10,31)),$M312,"")</f>
        <v/>
      </c>
      <c r="P312" s="5">
        <f>IF(AND($A312&gt;=DATE(2018,10,1),$A312&lt;=DATE(2018,12,31)),$M312,"")</f>
        <v/>
      </c>
      <c r="Q312" s="5">
        <f>SUMPRODUCT(Exposures!$B$8:$K$8,B312:K312)</f>
        <v/>
      </c>
      <c r="R312" s="5">
        <f>SUMPRODUCT(Exposures!$B$9:$K$9,B312:K312)</f>
        <v/>
      </c>
      <c r="S312" s="5">
        <f>SUMPRODUCT(Exposures!$B$10:$K$10,B312:K312)</f>
        <v/>
      </c>
    </row>
    <row r="313">
      <c r="A313" s="1" t="n">
        <v>42912</v>
      </c>
      <c r="B313" s="5" t="n">
        <v>-0.00379172830499276</v>
      </c>
      <c r="C313" s="5" t="n">
        <v>0.001035206008402108</v>
      </c>
      <c r="D313" s="5" t="n">
        <v>0.001040967229237622</v>
      </c>
      <c r="E313" s="5" t="n">
        <v>0.002769744475158969</v>
      </c>
      <c r="F313" s="5" t="n">
        <v>-0.007394246460478814</v>
      </c>
      <c r="G313" s="5" t="n">
        <v>0.0009801618078418704</v>
      </c>
      <c r="H313" s="5" t="n">
        <v>-0.001381786597036617</v>
      </c>
      <c r="I313" s="5" t="n">
        <v>-0.0006710834054047647</v>
      </c>
      <c r="J313" s="5" t="n">
        <v>0.001638975432090493</v>
      </c>
      <c r="K313" s="5" t="n">
        <v>0.006101708933551735</v>
      </c>
      <c r="L313" s="5" t="n">
        <v>0.001913047712729095</v>
      </c>
      <c r="M313" s="5">
        <f>SUMPRODUCT(Exposures!$B$6:$K$6,B313:K313)</f>
        <v/>
      </c>
      <c r="N313" s="5">
        <f>IF(AND($A313&gt;=DATE(2020,2,1),$A313&lt;=DATE(2020,5,31)),$M313,"")</f>
        <v/>
      </c>
      <c r="O313" s="5">
        <f>IF(AND($A313&gt;=DATE(2022,1,1),$A313&lt;=DATE(2022,10,31)),$M313,"")</f>
        <v/>
      </c>
      <c r="P313" s="5">
        <f>IF(AND($A313&gt;=DATE(2018,10,1),$A313&lt;=DATE(2018,12,31)),$M313,"")</f>
        <v/>
      </c>
      <c r="Q313" s="5">
        <f>SUMPRODUCT(Exposures!$B$8:$K$8,B313:K313)</f>
        <v/>
      </c>
      <c r="R313" s="5">
        <f>SUMPRODUCT(Exposures!$B$9:$K$9,B313:K313)</f>
        <v/>
      </c>
      <c r="S313" s="5">
        <f>SUMPRODUCT(Exposures!$B$10:$K$10,B313:K313)</f>
        <v/>
      </c>
    </row>
    <row r="314">
      <c r="A314" s="1" t="n">
        <v>42913</v>
      </c>
      <c r="B314" s="5" t="n">
        <v>-0.001356969440222606</v>
      </c>
      <c r="C314" s="5" t="n">
        <v>-0.0004426768931933325</v>
      </c>
      <c r="D314" s="5" t="n">
        <v>0.0008129899701383794</v>
      </c>
      <c r="E314" s="5" t="n">
        <v>0.002946576824833545</v>
      </c>
      <c r="F314" s="5" t="n">
        <v>-0.005245163358989181</v>
      </c>
      <c r="G314" s="5" t="n">
        <v>-0.008897495932910287</v>
      </c>
      <c r="H314" s="5" t="n">
        <v>-0.001422261587133883</v>
      </c>
      <c r="I314" s="5" t="n">
        <v>0.0006331816460916344</v>
      </c>
      <c r="J314" s="5" t="n">
        <v>-0.002319129493244114</v>
      </c>
      <c r="K314" s="5" t="n">
        <v>0.00313409138224873</v>
      </c>
      <c r="L314" s="5" t="n">
        <v>0.004969013089341951</v>
      </c>
      <c r="M314" s="5">
        <f>SUMPRODUCT(Exposures!$B$6:$K$6,B314:K314)</f>
        <v/>
      </c>
      <c r="N314" s="5">
        <f>IF(AND($A314&gt;=DATE(2020,2,1),$A314&lt;=DATE(2020,5,31)),$M314,"")</f>
        <v/>
      </c>
      <c r="O314" s="5">
        <f>IF(AND($A314&gt;=DATE(2022,1,1),$A314&lt;=DATE(2022,10,31)),$M314,"")</f>
        <v/>
      </c>
      <c r="P314" s="5">
        <f>IF(AND($A314&gt;=DATE(2018,10,1),$A314&lt;=DATE(2018,12,31)),$M314,"")</f>
        <v/>
      </c>
      <c r="Q314" s="5">
        <f>SUMPRODUCT(Exposures!$B$8:$K$8,B314:K314)</f>
        <v/>
      </c>
      <c r="R314" s="5">
        <f>SUMPRODUCT(Exposures!$B$9:$K$9,B314:K314)</f>
        <v/>
      </c>
      <c r="S314" s="5">
        <f>SUMPRODUCT(Exposures!$B$10:$K$10,B314:K314)</f>
        <v/>
      </c>
    </row>
    <row r="315">
      <c r="A315" s="1" t="n">
        <v>42914</v>
      </c>
      <c r="B315" s="5" t="n">
        <v>0.006483713166718699</v>
      </c>
      <c r="C315" s="5" t="n">
        <v>-0.0001626426501150944</v>
      </c>
      <c r="D315" s="5" t="n">
        <v>-0.000259444507398987</v>
      </c>
      <c r="E315" s="5" t="n">
        <v>-0.001592198909760212</v>
      </c>
      <c r="F315" s="5" t="n">
        <v>-0.002838478434149938</v>
      </c>
      <c r="G315" s="5" t="n">
        <v>0.01042007269104611</v>
      </c>
      <c r="H315" s="5" t="n">
        <v>0.002888569471731504</v>
      </c>
      <c r="I315" s="5" t="n">
        <v>0.0001016883204245297</v>
      </c>
      <c r="J315" s="5" t="n">
        <v>0.0007812746362351694</v>
      </c>
      <c r="K315" s="5" t="n">
        <v>0.003666714530532814</v>
      </c>
      <c r="L315" s="5" t="n">
        <v>0.002419632949715929</v>
      </c>
      <c r="M315" s="5">
        <f>SUMPRODUCT(Exposures!$B$6:$K$6,B315:K315)</f>
        <v/>
      </c>
      <c r="N315" s="5">
        <f>IF(AND($A315&gt;=DATE(2020,2,1),$A315&lt;=DATE(2020,5,31)),$M315,"")</f>
        <v/>
      </c>
      <c r="O315" s="5">
        <f>IF(AND($A315&gt;=DATE(2022,1,1),$A315&lt;=DATE(2022,10,31)),$M315,"")</f>
        <v/>
      </c>
      <c r="P315" s="5">
        <f>IF(AND($A315&gt;=DATE(2018,10,1),$A315&lt;=DATE(2018,12,31)),$M315,"")</f>
        <v/>
      </c>
      <c r="Q315" s="5">
        <f>SUMPRODUCT(Exposures!$B$8:$K$8,B315:K315)</f>
        <v/>
      </c>
      <c r="R315" s="5">
        <f>SUMPRODUCT(Exposures!$B$9:$K$9,B315:K315)</f>
        <v/>
      </c>
      <c r="S315" s="5">
        <f>SUMPRODUCT(Exposures!$B$10:$K$10,B315:K315)</f>
        <v/>
      </c>
    </row>
    <row r="316">
      <c r="A316" s="1" t="n">
        <v>42915</v>
      </c>
      <c r="B316" s="5" t="n">
        <v>0.003840160388485989</v>
      </c>
      <c r="C316" s="5" t="n">
        <v>-0.000276497405826698</v>
      </c>
      <c r="D316" s="5" t="n">
        <v>0.0009465376723161376</v>
      </c>
      <c r="E316" s="5" t="n">
        <v>0.001086409195307614</v>
      </c>
      <c r="F316" s="5" t="n">
        <v>-0.003635282750486774</v>
      </c>
      <c r="G316" s="5" t="n">
        <v>-0.006827433671726458</v>
      </c>
      <c r="H316" s="5" t="n">
        <v>-0.005287645405057015</v>
      </c>
      <c r="I316" s="5" t="n">
        <v>-0.0002419319798119839</v>
      </c>
      <c r="J316" s="5" t="n">
        <v>0.000116206774392704</v>
      </c>
      <c r="K316" s="5" t="n">
        <v>0.003167026141828056</v>
      </c>
      <c r="L316" s="5" t="n">
        <v>0.003668791321993616</v>
      </c>
      <c r="M316" s="5">
        <f>SUMPRODUCT(Exposures!$B$6:$K$6,B316:K316)</f>
        <v/>
      </c>
      <c r="N316" s="5">
        <f>IF(AND($A316&gt;=DATE(2020,2,1),$A316&lt;=DATE(2020,5,31)),$M316,"")</f>
        <v/>
      </c>
      <c r="O316" s="5">
        <f>IF(AND($A316&gt;=DATE(2022,1,1),$A316&lt;=DATE(2022,10,31)),$M316,"")</f>
        <v/>
      </c>
      <c r="P316" s="5">
        <f>IF(AND($A316&gt;=DATE(2018,10,1),$A316&lt;=DATE(2018,12,31)),$M316,"")</f>
        <v/>
      </c>
      <c r="Q316" s="5">
        <f>SUMPRODUCT(Exposures!$B$8:$K$8,B316:K316)</f>
        <v/>
      </c>
      <c r="R316" s="5">
        <f>SUMPRODUCT(Exposures!$B$9:$K$9,B316:K316)</f>
        <v/>
      </c>
      <c r="S316" s="5">
        <f>SUMPRODUCT(Exposures!$B$10:$K$10,B316:K316)</f>
        <v/>
      </c>
    </row>
    <row r="317">
      <c r="A317" s="1" t="n">
        <v>42916</v>
      </c>
      <c r="B317" s="5" t="n">
        <v>0.0009625453820360071</v>
      </c>
      <c r="C317" s="5" t="n">
        <v>0.002229625424795107</v>
      </c>
      <c r="D317" s="5" t="n">
        <v>-0.0001499425565089655</v>
      </c>
      <c r="E317" s="5" t="n">
        <v>0.0002197580015199067</v>
      </c>
      <c r="F317" s="5" t="n">
        <v>-0.001037908822351274</v>
      </c>
      <c r="G317" s="5" t="n">
        <v>0.001524659160546378</v>
      </c>
      <c r="H317" s="5" t="n">
        <v>0.0004057991112703796</v>
      </c>
      <c r="I317" s="5" t="n">
        <v>-0.001242250704997684</v>
      </c>
      <c r="J317" s="5" t="n">
        <v>-0.0004051386874723512</v>
      </c>
      <c r="K317" s="5" t="n">
        <v>0.000667002683770535</v>
      </c>
      <c r="L317" s="5" t="n">
        <v>-0.00272176907281633</v>
      </c>
      <c r="M317" s="5">
        <f>SUMPRODUCT(Exposures!$B$6:$K$6,B317:K317)</f>
        <v/>
      </c>
      <c r="N317" s="5">
        <f>IF(AND($A317&gt;=DATE(2020,2,1),$A317&lt;=DATE(2020,5,31)),$M317,"")</f>
        <v/>
      </c>
      <c r="O317" s="5">
        <f>IF(AND($A317&gt;=DATE(2022,1,1),$A317&lt;=DATE(2022,10,31)),$M317,"")</f>
        <v/>
      </c>
      <c r="P317" s="5">
        <f>IF(AND($A317&gt;=DATE(2018,10,1),$A317&lt;=DATE(2018,12,31)),$M317,"")</f>
        <v/>
      </c>
      <c r="Q317" s="5">
        <f>SUMPRODUCT(Exposures!$B$8:$K$8,B317:K317)</f>
        <v/>
      </c>
      <c r="R317" s="5">
        <f>SUMPRODUCT(Exposures!$B$9:$K$9,B317:K317)</f>
        <v/>
      </c>
      <c r="S317" s="5">
        <f>SUMPRODUCT(Exposures!$B$10:$K$10,B317:K317)</f>
        <v/>
      </c>
    </row>
    <row r="318">
      <c r="A318" s="1" t="n">
        <v>42919</v>
      </c>
      <c r="B318" s="5" t="n">
        <v>0.008565154869614403</v>
      </c>
      <c r="C318" s="5" t="n">
        <v>0.0006616006047751649</v>
      </c>
      <c r="D318" s="5" t="n">
        <v>0.001034164410154177</v>
      </c>
      <c r="E318" s="5" t="n">
        <v>0.002552157673917864</v>
      </c>
      <c r="F318" s="5" t="n">
        <v>-0.0008745847449957347</v>
      </c>
      <c r="G318" s="5" t="n">
        <v>0.004878794723828772</v>
      </c>
      <c r="H318" s="5" t="n">
        <v>-0.004010425458666349</v>
      </c>
      <c r="I318" s="5" t="n">
        <v>1.936210615485464e-06</v>
      </c>
      <c r="J318" s="5" t="n">
        <v>-0.003129159383644861</v>
      </c>
      <c r="K318" s="5" t="n">
        <v>-0.0009414900124326492</v>
      </c>
      <c r="L318" s="5" t="n">
        <v>0.002000759128320754</v>
      </c>
      <c r="M318" s="5">
        <f>SUMPRODUCT(Exposures!$B$6:$K$6,B318:K318)</f>
        <v/>
      </c>
      <c r="N318" s="5">
        <f>IF(AND($A318&gt;=DATE(2020,2,1),$A318&lt;=DATE(2020,5,31)),$M318,"")</f>
        <v/>
      </c>
      <c r="O318" s="5">
        <f>IF(AND($A318&gt;=DATE(2022,1,1),$A318&lt;=DATE(2022,10,31)),$M318,"")</f>
        <v/>
      </c>
      <c r="P318" s="5">
        <f>IF(AND($A318&gt;=DATE(2018,10,1),$A318&lt;=DATE(2018,12,31)),$M318,"")</f>
        <v/>
      </c>
      <c r="Q318" s="5">
        <f>SUMPRODUCT(Exposures!$B$8:$K$8,B318:K318)</f>
        <v/>
      </c>
      <c r="R318" s="5">
        <f>SUMPRODUCT(Exposures!$B$9:$K$9,B318:K318)</f>
        <v/>
      </c>
      <c r="S318" s="5">
        <f>SUMPRODUCT(Exposures!$B$10:$K$10,B318:K318)</f>
        <v/>
      </c>
    </row>
    <row r="319">
      <c r="A319" s="1" t="n">
        <v>42921</v>
      </c>
      <c r="B319" s="5" t="n">
        <v>0.00132565481247618</v>
      </c>
      <c r="C319" s="5" t="n">
        <v>-0.003240448815109469</v>
      </c>
      <c r="D319" s="5" t="n">
        <v>0.001715798109645849</v>
      </c>
      <c r="E319" s="5" t="n">
        <v>0.002246783481162872</v>
      </c>
      <c r="F319" s="5" t="n">
        <v>0.004740103578479503</v>
      </c>
      <c r="G319" s="5" t="n">
        <v>-0.0003728708078312283</v>
      </c>
      <c r="H319" s="5" t="n">
        <v>0.006383385283295201</v>
      </c>
      <c r="I319" s="5" t="n">
        <v>-8.918909269943183e-05</v>
      </c>
      <c r="J319" s="5" t="n">
        <v>0.002472470549560793</v>
      </c>
      <c r="K319" s="5" t="n">
        <v>0.002289279897753283</v>
      </c>
      <c r="L319" s="5" t="n">
        <v>-0.0006987612690594111</v>
      </c>
      <c r="M319" s="5">
        <f>SUMPRODUCT(Exposures!$B$6:$K$6,B319:K319)</f>
        <v/>
      </c>
      <c r="N319" s="5">
        <f>IF(AND($A319&gt;=DATE(2020,2,1),$A319&lt;=DATE(2020,5,31)),$M319,"")</f>
        <v/>
      </c>
      <c r="O319" s="5">
        <f>IF(AND($A319&gt;=DATE(2022,1,1),$A319&lt;=DATE(2022,10,31)),$M319,"")</f>
        <v/>
      </c>
      <c r="P319" s="5">
        <f>IF(AND($A319&gt;=DATE(2018,10,1),$A319&lt;=DATE(2018,12,31)),$M319,"")</f>
        <v/>
      </c>
      <c r="Q319" s="5">
        <f>SUMPRODUCT(Exposures!$B$8:$K$8,B319:K319)</f>
        <v/>
      </c>
      <c r="R319" s="5">
        <f>SUMPRODUCT(Exposures!$B$9:$K$9,B319:K319)</f>
        <v/>
      </c>
      <c r="S319" s="5">
        <f>SUMPRODUCT(Exposures!$B$10:$K$10,B319:K319)</f>
        <v/>
      </c>
    </row>
    <row r="320">
      <c r="A320" s="1" t="n">
        <v>42922</v>
      </c>
      <c r="B320" s="5" t="n">
        <v>-0.001464211932949877</v>
      </c>
      <c r="C320" s="5" t="n">
        <v>-0.0002036817399544584</v>
      </c>
      <c r="D320" s="5" t="n">
        <v>0.0004564866593626783</v>
      </c>
      <c r="E320" s="5" t="n">
        <v>0.0003503172809495982</v>
      </c>
      <c r="F320" s="5" t="n">
        <v>-0.001422623998614099</v>
      </c>
      <c r="G320" s="5" t="n">
        <v>-0.01093320582646142</v>
      </c>
      <c r="H320" s="5" t="n">
        <v>0.003330427409801084</v>
      </c>
      <c r="I320" s="5" t="n">
        <v>0.0001577818656861565</v>
      </c>
      <c r="J320" s="5" t="n">
        <v>-0.003510275476054053</v>
      </c>
      <c r="K320" s="5" t="n">
        <v>-0.0004069493637215531</v>
      </c>
      <c r="L320" s="5" t="n">
        <v>-0.000260118348040308</v>
      </c>
      <c r="M320" s="5">
        <f>SUMPRODUCT(Exposures!$B$6:$K$6,B320:K320)</f>
        <v/>
      </c>
      <c r="N320" s="5">
        <f>IF(AND($A320&gt;=DATE(2020,2,1),$A320&lt;=DATE(2020,5,31)),$M320,"")</f>
        <v/>
      </c>
      <c r="O320" s="5">
        <f>IF(AND($A320&gt;=DATE(2022,1,1),$A320&lt;=DATE(2022,10,31)),$M320,"")</f>
        <v/>
      </c>
      <c r="P320" s="5">
        <f>IF(AND($A320&gt;=DATE(2018,10,1),$A320&lt;=DATE(2018,12,31)),$M320,"")</f>
        <v/>
      </c>
      <c r="Q320" s="5">
        <f>SUMPRODUCT(Exposures!$B$8:$K$8,B320:K320)</f>
        <v/>
      </c>
      <c r="R320" s="5">
        <f>SUMPRODUCT(Exposures!$B$9:$K$9,B320:K320)</f>
        <v/>
      </c>
      <c r="S320" s="5">
        <f>SUMPRODUCT(Exposures!$B$10:$K$10,B320:K320)</f>
        <v/>
      </c>
    </row>
    <row r="321">
      <c r="A321" s="1" t="n">
        <v>42923</v>
      </c>
      <c r="B321" s="5" t="n">
        <v>0.003199617264061978</v>
      </c>
      <c r="C321" s="5" t="n">
        <v>0.0005515907096586126</v>
      </c>
      <c r="D321" s="5" t="n">
        <v>5.796636041743114e-05</v>
      </c>
      <c r="E321" s="5" t="n">
        <v>0.000383176282940759</v>
      </c>
      <c r="F321" s="5" t="n">
        <v>0.003020877754551114</v>
      </c>
      <c r="G321" s="5" t="n">
        <v>0.008728179011003962</v>
      </c>
      <c r="H321" s="5" t="n">
        <v>0.002767000382205031</v>
      </c>
      <c r="I321" s="5" t="n">
        <v>-0.0005170749104071322</v>
      </c>
      <c r="J321" s="5" t="n">
        <v>-0.0009473973494080121</v>
      </c>
      <c r="K321" s="5" t="n">
        <v>-0.003987252931501397</v>
      </c>
      <c r="L321" s="5" t="n">
        <v>-0.002672172517489798</v>
      </c>
      <c r="M321" s="5">
        <f>SUMPRODUCT(Exposures!$B$6:$K$6,B321:K321)</f>
        <v/>
      </c>
      <c r="N321" s="5">
        <f>IF(AND($A321&gt;=DATE(2020,2,1),$A321&lt;=DATE(2020,5,31)),$M321,"")</f>
        <v/>
      </c>
      <c r="O321" s="5">
        <f>IF(AND($A321&gt;=DATE(2022,1,1),$A321&lt;=DATE(2022,10,31)),$M321,"")</f>
        <v/>
      </c>
      <c r="P321" s="5">
        <f>IF(AND($A321&gt;=DATE(2018,10,1),$A321&lt;=DATE(2018,12,31)),$M321,"")</f>
        <v/>
      </c>
      <c r="Q321" s="5">
        <f>SUMPRODUCT(Exposures!$B$8:$K$8,B321:K321)</f>
        <v/>
      </c>
      <c r="R321" s="5">
        <f>SUMPRODUCT(Exposures!$B$9:$K$9,B321:K321)</f>
        <v/>
      </c>
      <c r="S321" s="5">
        <f>SUMPRODUCT(Exposures!$B$10:$K$10,B321:K321)</f>
        <v/>
      </c>
    </row>
    <row r="322">
      <c r="A322" s="1" t="n">
        <v>42926</v>
      </c>
      <c r="B322" s="5" t="n">
        <v>-0.0001146340188034945</v>
      </c>
      <c r="C322" s="5" t="n">
        <v>0.003090331474122877</v>
      </c>
      <c r="D322" s="5" t="n">
        <v>0.00132195872311248</v>
      </c>
      <c r="E322" s="5" t="n">
        <v>-9.800498099938568e-05</v>
      </c>
      <c r="F322" s="5" t="n">
        <v>-0.001018089818969351</v>
      </c>
      <c r="G322" s="5" t="n">
        <v>-0.00293434279361068</v>
      </c>
      <c r="H322" s="5" t="n">
        <v>0.003895041123536669</v>
      </c>
      <c r="I322" s="5" t="n">
        <v>-0.001294716829928405</v>
      </c>
      <c r="J322" s="5" t="n">
        <v>-0.0004865505611663972</v>
      </c>
      <c r="K322" s="5" t="n">
        <v>0.003233736758408118</v>
      </c>
      <c r="L322" s="5" t="n">
        <v>-0.002822781704127465</v>
      </c>
      <c r="M322" s="5">
        <f>SUMPRODUCT(Exposures!$B$6:$K$6,B322:K322)</f>
        <v/>
      </c>
      <c r="N322" s="5">
        <f>IF(AND($A322&gt;=DATE(2020,2,1),$A322&lt;=DATE(2020,5,31)),$M322,"")</f>
        <v/>
      </c>
      <c r="O322" s="5">
        <f>IF(AND($A322&gt;=DATE(2022,1,1),$A322&lt;=DATE(2022,10,31)),$M322,"")</f>
        <v/>
      </c>
      <c r="P322" s="5">
        <f>IF(AND($A322&gt;=DATE(2018,10,1),$A322&lt;=DATE(2018,12,31)),$M322,"")</f>
        <v/>
      </c>
      <c r="Q322" s="5">
        <f>SUMPRODUCT(Exposures!$B$8:$K$8,B322:K322)</f>
        <v/>
      </c>
      <c r="R322" s="5">
        <f>SUMPRODUCT(Exposures!$B$9:$K$9,B322:K322)</f>
        <v/>
      </c>
      <c r="S322" s="5">
        <f>SUMPRODUCT(Exposures!$B$10:$K$10,B322:K322)</f>
        <v/>
      </c>
    </row>
    <row r="323">
      <c r="A323" s="1" t="n">
        <v>42927</v>
      </c>
      <c r="B323" s="5" t="n">
        <v>0.003183113851348268</v>
      </c>
      <c r="C323" s="5" t="n">
        <v>-3.323386970923293e-05</v>
      </c>
      <c r="D323" s="5" t="n">
        <v>0.001203426322192526</v>
      </c>
      <c r="E323" s="5" t="n">
        <v>-0.001648602542909394</v>
      </c>
      <c r="F323" s="5" t="n">
        <v>0.0002492938859203161</v>
      </c>
      <c r="G323" s="5" t="n">
        <v>-5.020839983599482e-05</v>
      </c>
      <c r="H323" s="5" t="n">
        <v>0.001444786514382143</v>
      </c>
      <c r="I323" s="5" t="n">
        <v>0.0001985148426105229</v>
      </c>
      <c r="J323" s="5" t="n">
        <v>-0.00188788189524202</v>
      </c>
      <c r="K323" s="5" t="n">
        <v>-0.0007767899733021342</v>
      </c>
      <c r="L323" s="5" t="n">
        <v>-0.00137972407599056</v>
      </c>
      <c r="M323" s="5">
        <f>SUMPRODUCT(Exposures!$B$6:$K$6,B323:K323)</f>
        <v/>
      </c>
      <c r="N323" s="5">
        <f>IF(AND($A323&gt;=DATE(2020,2,1),$A323&lt;=DATE(2020,5,31)),$M323,"")</f>
        <v/>
      </c>
      <c r="O323" s="5">
        <f>IF(AND($A323&gt;=DATE(2022,1,1),$A323&lt;=DATE(2022,10,31)),$M323,"")</f>
        <v/>
      </c>
      <c r="P323" s="5">
        <f>IF(AND($A323&gt;=DATE(2018,10,1),$A323&lt;=DATE(2018,12,31)),$M323,"")</f>
        <v/>
      </c>
      <c r="Q323" s="5">
        <f>SUMPRODUCT(Exposures!$B$8:$K$8,B323:K323)</f>
        <v/>
      </c>
      <c r="R323" s="5">
        <f>SUMPRODUCT(Exposures!$B$9:$K$9,B323:K323)</f>
        <v/>
      </c>
      <c r="S323" s="5">
        <f>SUMPRODUCT(Exposures!$B$10:$K$10,B323:K323)</f>
        <v/>
      </c>
    </row>
    <row r="324">
      <c r="A324" s="1" t="n">
        <v>42928</v>
      </c>
      <c r="B324" s="5" t="n">
        <v>0.001941234154027306</v>
      </c>
      <c r="C324" s="5" t="n">
        <v>-0.0003151250123619889</v>
      </c>
      <c r="D324" s="5" t="n">
        <v>0.0006235147771396876</v>
      </c>
      <c r="E324" s="5" t="n">
        <v>0.0003071399836172903</v>
      </c>
      <c r="F324" s="5" t="n">
        <v>0.002544342784679254</v>
      </c>
      <c r="G324" s="5" t="n">
        <v>0.007623254094864315</v>
      </c>
      <c r="H324" s="5" t="n">
        <v>0.001787934450717202</v>
      </c>
      <c r="I324" s="5" t="n">
        <v>0.0002788338703303178</v>
      </c>
      <c r="J324" s="5" t="n">
        <v>-0.002348532301146243</v>
      </c>
      <c r="K324" s="5" t="n">
        <v>-0.003588711079420789</v>
      </c>
      <c r="L324" s="5" t="n">
        <v>-0.002068456688563558</v>
      </c>
      <c r="M324" s="5">
        <f>SUMPRODUCT(Exposures!$B$6:$K$6,B324:K324)</f>
        <v/>
      </c>
      <c r="N324" s="5">
        <f>IF(AND($A324&gt;=DATE(2020,2,1),$A324&lt;=DATE(2020,5,31)),$M324,"")</f>
        <v/>
      </c>
      <c r="O324" s="5">
        <f>IF(AND($A324&gt;=DATE(2022,1,1),$A324&lt;=DATE(2022,10,31)),$M324,"")</f>
        <v/>
      </c>
      <c r="P324" s="5">
        <f>IF(AND($A324&gt;=DATE(2018,10,1),$A324&lt;=DATE(2018,12,31)),$M324,"")</f>
        <v/>
      </c>
      <c r="Q324" s="5">
        <f>SUMPRODUCT(Exposures!$B$8:$K$8,B324:K324)</f>
        <v/>
      </c>
      <c r="R324" s="5">
        <f>SUMPRODUCT(Exposures!$B$9:$K$9,B324:K324)</f>
        <v/>
      </c>
      <c r="S324" s="5">
        <f>SUMPRODUCT(Exposures!$B$10:$K$10,B324:K324)</f>
        <v/>
      </c>
    </row>
    <row r="325">
      <c r="A325" s="1" t="n">
        <v>42929</v>
      </c>
      <c r="B325" s="5" t="n">
        <v>0.002743632662330661</v>
      </c>
      <c r="C325" s="5" t="n">
        <v>0.0007815844394997349</v>
      </c>
      <c r="D325" s="5" t="n">
        <v>-0.0008634007753431923</v>
      </c>
      <c r="E325" s="5" t="n">
        <v>-0.0001451537236214308</v>
      </c>
      <c r="F325" s="5" t="n">
        <v>0.002917296940870752</v>
      </c>
      <c r="G325" s="5" t="n">
        <v>0.00173156531250853</v>
      </c>
      <c r="H325" s="5" t="n">
        <v>-0.002079902972621414</v>
      </c>
      <c r="I325" s="5" t="n">
        <v>9.108123499629382e-05</v>
      </c>
      <c r="J325" s="5" t="n">
        <v>0.0015358528013864</v>
      </c>
      <c r="K325" s="5" t="n">
        <v>-0.0006847660837843927</v>
      </c>
      <c r="L325" s="5" t="n">
        <v>0.0005201795317817801</v>
      </c>
      <c r="M325" s="5">
        <f>SUMPRODUCT(Exposures!$B$6:$K$6,B325:K325)</f>
        <v/>
      </c>
      <c r="N325" s="5">
        <f>IF(AND($A325&gt;=DATE(2020,2,1),$A325&lt;=DATE(2020,5,31)),$M325,"")</f>
        <v/>
      </c>
      <c r="O325" s="5">
        <f>IF(AND($A325&gt;=DATE(2022,1,1),$A325&lt;=DATE(2022,10,31)),$M325,"")</f>
        <v/>
      </c>
      <c r="P325" s="5">
        <f>IF(AND($A325&gt;=DATE(2018,10,1),$A325&lt;=DATE(2018,12,31)),$M325,"")</f>
        <v/>
      </c>
      <c r="Q325" s="5">
        <f>SUMPRODUCT(Exposures!$B$8:$K$8,B325:K325)</f>
        <v/>
      </c>
      <c r="R325" s="5">
        <f>SUMPRODUCT(Exposures!$B$9:$K$9,B325:K325)</f>
        <v/>
      </c>
      <c r="S325" s="5">
        <f>SUMPRODUCT(Exposures!$B$10:$K$10,B325:K325)</f>
        <v/>
      </c>
    </row>
    <row r="326">
      <c r="A326" s="1" t="n">
        <v>42930</v>
      </c>
      <c r="B326" s="5" t="n">
        <v>-0.003842348052970329</v>
      </c>
      <c r="C326" s="5" t="n">
        <v>0.0008799057735604217</v>
      </c>
      <c r="D326" s="5" t="n">
        <v>-0.0001940105555090402</v>
      </c>
      <c r="E326" s="5" t="n">
        <v>-0.001418569473481332</v>
      </c>
      <c r="F326" s="5" t="n">
        <v>-0.0003962534142645845</v>
      </c>
      <c r="G326" s="5" t="n">
        <v>0.004160904694005777</v>
      </c>
      <c r="H326" s="5" t="n">
        <v>0.002705221067449854</v>
      </c>
      <c r="I326" s="5" t="n">
        <v>0.0004447795956825993</v>
      </c>
      <c r="J326" s="5" t="n">
        <v>0.003159985171691924</v>
      </c>
      <c r="K326" s="5" t="n">
        <v>0.001618718519535057</v>
      </c>
      <c r="L326" s="5" t="n">
        <v>-0.003282578057532444</v>
      </c>
      <c r="M326" s="5">
        <f>SUMPRODUCT(Exposures!$B$6:$K$6,B326:K326)</f>
        <v/>
      </c>
      <c r="N326" s="5">
        <f>IF(AND($A326&gt;=DATE(2020,2,1),$A326&lt;=DATE(2020,5,31)),$M326,"")</f>
        <v/>
      </c>
      <c r="O326" s="5">
        <f>IF(AND($A326&gt;=DATE(2022,1,1),$A326&lt;=DATE(2022,10,31)),$M326,"")</f>
        <v/>
      </c>
      <c r="P326" s="5">
        <f>IF(AND($A326&gt;=DATE(2018,10,1),$A326&lt;=DATE(2018,12,31)),$M326,"")</f>
        <v/>
      </c>
      <c r="Q326" s="5">
        <f>SUMPRODUCT(Exposures!$B$8:$K$8,B326:K326)</f>
        <v/>
      </c>
      <c r="R326" s="5">
        <f>SUMPRODUCT(Exposures!$B$9:$K$9,B326:K326)</f>
        <v/>
      </c>
      <c r="S326" s="5">
        <f>SUMPRODUCT(Exposures!$B$10:$K$10,B326:K326)</f>
        <v/>
      </c>
    </row>
    <row r="327">
      <c r="A327" s="1" t="n">
        <v>42933</v>
      </c>
      <c r="B327" s="5" t="n">
        <v>-0.0001489743926943696</v>
      </c>
      <c r="C327" s="5" t="n">
        <v>0.0007028623802738241</v>
      </c>
      <c r="D327" s="5" t="n">
        <v>0.002101727168211905</v>
      </c>
      <c r="E327" s="5" t="n">
        <v>-0.0006254403806960556</v>
      </c>
      <c r="F327" s="5" t="n">
        <v>-0.001833974012852468</v>
      </c>
      <c r="G327" s="5" t="n">
        <v>0.0005024608353401047</v>
      </c>
      <c r="H327" s="5" t="n">
        <v>-0.0009302054659201731</v>
      </c>
      <c r="I327" s="5" t="n">
        <v>-0.000148120522430906</v>
      </c>
      <c r="J327" s="5" t="n">
        <v>0.000532949080019409</v>
      </c>
      <c r="K327" s="5" t="n">
        <v>0.0009916868278391814</v>
      </c>
      <c r="L327" s="5" t="n">
        <v>0.000856183977521411</v>
      </c>
      <c r="M327" s="5">
        <f>SUMPRODUCT(Exposures!$B$6:$K$6,B327:K327)</f>
        <v/>
      </c>
      <c r="N327" s="5">
        <f>IF(AND($A327&gt;=DATE(2020,2,1),$A327&lt;=DATE(2020,5,31)),$M327,"")</f>
        <v/>
      </c>
      <c r="O327" s="5">
        <f>IF(AND($A327&gt;=DATE(2022,1,1),$A327&lt;=DATE(2022,10,31)),$M327,"")</f>
        <v/>
      </c>
      <c r="P327" s="5">
        <f>IF(AND($A327&gt;=DATE(2018,10,1),$A327&lt;=DATE(2018,12,31)),$M327,"")</f>
        <v/>
      </c>
      <c r="Q327" s="5">
        <f>SUMPRODUCT(Exposures!$B$8:$K$8,B327:K327)</f>
        <v/>
      </c>
      <c r="R327" s="5">
        <f>SUMPRODUCT(Exposures!$B$9:$K$9,B327:K327)</f>
        <v/>
      </c>
      <c r="S327" s="5">
        <f>SUMPRODUCT(Exposures!$B$10:$K$10,B327:K327)</f>
        <v/>
      </c>
    </row>
    <row r="328">
      <c r="A328" s="1" t="n">
        <v>42934</v>
      </c>
      <c r="B328" s="5" t="n">
        <v>-0.004101647055131211</v>
      </c>
      <c r="C328" s="5" t="n">
        <v>-0.0005894372657603172</v>
      </c>
      <c r="D328" s="5" t="n">
        <v>0.001327176032960925</v>
      </c>
      <c r="E328" s="5" t="n">
        <v>-0.002531065092626077</v>
      </c>
      <c r="F328" s="5" t="n">
        <v>-0.003323043917589863</v>
      </c>
      <c r="G328" s="5" t="n">
        <v>-0.000665841939617848</v>
      </c>
      <c r="H328" s="5" t="n">
        <v>0.002701569639906389</v>
      </c>
      <c r="I328" s="5" t="n">
        <v>-0.0001469533958456435</v>
      </c>
      <c r="J328" s="5" t="n">
        <v>0.002128497593861162</v>
      </c>
      <c r="K328" s="5" t="n">
        <v>0.004274986013585579</v>
      </c>
      <c r="L328" s="5" t="n">
        <v>0.002381472035455357</v>
      </c>
      <c r="M328" s="5">
        <f>SUMPRODUCT(Exposures!$B$6:$K$6,B328:K328)</f>
        <v/>
      </c>
      <c r="N328" s="5">
        <f>IF(AND($A328&gt;=DATE(2020,2,1),$A328&lt;=DATE(2020,5,31)),$M328,"")</f>
        <v/>
      </c>
      <c r="O328" s="5">
        <f>IF(AND($A328&gt;=DATE(2022,1,1),$A328&lt;=DATE(2022,10,31)),$M328,"")</f>
        <v/>
      </c>
      <c r="P328" s="5">
        <f>IF(AND($A328&gt;=DATE(2018,10,1),$A328&lt;=DATE(2018,12,31)),$M328,"")</f>
        <v/>
      </c>
      <c r="Q328" s="5">
        <f>SUMPRODUCT(Exposures!$B$8:$K$8,B328:K328)</f>
        <v/>
      </c>
      <c r="R328" s="5">
        <f>SUMPRODUCT(Exposures!$B$9:$K$9,B328:K328)</f>
        <v/>
      </c>
      <c r="S328" s="5">
        <f>SUMPRODUCT(Exposures!$B$10:$K$10,B328:K328)</f>
        <v/>
      </c>
    </row>
    <row r="329">
      <c r="A329" s="1" t="n">
        <v>42935</v>
      </c>
      <c r="B329" s="5" t="n">
        <v>0.00304464660572115</v>
      </c>
      <c r="C329" s="5" t="n">
        <v>0.0003579651945662811</v>
      </c>
      <c r="D329" s="5" t="n">
        <v>2.482420105258743e-05</v>
      </c>
      <c r="E329" s="5" t="n">
        <v>-0.0008987547364618044</v>
      </c>
      <c r="F329" s="5" t="n">
        <v>-0.004037706887028836</v>
      </c>
      <c r="G329" s="5" t="n">
        <v>0.006014699233522571</v>
      </c>
      <c r="H329" s="5" t="n">
        <v>-0.002128955266149546</v>
      </c>
      <c r="I329" s="5" t="n">
        <v>-2.609031070942758e-05</v>
      </c>
      <c r="J329" s="5" t="n">
        <v>0.001040781845286953</v>
      </c>
      <c r="K329" s="5" t="n">
        <v>0.003976583287794632</v>
      </c>
      <c r="L329" s="5" t="n">
        <v>-0.0005904354213440247</v>
      </c>
      <c r="M329" s="5">
        <f>SUMPRODUCT(Exposures!$B$6:$K$6,B329:K329)</f>
        <v/>
      </c>
      <c r="N329" s="5">
        <f>IF(AND($A329&gt;=DATE(2020,2,1),$A329&lt;=DATE(2020,5,31)),$M329,"")</f>
        <v/>
      </c>
      <c r="O329" s="5">
        <f>IF(AND($A329&gt;=DATE(2022,1,1),$A329&lt;=DATE(2022,10,31)),$M329,"")</f>
        <v/>
      </c>
      <c r="P329" s="5">
        <f>IF(AND($A329&gt;=DATE(2018,10,1),$A329&lt;=DATE(2018,12,31)),$M329,"")</f>
        <v/>
      </c>
      <c r="Q329" s="5">
        <f>SUMPRODUCT(Exposures!$B$8:$K$8,B329:K329)</f>
        <v/>
      </c>
      <c r="R329" s="5">
        <f>SUMPRODUCT(Exposures!$B$9:$K$9,B329:K329)</f>
        <v/>
      </c>
      <c r="S329" s="5">
        <f>SUMPRODUCT(Exposures!$B$10:$K$10,B329:K329)</f>
        <v/>
      </c>
    </row>
    <row r="330">
      <c r="A330" s="1" t="n">
        <v>42936</v>
      </c>
      <c r="B330" s="5" t="n">
        <v>-0.0005615512905437374</v>
      </c>
      <c r="C330" s="5" t="n">
        <v>-0.001420651270783385</v>
      </c>
      <c r="D330" s="5" t="n">
        <v>0.001734313388415024</v>
      </c>
      <c r="E330" s="5" t="n">
        <v>0.0002503984749639348</v>
      </c>
      <c r="F330" s="5" t="n">
        <v>-0.001675962012625941</v>
      </c>
      <c r="G330" s="5" t="n">
        <v>0.0008014621000009061</v>
      </c>
      <c r="H330" s="5" t="n">
        <v>-0.002726699774086743</v>
      </c>
      <c r="I330" s="5" t="n">
        <v>-0.0003309883419868753</v>
      </c>
      <c r="J330" s="5" t="n">
        <v>0.002481308451842734</v>
      </c>
      <c r="K330" s="5" t="n">
        <v>0.003383370169945315</v>
      </c>
      <c r="L330" s="5" t="n">
        <v>0.000601982448671345</v>
      </c>
      <c r="M330" s="5">
        <f>SUMPRODUCT(Exposures!$B$6:$K$6,B330:K330)</f>
        <v/>
      </c>
      <c r="N330" s="5">
        <f>IF(AND($A330&gt;=DATE(2020,2,1),$A330&lt;=DATE(2020,5,31)),$M330,"")</f>
        <v/>
      </c>
      <c r="O330" s="5">
        <f>IF(AND($A330&gt;=DATE(2022,1,1),$A330&lt;=DATE(2022,10,31)),$M330,"")</f>
        <v/>
      </c>
      <c r="P330" s="5">
        <f>IF(AND($A330&gt;=DATE(2018,10,1),$A330&lt;=DATE(2018,12,31)),$M330,"")</f>
        <v/>
      </c>
      <c r="Q330" s="5">
        <f>SUMPRODUCT(Exposures!$B$8:$K$8,B330:K330)</f>
        <v/>
      </c>
      <c r="R330" s="5">
        <f>SUMPRODUCT(Exposures!$B$9:$K$9,B330:K330)</f>
        <v/>
      </c>
      <c r="S330" s="5">
        <f>SUMPRODUCT(Exposures!$B$10:$K$10,B330:K330)</f>
        <v/>
      </c>
    </row>
    <row r="331">
      <c r="A331" s="1" t="n">
        <v>42937</v>
      </c>
      <c r="B331" s="5" t="n">
        <v>-0.002209602317809979</v>
      </c>
      <c r="C331" s="5" t="n">
        <v>0.000866661093110184</v>
      </c>
      <c r="D331" s="5" t="n">
        <v>-0.002582412144575399</v>
      </c>
      <c r="E331" s="5" t="n">
        <v>0.001478755293265445</v>
      </c>
      <c r="F331" s="5" t="n">
        <v>0.002900353001619674</v>
      </c>
      <c r="G331" s="5" t="n">
        <v>0.0005574015973313169</v>
      </c>
      <c r="H331" s="5" t="n">
        <v>-0.002614972051443644</v>
      </c>
      <c r="I331" s="5" t="n">
        <v>-0.0002042723091485817</v>
      </c>
      <c r="J331" s="5" t="n">
        <v>0.0007603575064401022</v>
      </c>
      <c r="K331" s="5" t="n">
        <v>-0.001768851898649583</v>
      </c>
      <c r="L331" s="5" t="n">
        <v>-0.0006894665185407337</v>
      </c>
      <c r="M331" s="5">
        <f>SUMPRODUCT(Exposures!$B$6:$K$6,B331:K331)</f>
        <v/>
      </c>
      <c r="N331" s="5">
        <f>IF(AND($A331&gt;=DATE(2020,2,1),$A331&lt;=DATE(2020,5,31)),$M331,"")</f>
        <v/>
      </c>
      <c r="O331" s="5">
        <f>IF(AND($A331&gt;=DATE(2022,1,1),$A331&lt;=DATE(2022,10,31)),$M331,"")</f>
        <v/>
      </c>
      <c r="P331" s="5">
        <f>IF(AND($A331&gt;=DATE(2018,10,1),$A331&lt;=DATE(2018,12,31)),$M331,"")</f>
        <v/>
      </c>
      <c r="Q331" s="5">
        <f>SUMPRODUCT(Exposures!$B$8:$K$8,B331:K331)</f>
        <v/>
      </c>
      <c r="R331" s="5">
        <f>SUMPRODUCT(Exposures!$B$9:$K$9,B331:K331)</f>
        <v/>
      </c>
      <c r="S331" s="5">
        <f>SUMPRODUCT(Exposures!$B$10:$K$10,B331:K331)</f>
        <v/>
      </c>
    </row>
    <row r="332">
      <c r="A332" s="1" t="n">
        <v>42940</v>
      </c>
      <c r="B332" s="5" t="n">
        <v>0.0009657384145372518</v>
      </c>
      <c r="C332" s="5" t="n">
        <v>-0.000970824009035304</v>
      </c>
      <c r="D332" s="5" t="n">
        <v>0.0001122310625968728</v>
      </c>
      <c r="E332" s="5" t="n">
        <v>-0.0004398349896359879</v>
      </c>
      <c r="F332" s="5" t="n">
        <v>0.0001715360577444597</v>
      </c>
      <c r="G332" s="5" t="n">
        <v>-0.0002197906891624407</v>
      </c>
      <c r="H332" s="5" t="n">
        <v>0.002413942580595648</v>
      </c>
      <c r="I332" s="5" t="n">
        <v>-0.001895848958457926</v>
      </c>
      <c r="J332" s="5" t="n">
        <v>0.002097801380322451</v>
      </c>
      <c r="K332" s="5" t="n">
        <v>0.003054460376955719</v>
      </c>
      <c r="L332" s="5" t="n">
        <v>0.0005724016971759008</v>
      </c>
      <c r="M332" s="5">
        <f>SUMPRODUCT(Exposures!$B$6:$K$6,B332:K332)</f>
        <v/>
      </c>
      <c r="N332" s="5">
        <f>IF(AND($A332&gt;=DATE(2020,2,1),$A332&lt;=DATE(2020,5,31)),$M332,"")</f>
        <v/>
      </c>
      <c r="O332" s="5">
        <f>IF(AND($A332&gt;=DATE(2022,1,1),$A332&lt;=DATE(2022,10,31)),$M332,"")</f>
        <v/>
      </c>
      <c r="P332" s="5">
        <f>IF(AND($A332&gt;=DATE(2018,10,1),$A332&lt;=DATE(2018,12,31)),$M332,"")</f>
        <v/>
      </c>
      <c r="Q332" s="5">
        <f>SUMPRODUCT(Exposures!$B$8:$K$8,B332:K332)</f>
        <v/>
      </c>
      <c r="R332" s="5">
        <f>SUMPRODUCT(Exposures!$B$9:$K$9,B332:K332)</f>
        <v/>
      </c>
      <c r="S332" s="5">
        <f>SUMPRODUCT(Exposures!$B$10:$K$10,B332:K332)</f>
        <v/>
      </c>
    </row>
    <row r="333">
      <c r="A333" s="1" t="n">
        <v>42941</v>
      </c>
      <c r="B333" s="5" t="n">
        <v>0.002810587448246872</v>
      </c>
      <c r="C333" s="5" t="n">
        <v>0.001150418298570479</v>
      </c>
      <c r="D333" s="5" t="n">
        <v>0.0009981445116491454</v>
      </c>
      <c r="E333" s="5" t="n">
        <v>0.001521011433931122</v>
      </c>
      <c r="F333" s="5" t="n">
        <v>-6.960007925544765e-05</v>
      </c>
      <c r="G333" s="5" t="n">
        <v>0.004267445071795965</v>
      </c>
      <c r="H333" s="5" t="n">
        <v>-0.00177238869353568</v>
      </c>
      <c r="I333" s="5" t="n">
        <v>0.001174946391953571</v>
      </c>
      <c r="J333" s="5" t="n">
        <v>0.001711820277077526</v>
      </c>
      <c r="K333" s="5" t="n">
        <v>-0.0008904394034006044</v>
      </c>
      <c r="L333" s="5" t="n">
        <v>0.002364954056216186</v>
      </c>
      <c r="M333" s="5">
        <f>SUMPRODUCT(Exposures!$B$6:$K$6,B333:K333)</f>
        <v/>
      </c>
      <c r="N333" s="5">
        <f>IF(AND($A333&gt;=DATE(2020,2,1),$A333&lt;=DATE(2020,5,31)),$M333,"")</f>
        <v/>
      </c>
      <c r="O333" s="5">
        <f>IF(AND($A333&gt;=DATE(2022,1,1),$A333&lt;=DATE(2022,10,31)),$M333,"")</f>
        <v/>
      </c>
      <c r="P333" s="5">
        <f>IF(AND($A333&gt;=DATE(2018,10,1),$A333&lt;=DATE(2018,12,31)),$M333,"")</f>
        <v/>
      </c>
      <c r="Q333" s="5">
        <f>SUMPRODUCT(Exposures!$B$8:$K$8,B333:K333)</f>
        <v/>
      </c>
      <c r="R333" s="5">
        <f>SUMPRODUCT(Exposures!$B$9:$K$9,B333:K333)</f>
        <v/>
      </c>
      <c r="S333" s="5">
        <f>SUMPRODUCT(Exposures!$B$10:$K$10,B333:K333)</f>
        <v/>
      </c>
    </row>
    <row r="334">
      <c r="A334" s="1" t="n">
        <v>42942</v>
      </c>
      <c r="B334" s="5" t="n">
        <v>-0.005473359660274502</v>
      </c>
      <c r="C334" s="5" t="n">
        <v>-0.0005709522573362955</v>
      </c>
      <c r="D334" s="5" t="n">
        <v>0.003254720567081305</v>
      </c>
      <c r="E334" s="5" t="n">
        <v>0.003618165862928141</v>
      </c>
      <c r="F334" s="5" t="n">
        <v>0.004518073577505607</v>
      </c>
      <c r="G334" s="5" t="n">
        <v>-0.001111504905331097</v>
      </c>
      <c r="H334" s="5" t="n">
        <v>0.005403792244215721</v>
      </c>
      <c r="I334" s="5" t="n">
        <v>0.002656260021400237</v>
      </c>
      <c r="J334" s="5" t="n">
        <v>0.0005081497258743015</v>
      </c>
      <c r="K334" s="5" t="n">
        <v>-0.003155075428878976</v>
      </c>
      <c r="L334" s="5" t="n">
        <v>-0.005894938336122845</v>
      </c>
      <c r="M334" s="5">
        <f>SUMPRODUCT(Exposures!$B$6:$K$6,B334:K334)</f>
        <v/>
      </c>
      <c r="N334" s="5">
        <f>IF(AND($A334&gt;=DATE(2020,2,1),$A334&lt;=DATE(2020,5,31)),$M334,"")</f>
        <v/>
      </c>
      <c r="O334" s="5">
        <f>IF(AND($A334&gt;=DATE(2022,1,1),$A334&lt;=DATE(2022,10,31)),$M334,"")</f>
        <v/>
      </c>
      <c r="P334" s="5">
        <f>IF(AND($A334&gt;=DATE(2018,10,1),$A334&lt;=DATE(2018,12,31)),$M334,"")</f>
        <v/>
      </c>
      <c r="Q334" s="5">
        <f>SUMPRODUCT(Exposures!$B$8:$K$8,B334:K334)</f>
        <v/>
      </c>
      <c r="R334" s="5">
        <f>SUMPRODUCT(Exposures!$B$9:$K$9,B334:K334)</f>
        <v/>
      </c>
      <c r="S334" s="5">
        <f>SUMPRODUCT(Exposures!$B$10:$K$10,B334:K334)</f>
        <v/>
      </c>
    </row>
    <row r="335">
      <c r="A335" s="1" t="n">
        <v>42943</v>
      </c>
      <c r="B335" s="5" t="n">
        <v>-0.001332699386599364</v>
      </c>
      <c r="C335" s="5" t="n">
        <v>-0.001861199729316613</v>
      </c>
      <c r="D335" s="5" t="n">
        <v>0.006586176236365923</v>
      </c>
      <c r="E335" s="5" t="n">
        <v>0.003885149127145395</v>
      </c>
      <c r="F335" s="5" t="n">
        <v>-0.0003681309294512077</v>
      </c>
      <c r="G335" s="5" t="n">
        <v>-0.002130256067476558</v>
      </c>
      <c r="H335" s="5" t="n">
        <v>-0.003946988530883005</v>
      </c>
      <c r="I335" s="5" t="n">
        <v>0.0003456496819702586</v>
      </c>
      <c r="J335" s="5" t="n">
        <v>-0.002592273118498581</v>
      </c>
      <c r="K335" s="5" t="n">
        <v>-0.001123851204629125</v>
      </c>
      <c r="L335" s="5" t="n">
        <v>0.001039490942198158</v>
      </c>
      <c r="M335" s="5">
        <f>SUMPRODUCT(Exposures!$B$6:$K$6,B335:K335)</f>
        <v/>
      </c>
      <c r="N335" s="5">
        <f>IF(AND($A335&gt;=DATE(2020,2,1),$A335&lt;=DATE(2020,5,31)),$M335,"")</f>
        <v/>
      </c>
      <c r="O335" s="5">
        <f>IF(AND($A335&gt;=DATE(2022,1,1),$A335&lt;=DATE(2022,10,31)),$M335,"")</f>
        <v/>
      </c>
      <c r="P335" s="5">
        <f>IF(AND($A335&gt;=DATE(2018,10,1),$A335&lt;=DATE(2018,12,31)),$M335,"")</f>
        <v/>
      </c>
      <c r="Q335" s="5">
        <f>SUMPRODUCT(Exposures!$B$8:$K$8,B335:K335)</f>
        <v/>
      </c>
      <c r="R335" s="5">
        <f>SUMPRODUCT(Exposures!$B$9:$K$9,B335:K335)</f>
        <v/>
      </c>
      <c r="S335" s="5">
        <f>SUMPRODUCT(Exposures!$B$10:$K$10,B335:K335)</f>
        <v/>
      </c>
    </row>
    <row r="336">
      <c r="A336" s="1" t="n">
        <v>42944</v>
      </c>
      <c r="B336" s="5" t="n">
        <v>8.079985280326214e-05</v>
      </c>
      <c r="C336" s="5" t="n">
        <v>0.0001803149799135855</v>
      </c>
      <c r="D336" s="5" t="n">
        <v>0.001406062812132735</v>
      </c>
      <c r="E336" s="5" t="n">
        <v>-0.001182825214017244</v>
      </c>
      <c r="F336" s="5" t="n">
        <v>0.00192614979074308</v>
      </c>
      <c r="G336" s="5" t="n">
        <v>0.0002597128859114663</v>
      </c>
      <c r="H336" s="5" t="n">
        <v>6.34841100527616e-06</v>
      </c>
      <c r="I336" s="5" t="n">
        <v>-0.003556789755721508</v>
      </c>
      <c r="J336" s="5" t="n">
        <v>0.004675278897855078</v>
      </c>
      <c r="K336" s="5" t="n">
        <v>0.004623294533699324</v>
      </c>
      <c r="L336" s="5" t="n">
        <v>0.00182384935605442</v>
      </c>
      <c r="M336" s="5">
        <f>SUMPRODUCT(Exposures!$B$6:$K$6,B336:K336)</f>
        <v/>
      </c>
      <c r="N336" s="5">
        <f>IF(AND($A336&gt;=DATE(2020,2,1),$A336&lt;=DATE(2020,5,31)),$M336,"")</f>
        <v/>
      </c>
      <c r="O336" s="5">
        <f>IF(AND($A336&gt;=DATE(2022,1,1),$A336&lt;=DATE(2022,10,31)),$M336,"")</f>
        <v/>
      </c>
      <c r="P336" s="5">
        <f>IF(AND($A336&gt;=DATE(2018,10,1),$A336&lt;=DATE(2018,12,31)),$M336,"")</f>
        <v/>
      </c>
      <c r="Q336" s="5">
        <f>SUMPRODUCT(Exposures!$B$8:$K$8,B336:K336)</f>
        <v/>
      </c>
      <c r="R336" s="5">
        <f>SUMPRODUCT(Exposures!$B$9:$K$9,B336:K336)</f>
        <v/>
      </c>
      <c r="S336" s="5">
        <f>SUMPRODUCT(Exposures!$B$10:$K$10,B336:K336)</f>
        <v/>
      </c>
    </row>
    <row r="337">
      <c r="A337" s="1" t="n">
        <v>42947</v>
      </c>
      <c r="B337" s="5" t="n">
        <v>0.0001754821099273436</v>
      </c>
      <c r="C337" s="5" t="n">
        <v>-0.0001876099792149784</v>
      </c>
      <c r="D337" s="5" t="n">
        <v>0.001438036391986067</v>
      </c>
      <c r="E337" s="5" t="n">
        <v>0.001990028883074996</v>
      </c>
      <c r="F337" s="5" t="n">
        <v>-0.001594049655930615</v>
      </c>
      <c r="G337" s="5" t="n">
        <v>-0.0005177215974410153</v>
      </c>
      <c r="H337" s="5" t="n">
        <v>-0.001127412788923405</v>
      </c>
      <c r="I337" s="5" t="n">
        <v>0.0002253229164165385</v>
      </c>
      <c r="J337" s="5" t="n">
        <v>-0.0008051933266281152</v>
      </c>
      <c r="K337" s="5" t="n">
        <v>0.001410210259091749</v>
      </c>
      <c r="L337" s="5" t="n">
        <v>0.0002775342912618439</v>
      </c>
      <c r="M337" s="5">
        <f>SUMPRODUCT(Exposures!$B$6:$K$6,B337:K337)</f>
        <v/>
      </c>
      <c r="N337" s="5">
        <f>IF(AND($A337&gt;=DATE(2020,2,1),$A337&lt;=DATE(2020,5,31)),$M337,"")</f>
        <v/>
      </c>
      <c r="O337" s="5">
        <f>IF(AND($A337&gt;=DATE(2022,1,1),$A337&lt;=DATE(2022,10,31)),$M337,"")</f>
        <v/>
      </c>
      <c r="P337" s="5">
        <f>IF(AND($A337&gt;=DATE(2018,10,1),$A337&lt;=DATE(2018,12,31)),$M337,"")</f>
        <v/>
      </c>
      <c r="Q337" s="5">
        <f>SUMPRODUCT(Exposures!$B$8:$K$8,B337:K337)</f>
        <v/>
      </c>
      <c r="R337" s="5">
        <f>SUMPRODUCT(Exposures!$B$9:$K$9,B337:K337)</f>
        <v/>
      </c>
      <c r="S337" s="5">
        <f>SUMPRODUCT(Exposures!$B$10:$K$10,B337:K337)</f>
        <v/>
      </c>
    </row>
    <row r="338">
      <c r="A338" s="1" t="n">
        <v>42948</v>
      </c>
      <c r="B338" s="5" t="n">
        <v>0.001149476579021335</v>
      </c>
      <c r="C338" s="5" t="n">
        <v>-3.96553923268785e-05</v>
      </c>
      <c r="D338" s="5" t="n">
        <v>-0.002765155476206091</v>
      </c>
      <c r="E338" s="5" t="n">
        <v>-0.0004903209562842249</v>
      </c>
      <c r="F338" s="5" t="n">
        <v>0.002376697910923944</v>
      </c>
      <c r="G338" s="5" t="n">
        <v>0.001256226392309615</v>
      </c>
      <c r="H338" s="5" t="n">
        <v>0.0009093868424583052</v>
      </c>
      <c r="I338" s="5" t="n">
        <v>-0.0005925483576441542</v>
      </c>
      <c r="J338" s="5" t="n">
        <v>-0.003968161378992274</v>
      </c>
      <c r="K338" s="5" t="n">
        <v>-0.002215371794685889</v>
      </c>
      <c r="L338" s="5" t="n">
        <v>0.0003053041516140526</v>
      </c>
      <c r="M338" s="5">
        <f>SUMPRODUCT(Exposures!$B$6:$K$6,B338:K338)</f>
        <v/>
      </c>
      <c r="N338" s="5">
        <f>IF(AND($A338&gt;=DATE(2020,2,1),$A338&lt;=DATE(2020,5,31)),$M338,"")</f>
        <v/>
      </c>
      <c r="O338" s="5">
        <f>IF(AND($A338&gt;=DATE(2022,1,1),$A338&lt;=DATE(2022,10,31)),$M338,"")</f>
        <v/>
      </c>
      <c r="P338" s="5">
        <f>IF(AND($A338&gt;=DATE(2018,10,1),$A338&lt;=DATE(2018,12,31)),$M338,"")</f>
        <v/>
      </c>
      <c r="Q338" s="5">
        <f>SUMPRODUCT(Exposures!$B$8:$K$8,B338:K338)</f>
        <v/>
      </c>
      <c r="R338" s="5">
        <f>SUMPRODUCT(Exposures!$B$9:$K$9,B338:K338)</f>
        <v/>
      </c>
      <c r="S338" s="5">
        <f>SUMPRODUCT(Exposures!$B$10:$K$10,B338:K338)</f>
        <v/>
      </c>
    </row>
    <row r="339">
      <c r="A339" s="1" t="n">
        <v>42949</v>
      </c>
      <c r="B339" s="5" t="n">
        <v>0.002889134123278676</v>
      </c>
      <c r="C339" s="5" t="n">
        <v>-0.001571688406086125</v>
      </c>
      <c r="D339" s="5" t="n">
        <v>-0.00380002347860753</v>
      </c>
      <c r="E339" s="5" t="n">
        <v>-0.0004722437570704924</v>
      </c>
      <c r="F339" s="5" t="n">
        <v>0.0002788718696911443</v>
      </c>
      <c r="G339" s="5" t="n">
        <v>-0.004578880010173882</v>
      </c>
      <c r="H339" s="5" t="n">
        <v>-0.0015584217228785</v>
      </c>
      <c r="I339" s="5" t="n">
        <v>-0.002144883062434884</v>
      </c>
      <c r="J339" s="5" t="n">
        <v>-0.004896745276195136</v>
      </c>
      <c r="K339" s="5" t="n">
        <v>0.00369603150902241</v>
      </c>
      <c r="L339" s="5" t="n">
        <v>0.002504624910288868</v>
      </c>
      <c r="M339" s="5">
        <f>SUMPRODUCT(Exposures!$B$6:$K$6,B339:K339)</f>
        <v/>
      </c>
      <c r="N339" s="5">
        <f>IF(AND($A339&gt;=DATE(2020,2,1),$A339&lt;=DATE(2020,5,31)),$M339,"")</f>
        <v/>
      </c>
      <c r="O339" s="5">
        <f>IF(AND($A339&gt;=DATE(2022,1,1),$A339&lt;=DATE(2022,10,31)),$M339,"")</f>
        <v/>
      </c>
      <c r="P339" s="5">
        <f>IF(AND($A339&gt;=DATE(2018,10,1),$A339&lt;=DATE(2018,12,31)),$M339,"")</f>
        <v/>
      </c>
      <c r="Q339" s="5">
        <f>SUMPRODUCT(Exposures!$B$8:$K$8,B339:K339)</f>
        <v/>
      </c>
      <c r="R339" s="5">
        <f>SUMPRODUCT(Exposures!$B$9:$K$9,B339:K339)</f>
        <v/>
      </c>
      <c r="S339" s="5">
        <f>SUMPRODUCT(Exposures!$B$10:$K$10,B339:K339)</f>
        <v/>
      </c>
    </row>
    <row r="340">
      <c r="A340" s="1" t="n">
        <v>42950</v>
      </c>
      <c r="B340" s="5" t="n">
        <v>-0.0008130835018923898</v>
      </c>
      <c r="C340" s="5" t="n">
        <v>-0.000292050373326199</v>
      </c>
      <c r="D340" s="5" t="n">
        <v>0.0005811405915859464</v>
      </c>
      <c r="E340" s="5" t="n">
        <v>-0.002767999539646964</v>
      </c>
      <c r="F340" s="5" t="n">
        <v>-0.003469931228733579</v>
      </c>
      <c r="G340" s="5" t="n">
        <v>-0.001834755035854844</v>
      </c>
      <c r="H340" s="5" t="n">
        <v>0.001984702179097726</v>
      </c>
      <c r="I340" s="5" t="n">
        <v>-0.0008120406784905022</v>
      </c>
      <c r="J340" s="5" t="n">
        <v>0.001082005265196043</v>
      </c>
      <c r="K340" s="5" t="n">
        <v>0.00300249982092037</v>
      </c>
      <c r="L340" s="5" t="n">
        <v>0.001777945845260502</v>
      </c>
      <c r="M340" s="5">
        <f>SUMPRODUCT(Exposures!$B$6:$K$6,B340:K340)</f>
        <v/>
      </c>
      <c r="N340" s="5">
        <f>IF(AND($A340&gt;=DATE(2020,2,1),$A340&lt;=DATE(2020,5,31)),$M340,"")</f>
        <v/>
      </c>
      <c r="O340" s="5">
        <f>IF(AND($A340&gt;=DATE(2022,1,1),$A340&lt;=DATE(2022,10,31)),$M340,"")</f>
        <v/>
      </c>
      <c r="P340" s="5">
        <f>IF(AND($A340&gt;=DATE(2018,10,1),$A340&lt;=DATE(2018,12,31)),$M340,"")</f>
        <v/>
      </c>
      <c r="Q340" s="5">
        <f>SUMPRODUCT(Exposures!$B$8:$K$8,B340:K340)</f>
        <v/>
      </c>
      <c r="R340" s="5">
        <f>SUMPRODUCT(Exposures!$B$9:$K$9,B340:K340)</f>
        <v/>
      </c>
      <c r="S340" s="5">
        <f>SUMPRODUCT(Exposures!$B$10:$K$10,B340:K340)</f>
        <v/>
      </c>
    </row>
    <row r="341">
      <c r="A341" s="1" t="n">
        <v>42951</v>
      </c>
      <c r="B341" s="5" t="n">
        <v>0.00613374851543916</v>
      </c>
      <c r="C341" s="5" t="n">
        <v>0.004238559084319325</v>
      </c>
      <c r="D341" s="5" t="n">
        <v>7.277026199391044e-05</v>
      </c>
      <c r="E341" s="5" t="n">
        <v>0.00303823110032777</v>
      </c>
      <c r="F341" s="5" t="n">
        <v>-0.008770104167167539</v>
      </c>
      <c r="G341" s="5" t="n">
        <v>6.564056027849581e-05</v>
      </c>
      <c r="H341" s="5" t="n">
        <v>-0.006919071164863779</v>
      </c>
      <c r="I341" s="5" t="n">
        <v>0.0009938571677961441</v>
      </c>
      <c r="J341" s="5" t="n">
        <v>-0.002911582789625184</v>
      </c>
      <c r="K341" s="5" t="n">
        <v>0.008115779097706995</v>
      </c>
      <c r="L341" s="5" t="n">
        <v>0.002100097284618987</v>
      </c>
      <c r="M341" s="5">
        <f>SUMPRODUCT(Exposures!$B$6:$K$6,B341:K341)</f>
        <v/>
      </c>
      <c r="N341" s="5">
        <f>IF(AND($A341&gt;=DATE(2020,2,1),$A341&lt;=DATE(2020,5,31)),$M341,"")</f>
        <v/>
      </c>
      <c r="O341" s="5">
        <f>IF(AND($A341&gt;=DATE(2022,1,1),$A341&lt;=DATE(2022,10,31)),$M341,"")</f>
        <v/>
      </c>
      <c r="P341" s="5">
        <f>IF(AND($A341&gt;=DATE(2018,10,1),$A341&lt;=DATE(2018,12,31)),$M341,"")</f>
        <v/>
      </c>
      <c r="Q341" s="5">
        <f>SUMPRODUCT(Exposures!$B$8:$K$8,B341:K341)</f>
        <v/>
      </c>
      <c r="R341" s="5">
        <f>SUMPRODUCT(Exposures!$B$9:$K$9,B341:K341)</f>
        <v/>
      </c>
      <c r="S341" s="5">
        <f>SUMPRODUCT(Exposures!$B$10:$K$10,B341:K341)</f>
        <v/>
      </c>
    </row>
    <row r="342">
      <c r="A342" s="1" t="n">
        <v>42954</v>
      </c>
      <c r="B342" s="5" t="n">
        <v>-0.003134331415441771</v>
      </c>
      <c r="C342" s="5" t="n">
        <v>0.002122198694240535</v>
      </c>
      <c r="D342" s="5" t="n">
        <v>0.001472545570975851</v>
      </c>
      <c r="E342" s="5" t="n">
        <v>-0.001463497574402054</v>
      </c>
      <c r="F342" s="5" t="n">
        <v>0.002277015748140316</v>
      </c>
      <c r="G342" s="5" t="n">
        <v>0.001624873107824854</v>
      </c>
      <c r="H342" s="5" t="n">
        <v>0.005151967054591149</v>
      </c>
      <c r="I342" s="5" t="n">
        <v>-0.0007567460387353192</v>
      </c>
      <c r="J342" s="5" t="n">
        <v>0.003645237810679007</v>
      </c>
      <c r="K342" s="5" t="n">
        <v>0.001236660643411357</v>
      </c>
      <c r="L342" s="5" t="n">
        <v>-0.001659506545051558</v>
      </c>
      <c r="M342" s="5">
        <f>SUMPRODUCT(Exposures!$B$6:$K$6,B342:K342)</f>
        <v/>
      </c>
      <c r="N342" s="5">
        <f>IF(AND($A342&gt;=DATE(2020,2,1),$A342&lt;=DATE(2020,5,31)),$M342,"")</f>
        <v/>
      </c>
      <c r="O342" s="5">
        <f>IF(AND($A342&gt;=DATE(2022,1,1),$A342&lt;=DATE(2022,10,31)),$M342,"")</f>
        <v/>
      </c>
      <c r="P342" s="5">
        <f>IF(AND($A342&gt;=DATE(2018,10,1),$A342&lt;=DATE(2018,12,31)),$M342,"")</f>
        <v/>
      </c>
      <c r="Q342" s="5">
        <f>SUMPRODUCT(Exposures!$B$8:$K$8,B342:K342)</f>
        <v/>
      </c>
      <c r="R342" s="5">
        <f>SUMPRODUCT(Exposures!$B$9:$K$9,B342:K342)</f>
        <v/>
      </c>
      <c r="S342" s="5">
        <f>SUMPRODUCT(Exposures!$B$10:$K$10,B342:K342)</f>
        <v/>
      </c>
    </row>
    <row r="343">
      <c r="A343" s="1" t="n">
        <v>42955</v>
      </c>
      <c r="B343" s="5" t="n">
        <v>-0.002820181576197749</v>
      </c>
      <c r="C343" s="5" t="n">
        <v>-0.0005342302326892391</v>
      </c>
      <c r="D343" s="5" t="n">
        <v>0.005147022308091907</v>
      </c>
      <c r="E343" s="5" t="n">
        <v>0.001168473806649492</v>
      </c>
      <c r="F343" s="5" t="n">
        <v>0.001083273858574776</v>
      </c>
      <c r="G343" s="5" t="n">
        <v>-0.004634138747154722</v>
      </c>
      <c r="H343" s="5" t="n">
        <v>0.0003014574451680642</v>
      </c>
      <c r="I343" s="5" t="n">
        <v>-0.001816017547652034</v>
      </c>
      <c r="J343" s="5" t="n">
        <v>-0.001096494413277054</v>
      </c>
      <c r="K343" s="5" t="n">
        <v>0.0009991392443383057</v>
      </c>
      <c r="L343" s="5" t="n">
        <v>0.003232981215092457</v>
      </c>
      <c r="M343" s="5">
        <f>SUMPRODUCT(Exposures!$B$6:$K$6,B343:K343)</f>
        <v/>
      </c>
      <c r="N343" s="5">
        <f>IF(AND($A343&gt;=DATE(2020,2,1),$A343&lt;=DATE(2020,5,31)),$M343,"")</f>
        <v/>
      </c>
      <c r="O343" s="5">
        <f>IF(AND($A343&gt;=DATE(2022,1,1),$A343&lt;=DATE(2022,10,31)),$M343,"")</f>
        <v/>
      </c>
      <c r="P343" s="5">
        <f>IF(AND($A343&gt;=DATE(2018,10,1),$A343&lt;=DATE(2018,12,31)),$M343,"")</f>
        <v/>
      </c>
      <c r="Q343" s="5">
        <f>SUMPRODUCT(Exposures!$B$8:$K$8,B343:K343)</f>
        <v/>
      </c>
      <c r="R343" s="5">
        <f>SUMPRODUCT(Exposures!$B$9:$K$9,B343:K343)</f>
        <v/>
      </c>
      <c r="S343" s="5">
        <f>SUMPRODUCT(Exposures!$B$10:$K$10,B343:K343)</f>
        <v/>
      </c>
    </row>
    <row r="344">
      <c r="A344" s="1" t="n">
        <v>42956</v>
      </c>
      <c r="B344" s="5" t="n">
        <v>-0.002273959628151019</v>
      </c>
      <c r="C344" s="5" t="n">
        <v>0.0008439691841559088</v>
      </c>
      <c r="D344" s="5" t="n">
        <v>-0.0001202354978427064</v>
      </c>
      <c r="E344" s="5" t="n">
        <v>-0.0003895150250806523</v>
      </c>
      <c r="F344" s="5" t="n">
        <v>-0.001300427277885457</v>
      </c>
      <c r="G344" s="5" t="n">
        <v>-0.003512486269148307</v>
      </c>
      <c r="H344" s="5" t="n">
        <v>-0.001220718230574672</v>
      </c>
      <c r="I344" s="5" t="n">
        <v>-0.001103420629744022</v>
      </c>
      <c r="J344" s="5" t="n">
        <v>0.002135771283896846</v>
      </c>
      <c r="K344" s="5" t="n">
        <v>0.005311080774783745</v>
      </c>
      <c r="L344" s="5" t="n">
        <v>-0.001157213614999356</v>
      </c>
      <c r="M344" s="5">
        <f>SUMPRODUCT(Exposures!$B$6:$K$6,B344:K344)</f>
        <v/>
      </c>
      <c r="N344" s="5">
        <f>IF(AND($A344&gt;=DATE(2020,2,1),$A344&lt;=DATE(2020,5,31)),$M344,"")</f>
        <v/>
      </c>
      <c r="O344" s="5">
        <f>IF(AND($A344&gt;=DATE(2022,1,1),$A344&lt;=DATE(2022,10,31)),$M344,"")</f>
        <v/>
      </c>
      <c r="P344" s="5">
        <f>IF(AND($A344&gt;=DATE(2018,10,1),$A344&lt;=DATE(2018,12,31)),$M344,"")</f>
        <v/>
      </c>
      <c r="Q344" s="5">
        <f>SUMPRODUCT(Exposures!$B$8:$K$8,B344:K344)</f>
        <v/>
      </c>
      <c r="R344" s="5">
        <f>SUMPRODUCT(Exposures!$B$9:$K$9,B344:K344)</f>
        <v/>
      </c>
      <c r="S344" s="5">
        <f>SUMPRODUCT(Exposures!$B$10:$K$10,B344:K344)</f>
        <v/>
      </c>
    </row>
    <row r="345">
      <c r="A345" s="1" t="n">
        <v>42957</v>
      </c>
      <c r="B345" s="5" t="n">
        <v>-0.007856071669953878</v>
      </c>
      <c r="C345" s="5" t="n">
        <v>5.344702297950749e-05</v>
      </c>
      <c r="D345" s="5" t="n">
        <v>0.0001886398367854209</v>
      </c>
      <c r="E345" s="5" t="n">
        <v>0.001093476599406842</v>
      </c>
      <c r="F345" s="5" t="n">
        <v>-0.007298401661121194</v>
      </c>
      <c r="G345" s="5" t="n">
        <v>-0.01656820782508879</v>
      </c>
      <c r="H345" s="5" t="n">
        <v>-1.56255895171621e-05</v>
      </c>
      <c r="I345" s="5" t="n">
        <v>-0.0004569654283869782</v>
      </c>
      <c r="J345" s="5" t="n">
        <v>-0.004663595079988663</v>
      </c>
      <c r="K345" s="5" t="n">
        <v>0.002225116847532718</v>
      </c>
      <c r="L345" s="5" t="n">
        <v>-0.0007714456120520371</v>
      </c>
      <c r="M345" s="5">
        <f>SUMPRODUCT(Exposures!$B$6:$K$6,B345:K345)</f>
        <v/>
      </c>
      <c r="N345" s="5">
        <f>IF(AND($A345&gt;=DATE(2020,2,1),$A345&lt;=DATE(2020,5,31)),$M345,"")</f>
        <v/>
      </c>
      <c r="O345" s="5">
        <f>IF(AND($A345&gt;=DATE(2022,1,1),$A345&lt;=DATE(2022,10,31)),$M345,"")</f>
        <v/>
      </c>
      <c r="P345" s="5">
        <f>IF(AND($A345&gt;=DATE(2018,10,1),$A345&lt;=DATE(2018,12,31)),$M345,"")</f>
        <v/>
      </c>
      <c r="Q345" s="5">
        <f>SUMPRODUCT(Exposures!$B$8:$K$8,B345:K345)</f>
        <v/>
      </c>
      <c r="R345" s="5">
        <f>SUMPRODUCT(Exposures!$B$9:$K$9,B345:K345)</f>
        <v/>
      </c>
      <c r="S345" s="5">
        <f>SUMPRODUCT(Exposures!$B$10:$K$10,B345:K345)</f>
        <v/>
      </c>
    </row>
    <row r="346">
      <c r="A346" s="1" t="n">
        <v>42958</v>
      </c>
      <c r="B346" s="5" t="n">
        <v>0.002586114179870846</v>
      </c>
      <c r="C346" s="5" t="n">
        <v>-0.0001392943200386807</v>
      </c>
      <c r="D346" s="5" t="n">
        <v>0.0005178576757180866</v>
      </c>
      <c r="E346" s="5" t="n">
        <v>-0.002058168581112207</v>
      </c>
      <c r="F346" s="5" t="n">
        <v>0.009948636975410412</v>
      </c>
      <c r="G346" s="5" t="n">
        <v>0.002571426601517773</v>
      </c>
      <c r="H346" s="5" t="n">
        <v>0.0007042756696923596</v>
      </c>
      <c r="I346" s="5" t="n">
        <v>0.0005698651378260127</v>
      </c>
      <c r="J346" s="5" t="n">
        <v>-0.0005130832774369055</v>
      </c>
      <c r="K346" s="5" t="n">
        <v>-0.008426396811580809</v>
      </c>
      <c r="L346" s="5" t="n">
        <v>-0.004509016376673356</v>
      </c>
      <c r="M346" s="5">
        <f>SUMPRODUCT(Exposures!$B$6:$K$6,B346:K346)</f>
        <v/>
      </c>
      <c r="N346" s="5">
        <f>IF(AND($A346&gt;=DATE(2020,2,1),$A346&lt;=DATE(2020,5,31)),$M346,"")</f>
        <v/>
      </c>
      <c r="O346" s="5">
        <f>IF(AND($A346&gt;=DATE(2022,1,1),$A346&lt;=DATE(2022,10,31)),$M346,"")</f>
        <v/>
      </c>
      <c r="P346" s="5">
        <f>IF(AND($A346&gt;=DATE(2018,10,1),$A346&lt;=DATE(2018,12,31)),$M346,"")</f>
        <v/>
      </c>
      <c r="Q346" s="5">
        <f>SUMPRODUCT(Exposures!$B$8:$K$8,B346:K346)</f>
        <v/>
      </c>
      <c r="R346" s="5">
        <f>SUMPRODUCT(Exposures!$B$9:$K$9,B346:K346)</f>
        <v/>
      </c>
      <c r="S346" s="5">
        <f>SUMPRODUCT(Exposures!$B$10:$K$10,B346:K346)</f>
        <v/>
      </c>
    </row>
    <row r="347">
      <c r="A347" s="1" t="n">
        <v>42961</v>
      </c>
      <c r="B347" s="5" t="n">
        <v>0.001913953797377129</v>
      </c>
      <c r="C347" s="5" t="n">
        <v>0.0009082441519108995</v>
      </c>
      <c r="D347" s="5" t="n">
        <v>0.001814608213470794</v>
      </c>
      <c r="E347" s="5" t="n">
        <v>0.0002946144127062645</v>
      </c>
      <c r="F347" s="5" t="n">
        <v>-0.001970520291976145</v>
      </c>
      <c r="G347" s="5" t="n">
        <v>0.01068723605356063</v>
      </c>
      <c r="H347" s="5" t="n">
        <v>0.003287182926663332</v>
      </c>
      <c r="I347" s="5" t="n">
        <v>0.0006003441798461037</v>
      </c>
      <c r="J347" s="5" t="n">
        <v>0.0003724558647386958</v>
      </c>
      <c r="K347" s="5" t="n">
        <v>0.001261719502639156</v>
      </c>
      <c r="L347" s="5" t="n">
        <v>-0.000216786471263193</v>
      </c>
      <c r="M347" s="5">
        <f>SUMPRODUCT(Exposures!$B$6:$K$6,B347:K347)</f>
        <v/>
      </c>
      <c r="N347" s="5">
        <f>IF(AND($A347&gt;=DATE(2020,2,1),$A347&lt;=DATE(2020,5,31)),$M347,"")</f>
        <v/>
      </c>
      <c r="O347" s="5">
        <f>IF(AND($A347&gt;=DATE(2022,1,1),$A347&lt;=DATE(2022,10,31)),$M347,"")</f>
        <v/>
      </c>
      <c r="P347" s="5">
        <f>IF(AND($A347&gt;=DATE(2018,10,1),$A347&lt;=DATE(2018,12,31)),$M347,"")</f>
        <v/>
      </c>
      <c r="Q347" s="5">
        <f>SUMPRODUCT(Exposures!$B$8:$K$8,B347:K347)</f>
        <v/>
      </c>
      <c r="R347" s="5">
        <f>SUMPRODUCT(Exposures!$B$9:$K$9,B347:K347)</f>
        <v/>
      </c>
      <c r="S347" s="5">
        <f>SUMPRODUCT(Exposures!$B$10:$K$10,B347:K347)</f>
        <v/>
      </c>
    </row>
    <row r="348">
      <c r="A348" s="1" t="n">
        <v>42962</v>
      </c>
      <c r="B348" s="5" t="n">
        <v>0.0004478173411299191</v>
      </c>
      <c r="C348" s="5" t="n">
        <v>0.001292172647189472</v>
      </c>
      <c r="D348" s="5" t="n">
        <v>0.00383367566480108</v>
      </c>
      <c r="E348" s="5" t="n">
        <v>8.545229576617075e-05</v>
      </c>
      <c r="F348" s="5" t="n">
        <v>-0.003958676908221191</v>
      </c>
      <c r="G348" s="5" t="n">
        <v>-0.003642039392459218</v>
      </c>
      <c r="H348" s="5" t="n">
        <v>0.003832816527094662</v>
      </c>
      <c r="I348" s="5" t="n">
        <v>0.0001215675141110343</v>
      </c>
      <c r="J348" s="5" t="n">
        <v>-0.002404498391529334</v>
      </c>
      <c r="K348" s="5" t="n">
        <v>0.006272803224264592</v>
      </c>
      <c r="L348" s="5" t="n">
        <v>-0.0001877337916463432</v>
      </c>
      <c r="M348" s="5">
        <f>SUMPRODUCT(Exposures!$B$6:$K$6,B348:K348)</f>
        <v/>
      </c>
      <c r="N348" s="5">
        <f>IF(AND($A348&gt;=DATE(2020,2,1),$A348&lt;=DATE(2020,5,31)),$M348,"")</f>
        <v/>
      </c>
      <c r="O348" s="5">
        <f>IF(AND($A348&gt;=DATE(2022,1,1),$A348&lt;=DATE(2022,10,31)),$M348,"")</f>
        <v/>
      </c>
      <c r="P348" s="5">
        <f>IF(AND($A348&gt;=DATE(2018,10,1),$A348&lt;=DATE(2018,12,31)),$M348,"")</f>
        <v/>
      </c>
      <c r="Q348" s="5">
        <f>SUMPRODUCT(Exposures!$B$8:$K$8,B348:K348)</f>
        <v/>
      </c>
      <c r="R348" s="5">
        <f>SUMPRODUCT(Exposures!$B$9:$K$9,B348:K348)</f>
        <v/>
      </c>
      <c r="S348" s="5">
        <f>SUMPRODUCT(Exposures!$B$10:$K$10,B348:K348)</f>
        <v/>
      </c>
    </row>
    <row r="349">
      <c r="A349" s="1" t="n">
        <v>42963</v>
      </c>
      <c r="B349" s="5" t="n">
        <v>0.0003678985011961744</v>
      </c>
      <c r="C349" s="5" t="n">
        <v>0.0007022053009367979</v>
      </c>
      <c r="D349" s="5" t="n">
        <v>-0.002626345070174562</v>
      </c>
      <c r="E349" s="5" t="n">
        <v>-0.002560536404064223</v>
      </c>
      <c r="F349" s="5" t="n">
        <v>-0.002624723561537351</v>
      </c>
      <c r="G349" s="5" t="n">
        <v>0.001572225950511649</v>
      </c>
      <c r="H349" s="5" t="n">
        <v>-0.002779494702478851</v>
      </c>
      <c r="I349" s="5" t="n">
        <v>-0.001162100100608312</v>
      </c>
      <c r="J349" s="5" t="n">
        <v>-0.0009486058712004158</v>
      </c>
      <c r="K349" s="5" t="n">
        <v>0.004680037984698197</v>
      </c>
      <c r="L349" s="5" t="n">
        <v>-0.000242431128315085</v>
      </c>
      <c r="M349" s="5">
        <f>SUMPRODUCT(Exposures!$B$6:$K$6,B349:K349)</f>
        <v/>
      </c>
      <c r="N349" s="5">
        <f>IF(AND($A349&gt;=DATE(2020,2,1),$A349&lt;=DATE(2020,5,31)),$M349,"")</f>
        <v/>
      </c>
      <c r="O349" s="5">
        <f>IF(AND($A349&gt;=DATE(2022,1,1),$A349&lt;=DATE(2022,10,31)),$M349,"")</f>
        <v/>
      </c>
      <c r="P349" s="5">
        <f>IF(AND($A349&gt;=DATE(2018,10,1),$A349&lt;=DATE(2018,12,31)),$M349,"")</f>
        <v/>
      </c>
      <c r="Q349" s="5">
        <f>SUMPRODUCT(Exposures!$B$8:$K$8,B349:K349)</f>
        <v/>
      </c>
      <c r="R349" s="5">
        <f>SUMPRODUCT(Exposures!$B$9:$K$9,B349:K349)</f>
        <v/>
      </c>
      <c r="S349" s="5">
        <f>SUMPRODUCT(Exposures!$B$10:$K$10,B349:K349)</f>
        <v/>
      </c>
    </row>
    <row r="350">
      <c r="A350" s="1" t="n">
        <v>42964</v>
      </c>
      <c r="B350" s="5" t="n">
        <v>-0.005743982239802956</v>
      </c>
      <c r="C350" s="5" t="n">
        <v>0.001220672942032473</v>
      </c>
      <c r="D350" s="5" t="n">
        <v>0.001718622665810856</v>
      </c>
      <c r="E350" s="5" t="n">
        <v>-0.001223470070083509</v>
      </c>
      <c r="F350" s="5" t="n">
        <v>-0.005321729630308625</v>
      </c>
      <c r="G350" s="5" t="n">
        <v>-0.01603262471039575</v>
      </c>
      <c r="H350" s="5" t="n">
        <v>-9.011206533162644e-05</v>
      </c>
      <c r="I350" s="5" t="n">
        <v>-0.0009561885320940144</v>
      </c>
      <c r="J350" s="5" t="n">
        <v>0.003000079918934198</v>
      </c>
      <c r="K350" s="5" t="n">
        <v>0.005848221323361979</v>
      </c>
      <c r="L350" s="5" t="n">
        <v>0.001914836590685565</v>
      </c>
      <c r="M350" s="5">
        <f>SUMPRODUCT(Exposures!$B$6:$K$6,B350:K350)</f>
        <v/>
      </c>
      <c r="N350" s="5">
        <f>IF(AND($A350&gt;=DATE(2020,2,1),$A350&lt;=DATE(2020,5,31)),$M350,"")</f>
        <v/>
      </c>
      <c r="O350" s="5">
        <f>IF(AND($A350&gt;=DATE(2022,1,1),$A350&lt;=DATE(2022,10,31)),$M350,"")</f>
        <v/>
      </c>
      <c r="P350" s="5">
        <f>IF(AND($A350&gt;=DATE(2018,10,1),$A350&lt;=DATE(2018,12,31)),$M350,"")</f>
        <v/>
      </c>
      <c r="Q350" s="5">
        <f>SUMPRODUCT(Exposures!$B$8:$K$8,B350:K350)</f>
        <v/>
      </c>
      <c r="R350" s="5">
        <f>SUMPRODUCT(Exposures!$B$9:$K$9,B350:K350)</f>
        <v/>
      </c>
      <c r="S350" s="5">
        <f>SUMPRODUCT(Exposures!$B$10:$K$10,B350:K350)</f>
        <v/>
      </c>
    </row>
    <row r="351">
      <c r="A351" s="1" t="n">
        <v>42965</v>
      </c>
      <c r="B351" s="5" t="n">
        <v>0.0006602474397951326</v>
      </c>
      <c r="C351" s="5" t="n">
        <v>-0.0006505254237167545</v>
      </c>
      <c r="D351" s="5" t="n">
        <v>0.001986120189679105</v>
      </c>
      <c r="E351" s="5" t="n">
        <v>-0.002146206671304867</v>
      </c>
      <c r="F351" s="5" t="n">
        <v>-0.004734558406697844</v>
      </c>
      <c r="G351" s="5" t="n">
        <v>-0.0001470473621397764</v>
      </c>
      <c r="H351" s="5" t="n">
        <v>0.003594845771452534</v>
      </c>
      <c r="I351" s="5" t="n">
        <v>-0.001250194743131906</v>
      </c>
      <c r="J351" s="5" t="n">
        <v>0.002210253491214677</v>
      </c>
      <c r="K351" s="5" t="n">
        <v>0.004900989252797213</v>
      </c>
      <c r="L351" s="5" t="n">
        <v>0.00211903889472449</v>
      </c>
      <c r="M351" s="5">
        <f>SUMPRODUCT(Exposures!$B$6:$K$6,B351:K351)</f>
        <v/>
      </c>
      <c r="N351" s="5">
        <f>IF(AND($A351&gt;=DATE(2020,2,1),$A351&lt;=DATE(2020,5,31)),$M351,"")</f>
        <v/>
      </c>
      <c r="O351" s="5">
        <f>IF(AND($A351&gt;=DATE(2022,1,1),$A351&lt;=DATE(2022,10,31)),$M351,"")</f>
        <v/>
      </c>
      <c r="P351" s="5">
        <f>IF(AND($A351&gt;=DATE(2018,10,1),$A351&lt;=DATE(2018,12,31)),$M351,"")</f>
        <v/>
      </c>
      <c r="Q351" s="5">
        <f>SUMPRODUCT(Exposures!$B$8:$K$8,B351:K351)</f>
        <v/>
      </c>
      <c r="R351" s="5">
        <f>SUMPRODUCT(Exposures!$B$9:$K$9,B351:K351)</f>
        <v/>
      </c>
      <c r="S351" s="5">
        <f>SUMPRODUCT(Exposures!$B$10:$K$10,B351:K351)</f>
        <v/>
      </c>
    </row>
    <row r="352">
      <c r="A352" s="1" t="n">
        <v>42968</v>
      </c>
      <c r="B352" s="5" t="n">
        <v>-0.0006470629574359718</v>
      </c>
      <c r="C352" s="5" t="n">
        <v>0.001292880617912436</v>
      </c>
      <c r="D352" s="5" t="n">
        <v>-0.001495096616358447</v>
      </c>
      <c r="E352" s="5" t="n">
        <v>-0.001214425015401248</v>
      </c>
      <c r="F352" s="5" t="n">
        <v>-0.007192475665894883</v>
      </c>
      <c r="G352" s="5" t="n">
        <v>0.0001029436206280309</v>
      </c>
      <c r="H352" s="5" t="n">
        <v>-0.0005704630623226397</v>
      </c>
      <c r="I352" s="5" t="n">
        <v>-0.002046345829231453</v>
      </c>
      <c r="J352" s="5" t="n">
        <v>0.0002515501549897295</v>
      </c>
      <c r="K352" s="5" t="n">
        <v>0.008630171905235193</v>
      </c>
      <c r="L352" s="5" t="n">
        <v>-0.0005790340595731445</v>
      </c>
      <c r="M352" s="5">
        <f>SUMPRODUCT(Exposures!$B$6:$K$6,B352:K352)</f>
        <v/>
      </c>
      <c r="N352" s="5">
        <f>IF(AND($A352&gt;=DATE(2020,2,1),$A352&lt;=DATE(2020,5,31)),$M352,"")</f>
        <v/>
      </c>
      <c r="O352" s="5">
        <f>IF(AND($A352&gt;=DATE(2022,1,1),$A352&lt;=DATE(2022,10,31)),$M352,"")</f>
        <v/>
      </c>
      <c r="P352" s="5">
        <f>IF(AND($A352&gt;=DATE(2018,10,1),$A352&lt;=DATE(2018,12,31)),$M352,"")</f>
        <v/>
      </c>
      <c r="Q352" s="5">
        <f>SUMPRODUCT(Exposures!$B$8:$K$8,B352:K352)</f>
        <v/>
      </c>
      <c r="R352" s="5">
        <f>SUMPRODUCT(Exposures!$B$9:$K$9,B352:K352)</f>
        <v/>
      </c>
      <c r="S352" s="5">
        <f>SUMPRODUCT(Exposures!$B$10:$K$10,B352:K352)</f>
        <v/>
      </c>
    </row>
    <row r="353">
      <c r="A353" s="1" t="n">
        <v>42969</v>
      </c>
      <c r="B353" s="5" t="n">
        <v>0.004394454649978439</v>
      </c>
      <c r="C353" s="5" t="n">
        <v>-0.0003330909242621198</v>
      </c>
      <c r="D353" s="5" t="n">
        <v>0.0006222404546750782</v>
      </c>
      <c r="E353" s="5" t="n">
        <v>-0.002321242944226442</v>
      </c>
      <c r="F353" s="5" t="n">
        <v>-0.0008334889603441946</v>
      </c>
      <c r="G353" s="5" t="n">
        <v>0.01121484192954119</v>
      </c>
      <c r="H353" s="5" t="n">
        <v>0.001213574744405996</v>
      </c>
      <c r="I353" s="5" t="n">
        <v>-0.0007844094007267287</v>
      </c>
      <c r="J353" s="5" t="n">
        <v>0.002250880411127531</v>
      </c>
      <c r="K353" s="5" t="n">
        <v>0.003818456868175717</v>
      </c>
      <c r="L353" s="5" t="n">
        <v>0.001705454366729396</v>
      </c>
      <c r="M353" s="5">
        <f>SUMPRODUCT(Exposures!$B$6:$K$6,B353:K353)</f>
        <v/>
      </c>
      <c r="N353" s="5">
        <f>IF(AND($A353&gt;=DATE(2020,2,1),$A353&lt;=DATE(2020,5,31)),$M353,"")</f>
        <v/>
      </c>
      <c r="O353" s="5">
        <f>IF(AND($A353&gt;=DATE(2022,1,1),$A353&lt;=DATE(2022,10,31)),$M353,"")</f>
        <v/>
      </c>
      <c r="P353" s="5">
        <f>IF(AND($A353&gt;=DATE(2018,10,1),$A353&lt;=DATE(2018,12,31)),$M353,"")</f>
        <v/>
      </c>
      <c r="Q353" s="5">
        <f>SUMPRODUCT(Exposures!$B$8:$K$8,B353:K353)</f>
        <v/>
      </c>
      <c r="R353" s="5">
        <f>SUMPRODUCT(Exposures!$B$9:$K$9,B353:K353)</f>
        <v/>
      </c>
      <c r="S353" s="5">
        <f>SUMPRODUCT(Exposures!$B$10:$K$10,B353:K353)</f>
        <v/>
      </c>
    </row>
    <row r="354">
      <c r="A354" s="1" t="n">
        <v>42970</v>
      </c>
      <c r="B354" s="5" t="n">
        <v>0.0004854109861044284</v>
      </c>
      <c r="C354" s="5" t="n">
        <v>-0.001095395775292756</v>
      </c>
      <c r="D354" s="5" t="n">
        <v>0.00313309503954081</v>
      </c>
      <c r="E354" s="5" t="n">
        <v>-0.0002519133558777246</v>
      </c>
      <c r="F354" s="5" t="n">
        <v>-0.0007302791011331941</v>
      </c>
      <c r="G354" s="5" t="n">
        <v>-0.001631957629592024</v>
      </c>
      <c r="H354" s="5" t="n">
        <v>-0.0004987382469393852</v>
      </c>
      <c r="I354" s="5" t="n">
        <v>-0.0004489849233390829</v>
      </c>
      <c r="J354" s="5" t="n">
        <v>0.003148695155182268</v>
      </c>
      <c r="K354" s="5" t="n">
        <v>0.002058138233736054</v>
      </c>
      <c r="L354" s="5" t="n">
        <v>0.003610602756859795</v>
      </c>
      <c r="M354" s="5">
        <f>SUMPRODUCT(Exposures!$B$6:$K$6,B354:K354)</f>
        <v/>
      </c>
      <c r="N354" s="5">
        <f>IF(AND($A354&gt;=DATE(2020,2,1),$A354&lt;=DATE(2020,5,31)),$M354,"")</f>
        <v/>
      </c>
      <c r="O354" s="5">
        <f>IF(AND($A354&gt;=DATE(2022,1,1),$A354&lt;=DATE(2022,10,31)),$M354,"")</f>
        <v/>
      </c>
      <c r="P354" s="5">
        <f>IF(AND($A354&gt;=DATE(2018,10,1),$A354&lt;=DATE(2018,12,31)),$M354,"")</f>
        <v/>
      </c>
      <c r="Q354" s="5">
        <f>SUMPRODUCT(Exposures!$B$8:$K$8,B354:K354)</f>
        <v/>
      </c>
      <c r="R354" s="5">
        <f>SUMPRODUCT(Exposures!$B$9:$K$9,B354:K354)</f>
        <v/>
      </c>
      <c r="S354" s="5">
        <f>SUMPRODUCT(Exposures!$B$10:$K$10,B354:K354)</f>
        <v/>
      </c>
    </row>
    <row r="355">
      <c r="A355" s="1" t="n">
        <v>42971</v>
      </c>
      <c r="B355" s="5" t="n">
        <v>0.002864427017079079</v>
      </c>
      <c r="C355" s="5" t="n">
        <v>-0.003221634955315904</v>
      </c>
      <c r="D355" s="5" t="n">
        <v>-0.0004419202358080926</v>
      </c>
      <c r="E355" s="5" t="n">
        <v>-0.0006488924130293345</v>
      </c>
      <c r="F355" s="5" t="n">
        <v>-0.0006455630861108329</v>
      </c>
      <c r="G355" s="5" t="n">
        <v>0.003975085991823714</v>
      </c>
      <c r="H355" s="5" t="n">
        <v>-0.001747961279359568</v>
      </c>
      <c r="I355" s="5" t="n">
        <v>0.005739171208069383</v>
      </c>
      <c r="J355" s="5" t="n">
        <v>0.002693468971609307</v>
      </c>
      <c r="K355" s="5" t="n">
        <v>-0.003848748222197367</v>
      </c>
      <c r="L355" s="5" t="n">
        <v>0.002803560308954214</v>
      </c>
      <c r="M355" s="5">
        <f>SUMPRODUCT(Exposures!$B$6:$K$6,B355:K355)</f>
        <v/>
      </c>
      <c r="N355" s="5">
        <f>IF(AND($A355&gt;=DATE(2020,2,1),$A355&lt;=DATE(2020,5,31)),$M355,"")</f>
        <v/>
      </c>
      <c r="O355" s="5">
        <f>IF(AND($A355&gt;=DATE(2022,1,1),$A355&lt;=DATE(2022,10,31)),$M355,"")</f>
        <v/>
      </c>
      <c r="P355" s="5">
        <f>IF(AND($A355&gt;=DATE(2018,10,1),$A355&lt;=DATE(2018,12,31)),$M355,"")</f>
        <v/>
      </c>
      <c r="Q355" s="5">
        <f>SUMPRODUCT(Exposures!$B$8:$K$8,B355:K355)</f>
        <v/>
      </c>
      <c r="R355" s="5">
        <f>SUMPRODUCT(Exposures!$B$9:$K$9,B355:K355)</f>
        <v/>
      </c>
      <c r="S355" s="5">
        <f>SUMPRODUCT(Exposures!$B$10:$K$10,B355:K355)</f>
        <v/>
      </c>
    </row>
    <row r="356">
      <c r="A356" s="1" t="n">
        <v>42972</v>
      </c>
      <c r="B356" s="5" t="n">
        <v>-0.003302173900085868</v>
      </c>
      <c r="C356" s="5" t="n">
        <v>-0.0004497869085767145</v>
      </c>
      <c r="D356" s="5" t="n">
        <v>-0.0001278663768327962</v>
      </c>
      <c r="E356" s="5" t="n">
        <v>0.002676074283149235</v>
      </c>
      <c r="F356" s="5" t="n">
        <v>0.002226040822430921</v>
      </c>
      <c r="G356" s="5" t="n">
        <v>0.003718305064845318</v>
      </c>
      <c r="H356" s="5" t="n">
        <v>-0.002557126334388848</v>
      </c>
      <c r="I356" s="5" t="n">
        <v>0.0006704557644424806</v>
      </c>
      <c r="J356" s="5" t="n">
        <v>0.00108910949387185</v>
      </c>
      <c r="K356" s="5" t="n">
        <v>-0.004518544544275951</v>
      </c>
      <c r="L356" s="5" t="n">
        <v>-0.0007821227489279033</v>
      </c>
      <c r="M356" s="5">
        <f>SUMPRODUCT(Exposures!$B$6:$K$6,B356:K356)</f>
        <v/>
      </c>
      <c r="N356" s="5">
        <f>IF(AND($A356&gt;=DATE(2020,2,1),$A356&lt;=DATE(2020,5,31)),$M356,"")</f>
        <v/>
      </c>
      <c r="O356" s="5">
        <f>IF(AND($A356&gt;=DATE(2022,1,1),$A356&lt;=DATE(2022,10,31)),$M356,"")</f>
        <v/>
      </c>
      <c r="P356" s="5">
        <f>IF(AND($A356&gt;=DATE(2018,10,1),$A356&lt;=DATE(2018,12,31)),$M356,"")</f>
        <v/>
      </c>
      <c r="Q356" s="5">
        <f>SUMPRODUCT(Exposures!$B$8:$K$8,B356:K356)</f>
        <v/>
      </c>
      <c r="R356" s="5">
        <f>SUMPRODUCT(Exposures!$B$9:$K$9,B356:K356)</f>
        <v/>
      </c>
      <c r="S356" s="5">
        <f>SUMPRODUCT(Exposures!$B$10:$K$10,B356:K356)</f>
        <v/>
      </c>
    </row>
    <row r="357">
      <c r="A357" s="1" t="n">
        <v>42975</v>
      </c>
      <c r="B357" s="5" t="n">
        <v>-6.688984423138711e-05</v>
      </c>
      <c r="C357" s="5" t="n">
        <v>-0.002117526070773748</v>
      </c>
      <c r="D357" s="5" t="n">
        <v>-0.002251227402401933</v>
      </c>
      <c r="E357" s="5" t="n">
        <v>-0.00127686518138503</v>
      </c>
      <c r="F357" s="5" t="n">
        <v>0.002023583532875938</v>
      </c>
      <c r="G357" s="5" t="n">
        <v>0.001174422131944718</v>
      </c>
      <c r="H357" s="5" t="n">
        <v>-0.0009838457320107805</v>
      </c>
      <c r="I357" s="5" t="n">
        <v>0.001178579239700169</v>
      </c>
      <c r="J357" s="5" t="n">
        <v>-7.484884734330972e-05</v>
      </c>
      <c r="K357" s="5" t="n">
        <v>-0.001561918277377748</v>
      </c>
      <c r="L357" s="5" t="n">
        <v>-0.00183384820594485</v>
      </c>
      <c r="M357" s="5">
        <f>SUMPRODUCT(Exposures!$B$6:$K$6,B357:K357)</f>
        <v/>
      </c>
      <c r="N357" s="5">
        <f>IF(AND($A357&gt;=DATE(2020,2,1),$A357&lt;=DATE(2020,5,31)),$M357,"")</f>
        <v/>
      </c>
      <c r="O357" s="5">
        <f>IF(AND($A357&gt;=DATE(2022,1,1),$A357&lt;=DATE(2022,10,31)),$M357,"")</f>
        <v/>
      </c>
      <c r="P357" s="5">
        <f>IF(AND($A357&gt;=DATE(2018,10,1),$A357&lt;=DATE(2018,12,31)),$M357,"")</f>
        <v/>
      </c>
      <c r="Q357" s="5">
        <f>SUMPRODUCT(Exposures!$B$8:$K$8,B357:K357)</f>
        <v/>
      </c>
      <c r="R357" s="5">
        <f>SUMPRODUCT(Exposures!$B$9:$K$9,B357:K357)</f>
        <v/>
      </c>
      <c r="S357" s="5">
        <f>SUMPRODUCT(Exposures!$B$10:$K$10,B357:K357)</f>
        <v/>
      </c>
    </row>
    <row r="358">
      <c r="A358" s="1" t="n">
        <v>42976</v>
      </c>
      <c r="B358" s="5" t="n">
        <v>0.001871043462034136</v>
      </c>
      <c r="C358" s="5" t="n">
        <v>-0.001076122657108847</v>
      </c>
      <c r="D358" s="5" t="n">
        <v>0.01510335274625445</v>
      </c>
      <c r="E358" s="5" t="n">
        <v>-0.0004390541906895654</v>
      </c>
      <c r="F358" s="5" t="n">
        <v>-0.0002663021941723498</v>
      </c>
      <c r="G358" s="5" t="n">
        <v>0.001435294326845914</v>
      </c>
      <c r="H358" s="5" t="n">
        <v>-0.003156491072593009</v>
      </c>
      <c r="I358" s="5" t="n">
        <v>0.002251736032527923</v>
      </c>
      <c r="J358" s="5" t="n">
        <v>0.00089556723289381</v>
      </c>
      <c r="K358" s="5" t="n">
        <v>-0.0005419490871821149</v>
      </c>
      <c r="L358" s="5" t="n">
        <v>0.001140741692708763</v>
      </c>
      <c r="M358" s="5">
        <f>SUMPRODUCT(Exposures!$B$6:$K$6,B358:K358)</f>
        <v/>
      </c>
      <c r="N358" s="5">
        <f>IF(AND($A358&gt;=DATE(2020,2,1),$A358&lt;=DATE(2020,5,31)),$M358,"")</f>
        <v/>
      </c>
      <c r="O358" s="5">
        <f>IF(AND($A358&gt;=DATE(2022,1,1),$A358&lt;=DATE(2022,10,31)),$M358,"")</f>
        <v/>
      </c>
      <c r="P358" s="5">
        <f>IF(AND($A358&gt;=DATE(2018,10,1),$A358&lt;=DATE(2018,12,31)),$M358,"")</f>
        <v/>
      </c>
      <c r="Q358" s="5">
        <f>SUMPRODUCT(Exposures!$B$8:$K$8,B358:K358)</f>
        <v/>
      </c>
      <c r="R358" s="5">
        <f>SUMPRODUCT(Exposures!$B$9:$K$9,B358:K358)</f>
        <v/>
      </c>
      <c r="S358" s="5">
        <f>SUMPRODUCT(Exposures!$B$10:$K$10,B358:K358)</f>
        <v/>
      </c>
    </row>
    <row r="359">
      <c r="A359" s="1" t="n">
        <v>42977</v>
      </c>
      <c r="B359" s="5" t="n">
        <v>0.002715733977125204</v>
      </c>
      <c r="C359" s="5" t="n">
        <v>0.0006612604009908564</v>
      </c>
      <c r="D359" s="5" t="n">
        <v>0.002987254815045531</v>
      </c>
      <c r="E359" s="5" t="n">
        <v>-0.001665852146826729</v>
      </c>
      <c r="F359" s="5" t="n">
        <v>0.001234145275143669</v>
      </c>
      <c r="G359" s="5" t="n">
        <v>0.006241576168525189</v>
      </c>
      <c r="H359" s="5" t="n">
        <v>-0.0005759512138658687</v>
      </c>
      <c r="I359" s="5" t="n">
        <v>0.001720605935134842</v>
      </c>
      <c r="J359" s="5" t="n">
        <v>0.003454914317124082</v>
      </c>
      <c r="K359" s="5" t="n">
        <v>0.001089832735935028</v>
      </c>
      <c r="L359" s="5" t="n">
        <v>-0.0001951033595760152</v>
      </c>
      <c r="M359" s="5">
        <f>SUMPRODUCT(Exposures!$B$6:$K$6,B359:K359)</f>
        <v/>
      </c>
      <c r="N359" s="5">
        <f>IF(AND($A359&gt;=DATE(2020,2,1),$A359&lt;=DATE(2020,5,31)),$M359,"")</f>
        <v/>
      </c>
      <c r="O359" s="5">
        <f>IF(AND($A359&gt;=DATE(2022,1,1),$A359&lt;=DATE(2022,10,31)),$M359,"")</f>
        <v/>
      </c>
      <c r="P359" s="5">
        <f>IF(AND($A359&gt;=DATE(2018,10,1),$A359&lt;=DATE(2018,12,31)),$M359,"")</f>
        <v/>
      </c>
      <c r="Q359" s="5">
        <f>SUMPRODUCT(Exposures!$B$8:$K$8,B359:K359)</f>
        <v/>
      </c>
      <c r="R359" s="5">
        <f>SUMPRODUCT(Exposures!$B$9:$K$9,B359:K359)</f>
        <v/>
      </c>
      <c r="S359" s="5">
        <f>SUMPRODUCT(Exposures!$B$10:$K$10,B359:K359)</f>
        <v/>
      </c>
    </row>
    <row r="360">
      <c r="A360" s="1" t="n">
        <v>42978</v>
      </c>
      <c r="B360" s="5" t="n">
        <v>0.001008770236388745</v>
      </c>
      <c r="C360" s="5" t="n">
        <v>-0.0004329807614151745</v>
      </c>
      <c r="D360" s="5" t="n">
        <v>-0.001249060633272934</v>
      </c>
      <c r="E360" s="5" t="n">
        <v>-0.002205425123793528</v>
      </c>
      <c r="F360" s="5" t="n">
        <v>-0.002497993406587252</v>
      </c>
      <c r="G360" s="5" t="n">
        <v>0.009023525237763558</v>
      </c>
      <c r="H360" s="5" t="n">
        <v>-0.001700822524385285</v>
      </c>
      <c r="I360" s="5" t="n">
        <v>0.001008802092210832</v>
      </c>
      <c r="J360" s="5" t="n">
        <v>0.003953000259491709</v>
      </c>
      <c r="K360" s="5" t="n">
        <v>0.002900849704257203</v>
      </c>
      <c r="L360" s="5" t="n">
        <v>5.523823140951163e-05</v>
      </c>
      <c r="M360" s="5">
        <f>SUMPRODUCT(Exposures!$B$6:$K$6,B360:K360)</f>
        <v/>
      </c>
      <c r="N360" s="5">
        <f>IF(AND($A360&gt;=DATE(2020,2,1),$A360&lt;=DATE(2020,5,31)),$M360,"")</f>
        <v/>
      </c>
      <c r="O360" s="5">
        <f>IF(AND($A360&gt;=DATE(2022,1,1),$A360&lt;=DATE(2022,10,31)),$M360,"")</f>
        <v/>
      </c>
      <c r="P360" s="5">
        <f>IF(AND($A360&gt;=DATE(2018,10,1),$A360&lt;=DATE(2018,12,31)),$M360,"")</f>
        <v/>
      </c>
      <c r="Q360" s="5">
        <f>SUMPRODUCT(Exposures!$B$8:$K$8,B360:K360)</f>
        <v/>
      </c>
      <c r="R360" s="5">
        <f>SUMPRODUCT(Exposures!$B$9:$K$9,B360:K360)</f>
        <v/>
      </c>
      <c r="S360" s="5">
        <f>SUMPRODUCT(Exposures!$B$10:$K$10,B360:K360)</f>
        <v/>
      </c>
    </row>
    <row r="361">
      <c r="A361" s="1" t="n">
        <v>42979</v>
      </c>
      <c r="B361" s="5" t="n">
        <v>0.003842875383177102</v>
      </c>
      <c r="C361" s="5" t="n">
        <v>0.0004479761013754535</v>
      </c>
      <c r="D361" s="5" t="n">
        <v>-0.001969187379861004</v>
      </c>
      <c r="E361" s="5" t="n">
        <v>2.532628696139442e-06</v>
      </c>
      <c r="F361" s="5" t="n">
        <v>-0.0004262866013016908</v>
      </c>
      <c r="G361" s="5" t="n">
        <v>0.004303064768899078</v>
      </c>
      <c r="H361" s="5" t="n">
        <v>-0.002816511680730986</v>
      </c>
      <c r="I361" s="5" t="n">
        <v>-0.001397860861549031</v>
      </c>
      <c r="J361" s="5" t="n">
        <v>0.00194015226262129</v>
      </c>
      <c r="K361" s="5" t="n">
        <v>0.001856277434255848</v>
      </c>
      <c r="L361" s="5" t="n">
        <v>0.002096615463095206</v>
      </c>
      <c r="M361" s="5">
        <f>SUMPRODUCT(Exposures!$B$6:$K$6,B361:K361)</f>
        <v/>
      </c>
      <c r="N361" s="5">
        <f>IF(AND($A361&gt;=DATE(2020,2,1),$A361&lt;=DATE(2020,5,31)),$M361,"")</f>
        <v/>
      </c>
      <c r="O361" s="5">
        <f>IF(AND($A361&gt;=DATE(2022,1,1),$A361&lt;=DATE(2022,10,31)),$M361,"")</f>
        <v/>
      </c>
      <c r="P361" s="5">
        <f>IF(AND($A361&gt;=DATE(2018,10,1),$A361&lt;=DATE(2018,12,31)),$M361,"")</f>
        <v/>
      </c>
      <c r="Q361" s="5">
        <f>SUMPRODUCT(Exposures!$B$8:$K$8,B361:K361)</f>
        <v/>
      </c>
      <c r="R361" s="5">
        <f>SUMPRODUCT(Exposures!$B$9:$K$9,B361:K361)</f>
        <v/>
      </c>
      <c r="S361" s="5">
        <f>SUMPRODUCT(Exposures!$B$10:$K$10,B361:K361)</f>
        <v/>
      </c>
    </row>
    <row r="362">
      <c r="A362" s="1" t="n">
        <v>42983</v>
      </c>
      <c r="B362" s="5" t="n">
        <v>-0.006459245469022369</v>
      </c>
      <c r="C362" s="5" t="n">
        <v>-0.001609338926975885</v>
      </c>
      <c r="D362" s="5" t="n">
        <v>0.00253849177227856</v>
      </c>
      <c r="E362" s="5" t="n">
        <v>-0.00423432463492004</v>
      </c>
      <c r="F362" s="5" t="n">
        <v>-0.001213181560258246</v>
      </c>
      <c r="G362" s="5" t="n">
        <v>-0.007481767721210627</v>
      </c>
      <c r="H362" s="5" t="n">
        <v>0.0007281751535995241</v>
      </c>
      <c r="I362" s="5" t="n">
        <v>0.001753253026981305</v>
      </c>
      <c r="J362" s="5" t="n">
        <v>0.000223072421050374</v>
      </c>
      <c r="K362" s="5" t="n">
        <v>-0.001457982471658377</v>
      </c>
      <c r="L362" s="5" t="n">
        <v>-0.003510807989976274</v>
      </c>
      <c r="M362" s="5">
        <f>SUMPRODUCT(Exposures!$B$6:$K$6,B362:K362)</f>
        <v/>
      </c>
      <c r="N362" s="5">
        <f>IF(AND($A362&gt;=DATE(2020,2,1),$A362&lt;=DATE(2020,5,31)),$M362,"")</f>
        <v/>
      </c>
      <c r="O362" s="5">
        <f>IF(AND($A362&gt;=DATE(2022,1,1),$A362&lt;=DATE(2022,10,31)),$M362,"")</f>
        <v/>
      </c>
      <c r="P362" s="5">
        <f>IF(AND($A362&gt;=DATE(2018,10,1),$A362&lt;=DATE(2018,12,31)),$M362,"")</f>
        <v/>
      </c>
      <c r="Q362" s="5">
        <f>SUMPRODUCT(Exposures!$B$8:$K$8,B362:K362)</f>
        <v/>
      </c>
      <c r="R362" s="5">
        <f>SUMPRODUCT(Exposures!$B$9:$K$9,B362:K362)</f>
        <v/>
      </c>
      <c r="S362" s="5">
        <f>SUMPRODUCT(Exposures!$B$10:$K$10,B362:K362)</f>
        <v/>
      </c>
    </row>
    <row r="363">
      <c r="A363" s="1" t="n">
        <v>42984</v>
      </c>
      <c r="B363" s="5" t="n">
        <v>-0.0003785199246813815</v>
      </c>
      <c r="C363" s="5" t="n">
        <v>0.0009260860889973978</v>
      </c>
      <c r="D363" s="5" t="n">
        <v>0.001475594906133796</v>
      </c>
      <c r="E363" s="5" t="n">
        <v>0.001082423291798171</v>
      </c>
      <c r="F363" s="5" t="n">
        <v>0.0009581676600629954</v>
      </c>
      <c r="G363" s="5" t="n">
        <v>0.002882803673327111</v>
      </c>
      <c r="H363" s="5" t="n">
        <v>-0.003114698573478734</v>
      </c>
      <c r="I363" s="5" t="n">
        <v>0.001213615039180852</v>
      </c>
      <c r="J363" s="5" t="n">
        <v>0.004109470351013356</v>
      </c>
      <c r="K363" s="5" t="n">
        <v>0.0005462735620688306</v>
      </c>
      <c r="L363" s="5" t="n">
        <v>0.001123117967105312</v>
      </c>
      <c r="M363" s="5">
        <f>SUMPRODUCT(Exposures!$B$6:$K$6,B363:K363)</f>
        <v/>
      </c>
      <c r="N363" s="5">
        <f>IF(AND($A363&gt;=DATE(2020,2,1),$A363&lt;=DATE(2020,5,31)),$M363,"")</f>
        <v/>
      </c>
      <c r="O363" s="5">
        <f>IF(AND($A363&gt;=DATE(2022,1,1),$A363&lt;=DATE(2022,10,31)),$M363,"")</f>
        <v/>
      </c>
      <c r="P363" s="5">
        <f>IF(AND($A363&gt;=DATE(2018,10,1),$A363&lt;=DATE(2018,12,31)),$M363,"")</f>
        <v/>
      </c>
      <c r="Q363" s="5">
        <f>SUMPRODUCT(Exposures!$B$8:$K$8,B363:K363)</f>
        <v/>
      </c>
      <c r="R363" s="5">
        <f>SUMPRODUCT(Exposures!$B$9:$K$9,B363:K363)</f>
        <v/>
      </c>
      <c r="S363" s="5">
        <f>SUMPRODUCT(Exposures!$B$10:$K$10,B363:K363)</f>
        <v/>
      </c>
    </row>
    <row r="364">
      <c r="A364" s="1" t="n">
        <v>42985</v>
      </c>
      <c r="B364" s="5" t="n">
        <v>-0.007073542994039514</v>
      </c>
      <c r="C364" s="5" t="n">
        <v>0.0004898500077238532</v>
      </c>
      <c r="D364" s="5" t="n">
        <v>0.004000412305097744</v>
      </c>
      <c r="E364" s="5" t="n">
        <v>-0.001314026263153924</v>
      </c>
      <c r="F364" s="5" t="n">
        <v>0.0004537868841709325</v>
      </c>
      <c r="G364" s="5" t="n">
        <v>-9.047155352422423e-05</v>
      </c>
      <c r="H364" s="5" t="n">
        <v>0.0004731609181907841</v>
      </c>
      <c r="I364" s="5" t="n">
        <v>0.003512541071776869</v>
      </c>
      <c r="J364" s="5" t="n">
        <v>0.003977921354947477</v>
      </c>
      <c r="K364" s="5" t="n">
        <v>-0.0004035814740310124</v>
      </c>
      <c r="L364" s="5" t="n">
        <v>-0.004536205425206443</v>
      </c>
      <c r="M364" s="5">
        <f>SUMPRODUCT(Exposures!$B$6:$K$6,B364:K364)</f>
        <v/>
      </c>
      <c r="N364" s="5">
        <f>IF(AND($A364&gt;=DATE(2020,2,1),$A364&lt;=DATE(2020,5,31)),$M364,"")</f>
        <v/>
      </c>
      <c r="O364" s="5">
        <f>IF(AND($A364&gt;=DATE(2022,1,1),$A364&lt;=DATE(2022,10,31)),$M364,"")</f>
        <v/>
      </c>
      <c r="P364" s="5">
        <f>IF(AND($A364&gt;=DATE(2018,10,1),$A364&lt;=DATE(2018,12,31)),$M364,"")</f>
        <v/>
      </c>
      <c r="Q364" s="5">
        <f>SUMPRODUCT(Exposures!$B$8:$K$8,B364:K364)</f>
        <v/>
      </c>
      <c r="R364" s="5">
        <f>SUMPRODUCT(Exposures!$B$9:$K$9,B364:K364)</f>
        <v/>
      </c>
      <c r="S364" s="5">
        <f>SUMPRODUCT(Exposures!$B$10:$K$10,B364:K364)</f>
        <v/>
      </c>
    </row>
    <row r="365">
      <c r="A365" s="1" t="n">
        <v>42986</v>
      </c>
      <c r="B365" s="5" t="n">
        <v>0.0009530541118029077</v>
      </c>
      <c r="C365" s="5" t="n">
        <v>0.0005055753211428424</v>
      </c>
      <c r="D365" s="5" t="n">
        <v>-0.0002525430761089653</v>
      </c>
      <c r="E365" s="5" t="n">
        <v>0.001897427955505107</v>
      </c>
      <c r="F365" s="5" t="n">
        <v>-0.003947065542615312</v>
      </c>
      <c r="G365" s="5" t="n">
        <v>6.376817159441347e-05</v>
      </c>
      <c r="H365" s="5" t="n">
        <v>0.0005465173836304143</v>
      </c>
      <c r="I365" s="5" t="n">
        <v>-0.00106210107757774</v>
      </c>
      <c r="J365" s="5" t="n">
        <v>-0.00494322439385783</v>
      </c>
      <c r="K365" s="5" t="n">
        <v>0.000963354789460563</v>
      </c>
      <c r="L365" s="5" t="n">
        <v>0.0004573773492473271</v>
      </c>
      <c r="M365" s="5">
        <f>SUMPRODUCT(Exposures!$B$6:$K$6,B365:K365)</f>
        <v/>
      </c>
      <c r="N365" s="5">
        <f>IF(AND($A365&gt;=DATE(2020,2,1),$A365&lt;=DATE(2020,5,31)),$M365,"")</f>
        <v/>
      </c>
      <c r="O365" s="5">
        <f>IF(AND($A365&gt;=DATE(2022,1,1),$A365&lt;=DATE(2022,10,31)),$M365,"")</f>
        <v/>
      </c>
      <c r="P365" s="5">
        <f>IF(AND($A365&gt;=DATE(2018,10,1),$A365&lt;=DATE(2018,12,31)),$M365,"")</f>
        <v/>
      </c>
      <c r="Q365" s="5">
        <f>SUMPRODUCT(Exposures!$B$8:$K$8,B365:K365)</f>
        <v/>
      </c>
      <c r="R365" s="5">
        <f>SUMPRODUCT(Exposures!$B$9:$K$9,B365:K365)</f>
        <v/>
      </c>
      <c r="S365" s="5">
        <f>SUMPRODUCT(Exposures!$B$10:$K$10,B365:K365)</f>
        <v/>
      </c>
    </row>
    <row r="366">
      <c r="A366" s="1" t="n">
        <v>42989</v>
      </c>
      <c r="B366" s="5" t="n">
        <v>0.006807091655310783</v>
      </c>
      <c r="C366" s="5" t="n">
        <v>0.001308563057802825</v>
      </c>
      <c r="D366" s="5" t="n">
        <v>-0.0005308386140117432</v>
      </c>
      <c r="E366" s="5" t="n">
        <v>0.001346545907193533</v>
      </c>
      <c r="F366" s="5" t="n">
        <v>-0.001857055465118656</v>
      </c>
      <c r="G366" s="5" t="n">
        <v>0.01210074623946417</v>
      </c>
      <c r="H366" s="5" t="n">
        <v>0.0003458638898452284</v>
      </c>
      <c r="I366" s="5" t="n">
        <v>-0.0005588897422391687</v>
      </c>
      <c r="J366" s="5" t="n">
        <v>-4.174048103119639e-05</v>
      </c>
      <c r="K366" s="5" t="n">
        <v>0.003062231580897545</v>
      </c>
      <c r="L366" s="5" t="n">
        <v>0.001362643338004936</v>
      </c>
      <c r="M366" s="5">
        <f>SUMPRODUCT(Exposures!$B$6:$K$6,B366:K366)</f>
        <v/>
      </c>
      <c r="N366" s="5">
        <f>IF(AND($A366&gt;=DATE(2020,2,1),$A366&lt;=DATE(2020,5,31)),$M366,"")</f>
        <v/>
      </c>
      <c r="O366" s="5">
        <f>IF(AND($A366&gt;=DATE(2022,1,1),$A366&lt;=DATE(2022,10,31)),$M366,"")</f>
        <v/>
      </c>
      <c r="P366" s="5">
        <f>IF(AND($A366&gt;=DATE(2018,10,1),$A366&lt;=DATE(2018,12,31)),$M366,"")</f>
        <v/>
      </c>
      <c r="Q366" s="5">
        <f>SUMPRODUCT(Exposures!$B$8:$K$8,B366:K366)</f>
        <v/>
      </c>
      <c r="R366" s="5">
        <f>SUMPRODUCT(Exposures!$B$9:$K$9,B366:K366)</f>
        <v/>
      </c>
      <c r="S366" s="5">
        <f>SUMPRODUCT(Exposures!$B$10:$K$10,B366:K366)</f>
        <v/>
      </c>
    </row>
    <row r="367">
      <c r="A367" s="1" t="n">
        <v>42990</v>
      </c>
      <c r="B367" s="5" t="n">
        <v>0.003157182535802243</v>
      </c>
      <c r="C367" s="5" t="n">
        <v>0.00035944360831099</v>
      </c>
      <c r="D367" s="5" t="n">
        <v>0.001017222102706767</v>
      </c>
      <c r="E367" s="5" t="n">
        <v>0.001255847608002515</v>
      </c>
      <c r="F367" s="5" t="n">
        <v>0.0003355778616741354</v>
      </c>
      <c r="G367" s="5" t="n">
        <v>0.005879086264028085</v>
      </c>
      <c r="H367" s="5" t="n">
        <v>-0.004044340095709912</v>
      </c>
      <c r="I367" s="5" t="n">
        <v>0.001255722142072663</v>
      </c>
      <c r="J367" s="5" t="n">
        <v>0.002593073517170262</v>
      </c>
      <c r="K367" s="5" t="n">
        <v>0.0001775061187671793</v>
      </c>
      <c r="L367" s="5" t="n">
        <v>0.001967236674392055</v>
      </c>
      <c r="M367" s="5">
        <f>SUMPRODUCT(Exposures!$B$6:$K$6,B367:K367)</f>
        <v/>
      </c>
      <c r="N367" s="5">
        <f>IF(AND($A367&gt;=DATE(2020,2,1),$A367&lt;=DATE(2020,5,31)),$M367,"")</f>
        <v/>
      </c>
      <c r="O367" s="5">
        <f>IF(AND($A367&gt;=DATE(2022,1,1),$A367&lt;=DATE(2022,10,31)),$M367,"")</f>
        <v/>
      </c>
      <c r="P367" s="5">
        <f>IF(AND($A367&gt;=DATE(2018,10,1),$A367&lt;=DATE(2018,12,31)),$M367,"")</f>
        <v/>
      </c>
      <c r="Q367" s="5">
        <f>SUMPRODUCT(Exposures!$B$8:$K$8,B367:K367)</f>
        <v/>
      </c>
      <c r="R367" s="5">
        <f>SUMPRODUCT(Exposures!$B$9:$K$9,B367:K367)</f>
        <v/>
      </c>
      <c r="S367" s="5">
        <f>SUMPRODUCT(Exposures!$B$10:$K$10,B367:K367)</f>
        <v/>
      </c>
    </row>
    <row r="368">
      <c r="A368" s="1" t="n">
        <v>42991</v>
      </c>
      <c r="B368" s="5" t="n">
        <v>-0.001376373711223111</v>
      </c>
      <c r="C368" s="5" t="n">
        <v>0.003161783849072908</v>
      </c>
      <c r="D368" s="5" t="n">
        <v>-0.001313138649655027</v>
      </c>
      <c r="E368" s="5" t="n">
        <v>-0.001150286750889613</v>
      </c>
      <c r="F368" s="5" t="n">
        <v>-0.001238185647202468</v>
      </c>
      <c r="G368" s="5" t="n">
        <v>0.00194379575845488</v>
      </c>
      <c r="H368" s="5" t="n">
        <v>0.0008497510154268186</v>
      </c>
      <c r="I368" s="5" t="n">
        <v>-7.323793208537655e-05</v>
      </c>
      <c r="J368" s="5" t="n">
        <v>0.006352723582067581</v>
      </c>
      <c r="K368" s="5" t="n">
        <v>0.003022154917211506</v>
      </c>
      <c r="L368" s="5" t="n">
        <v>0.001297782150686448</v>
      </c>
      <c r="M368" s="5">
        <f>SUMPRODUCT(Exposures!$B$6:$K$6,B368:K368)</f>
        <v/>
      </c>
      <c r="N368" s="5">
        <f>IF(AND($A368&gt;=DATE(2020,2,1),$A368&lt;=DATE(2020,5,31)),$M368,"")</f>
        <v/>
      </c>
      <c r="O368" s="5">
        <f>IF(AND($A368&gt;=DATE(2022,1,1),$A368&lt;=DATE(2022,10,31)),$M368,"")</f>
        <v/>
      </c>
      <c r="P368" s="5">
        <f>IF(AND($A368&gt;=DATE(2018,10,1),$A368&lt;=DATE(2018,12,31)),$M368,"")</f>
        <v/>
      </c>
      <c r="Q368" s="5">
        <f>SUMPRODUCT(Exposures!$B$8:$K$8,B368:K368)</f>
        <v/>
      </c>
      <c r="R368" s="5">
        <f>SUMPRODUCT(Exposures!$B$9:$K$9,B368:K368)</f>
        <v/>
      </c>
      <c r="S368" s="5">
        <f>SUMPRODUCT(Exposures!$B$10:$K$10,B368:K368)</f>
        <v/>
      </c>
    </row>
    <row r="369">
      <c r="A369" s="1" t="n">
        <v>42992</v>
      </c>
      <c r="B369" s="5" t="n">
        <v>-0.0003000671158406073</v>
      </c>
      <c r="C369" s="5" t="n">
        <v>-0.002000034545748105</v>
      </c>
      <c r="D369" s="5" t="n">
        <v>0.002073423168486196</v>
      </c>
      <c r="E369" s="5" t="n">
        <v>-0.001960590869358559</v>
      </c>
      <c r="F369" s="5" t="n">
        <v>-0.003532490754462894</v>
      </c>
      <c r="G369" s="5" t="n">
        <v>-0.001515343906352241</v>
      </c>
      <c r="H369" s="5" t="n">
        <v>0.0007281329789000352</v>
      </c>
      <c r="I369" s="5" t="n">
        <v>-0.001908749998646915</v>
      </c>
      <c r="J369" s="5" t="n">
        <v>-0.003714706680177006</v>
      </c>
      <c r="K369" s="5" t="n">
        <v>0.002079759638583459</v>
      </c>
      <c r="L369" s="5" t="n">
        <v>5.63601879561324e-05</v>
      </c>
      <c r="M369" s="5">
        <f>SUMPRODUCT(Exposures!$B$6:$K$6,B369:K369)</f>
        <v/>
      </c>
      <c r="N369" s="5">
        <f>IF(AND($A369&gt;=DATE(2020,2,1),$A369&lt;=DATE(2020,5,31)),$M369,"")</f>
        <v/>
      </c>
      <c r="O369" s="5">
        <f>IF(AND($A369&gt;=DATE(2022,1,1),$A369&lt;=DATE(2022,10,31)),$M369,"")</f>
        <v/>
      </c>
      <c r="P369" s="5">
        <f>IF(AND($A369&gt;=DATE(2018,10,1),$A369&lt;=DATE(2018,12,31)),$M369,"")</f>
        <v/>
      </c>
      <c r="Q369" s="5">
        <f>SUMPRODUCT(Exposures!$B$8:$K$8,B369:K369)</f>
        <v/>
      </c>
      <c r="R369" s="5">
        <f>SUMPRODUCT(Exposures!$B$9:$K$9,B369:K369)</f>
        <v/>
      </c>
      <c r="S369" s="5">
        <f>SUMPRODUCT(Exposures!$B$10:$K$10,B369:K369)</f>
        <v/>
      </c>
    </row>
    <row r="370">
      <c r="A370" s="1" t="n">
        <v>42993</v>
      </c>
      <c r="B370" s="5" t="n">
        <v>-0.001680455039234833</v>
      </c>
      <c r="C370" s="5" t="n">
        <v>0.002513323850778363</v>
      </c>
      <c r="D370" s="5" t="n">
        <v>-0.001651768607937691</v>
      </c>
      <c r="E370" s="5" t="n">
        <v>0.00119379392644569</v>
      </c>
      <c r="F370" s="5" t="n">
        <v>-0.001435736908609196</v>
      </c>
      <c r="G370" s="5" t="n">
        <v>0.002990091265093846</v>
      </c>
      <c r="H370" s="5" t="n">
        <v>0.001623007548277483</v>
      </c>
      <c r="I370" s="5" t="n">
        <v>0.0007011679698060697</v>
      </c>
      <c r="J370" s="5" t="n">
        <v>0.001954833862615039</v>
      </c>
      <c r="K370" s="5" t="n">
        <v>-0.001869877449291442</v>
      </c>
      <c r="L370" s="5" t="n">
        <v>0.0002125420892060102</v>
      </c>
      <c r="M370" s="5">
        <f>SUMPRODUCT(Exposures!$B$6:$K$6,B370:K370)</f>
        <v/>
      </c>
      <c r="N370" s="5">
        <f>IF(AND($A370&gt;=DATE(2020,2,1),$A370&lt;=DATE(2020,5,31)),$M370,"")</f>
        <v/>
      </c>
      <c r="O370" s="5">
        <f>IF(AND($A370&gt;=DATE(2022,1,1),$A370&lt;=DATE(2022,10,31)),$M370,"")</f>
        <v/>
      </c>
      <c r="P370" s="5">
        <f>IF(AND($A370&gt;=DATE(2018,10,1),$A370&lt;=DATE(2018,12,31)),$M370,"")</f>
        <v/>
      </c>
      <c r="Q370" s="5">
        <f>SUMPRODUCT(Exposures!$B$8:$K$8,B370:K370)</f>
        <v/>
      </c>
      <c r="R370" s="5">
        <f>SUMPRODUCT(Exposures!$B$9:$K$9,B370:K370)</f>
        <v/>
      </c>
      <c r="S370" s="5">
        <f>SUMPRODUCT(Exposures!$B$10:$K$10,B370:K370)</f>
        <v/>
      </c>
    </row>
    <row r="371">
      <c r="A371" s="1" t="n">
        <v>42996</v>
      </c>
      <c r="B371" s="5" t="n">
        <v>0.002708888664733081</v>
      </c>
      <c r="C371" s="5" t="n">
        <v>-0.001246304891788136</v>
      </c>
      <c r="D371" s="5" t="n">
        <v>-0.002528877533327042</v>
      </c>
      <c r="E371" s="5" t="n">
        <v>-0.001053097830910315</v>
      </c>
      <c r="F371" s="5" t="n">
        <v>0.002700465870258725</v>
      </c>
      <c r="G371" s="5" t="n">
        <v>0.004303170141562788</v>
      </c>
      <c r="H371" s="5" t="n">
        <v>0.006932774095365876</v>
      </c>
      <c r="I371" s="5" t="n">
        <v>0.002956196328686982</v>
      </c>
      <c r="J371" s="5" t="n">
        <v>-0.001158361622407631</v>
      </c>
      <c r="K371" s="5" t="n">
        <v>-0.006902811621811268</v>
      </c>
      <c r="L371" s="5" t="n">
        <v>-0.0009591098600774433</v>
      </c>
      <c r="M371" s="5">
        <f>SUMPRODUCT(Exposures!$B$6:$K$6,B371:K371)</f>
        <v/>
      </c>
      <c r="N371" s="5">
        <f>IF(AND($A371&gt;=DATE(2020,2,1),$A371&lt;=DATE(2020,5,31)),$M371,"")</f>
        <v/>
      </c>
      <c r="O371" s="5">
        <f>IF(AND($A371&gt;=DATE(2022,1,1),$A371&lt;=DATE(2022,10,31)),$M371,"")</f>
        <v/>
      </c>
      <c r="P371" s="5">
        <f>IF(AND($A371&gt;=DATE(2018,10,1),$A371&lt;=DATE(2018,12,31)),$M371,"")</f>
        <v/>
      </c>
      <c r="Q371" s="5">
        <f>SUMPRODUCT(Exposures!$B$8:$K$8,B371:K371)</f>
        <v/>
      </c>
      <c r="R371" s="5">
        <f>SUMPRODUCT(Exposures!$B$9:$K$9,B371:K371)</f>
        <v/>
      </c>
      <c r="S371" s="5">
        <f>SUMPRODUCT(Exposures!$B$10:$K$10,B371:K371)</f>
        <v/>
      </c>
    </row>
    <row r="372">
      <c r="A372" s="1" t="n">
        <v>42997</v>
      </c>
      <c r="B372" s="5" t="n">
        <v>0.004843078063068978</v>
      </c>
      <c r="C372" s="5" t="n">
        <v>-0.002713368014249687</v>
      </c>
      <c r="D372" s="5" t="n">
        <v>0.001974423781535486</v>
      </c>
      <c r="E372" s="5" t="n">
        <v>0.001225804510341852</v>
      </c>
      <c r="F372" s="5" t="n">
        <v>-0.0010720691188925</v>
      </c>
      <c r="G372" s="5" t="n">
        <v>-0.002803973802823943</v>
      </c>
      <c r="H372" s="5" t="n">
        <v>-0.0002223134717287937</v>
      </c>
      <c r="I372" s="5" t="n">
        <v>0.002116718063379115</v>
      </c>
      <c r="J372" s="5" t="n">
        <v>-0.005567193244825436</v>
      </c>
      <c r="K372" s="5" t="n">
        <v>-0.000238031568942039</v>
      </c>
      <c r="L372" s="5" t="n">
        <v>0.003225667044640254</v>
      </c>
      <c r="M372" s="5">
        <f>SUMPRODUCT(Exposures!$B$6:$K$6,B372:K372)</f>
        <v/>
      </c>
      <c r="N372" s="5">
        <f>IF(AND($A372&gt;=DATE(2020,2,1),$A372&lt;=DATE(2020,5,31)),$M372,"")</f>
        <v/>
      </c>
      <c r="O372" s="5">
        <f>IF(AND($A372&gt;=DATE(2022,1,1),$A372&lt;=DATE(2022,10,31)),$M372,"")</f>
        <v/>
      </c>
      <c r="P372" s="5">
        <f>IF(AND($A372&gt;=DATE(2018,10,1),$A372&lt;=DATE(2018,12,31)),$M372,"")</f>
        <v/>
      </c>
      <c r="Q372" s="5">
        <f>SUMPRODUCT(Exposures!$B$8:$K$8,B372:K372)</f>
        <v/>
      </c>
      <c r="R372" s="5">
        <f>SUMPRODUCT(Exposures!$B$9:$K$9,B372:K372)</f>
        <v/>
      </c>
      <c r="S372" s="5">
        <f>SUMPRODUCT(Exposures!$B$10:$K$10,B372:K372)</f>
        <v/>
      </c>
    </row>
    <row r="373">
      <c r="A373" s="1" t="n">
        <v>42998</v>
      </c>
      <c r="B373" s="5" t="n">
        <v>0.0001323796991711533</v>
      </c>
      <c r="C373" s="5" t="n">
        <v>-1.442946838265825e-05</v>
      </c>
      <c r="D373" s="5" t="n">
        <v>-0.0008541537213258753</v>
      </c>
      <c r="E373" s="5" t="n">
        <v>0.001552222283755857</v>
      </c>
      <c r="F373" s="5" t="n">
        <v>-0.001303380815081801</v>
      </c>
      <c r="G373" s="5" t="n">
        <v>0.001993578400996492</v>
      </c>
      <c r="H373" s="5" t="n">
        <v>0.000120596663257698</v>
      </c>
      <c r="I373" s="5" t="n">
        <v>-0.002281653525047276</v>
      </c>
      <c r="J373" s="5" t="n">
        <v>0.002251295894659601</v>
      </c>
      <c r="K373" s="5" t="n">
        <v>0.001722851974843754</v>
      </c>
      <c r="L373" s="5" t="n">
        <v>0.002712470381260631</v>
      </c>
      <c r="M373" s="5">
        <f>SUMPRODUCT(Exposures!$B$6:$K$6,B373:K373)</f>
        <v/>
      </c>
      <c r="N373" s="5">
        <f>IF(AND($A373&gt;=DATE(2020,2,1),$A373&lt;=DATE(2020,5,31)),$M373,"")</f>
        <v/>
      </c>
      <c r="O373" s="5">
        <f>IF(AND($A373&gt;=DATE(2022,1,1),$A373&lt;=DATE(2022,10,31)),$M373,"")</f>
        <v/>
      </c>
      <c r="P373" s="5">
        <f>IF(AND($A373&gt;=DATE(2018,10,1),$A373&lt;=DATE(2018,12,31)),$M373,"")</f>
        <v/>
      </c>
      <c r="Q373" s="5">
        <f>SUMPRODUCT(Exposures!$B$8:$K$8,B373:K373)</f>
        <v/>
      </c>
      <c r="R373" s="5">
        <f>SUMPRODUCT(Exposures!$B$9:$K$9,B373:K373)</f>
        <v/>
      </c>
      <c r="S373" s="5">
        <f>SUMPRODUCT(Exposures!$B$10:$K$10,B373:K373)</f>
        <v/>
      </c>
    </row>
    <row r="374">
      <c r="A374" s="1" t="n">
        <v>42999</v>
      </c>
      <c r="B374" s="5" t="n">
        <v>0.002145572523998789</v>
      </c>
      <c r="C374" s="5" t="n">
        <v>0.0002634943251209261</v>
      </c>
      <c r="D374" s="5" t="n">
        <v>-0.0004707698908493553</v>
      </c>
      <c r="E374" s="5" t="n">
        <v>0.0007268667129276339</v>
      </c>
      <c r="F374" s="5" t="n">
        <v>-0.002374537066769519</v>
      </c>
      <c r="G374" s="5" t="n">
        <v>-0.001392677232428987</v>
      </c>
      <c r="H374" s="5" t="n">
        <v>-0.002827043014146073</v>
      </c>
      <c r="I374" s="5" t="n">
        <v>-0.0004726641217342906</v>
      </c>
      <c r="J374" s="5" t="n">
        <v>0.000558795175383264</v>
      </c>
      <c r="K374" s="5" t="n">
        <v>0.002135601888318641</v>
      </c>
      <c r="L374" s="5" t="n">
        <v>0.002397919693635882</v>
      </c>
      <c r="M374" s="5">
        <f>SUMPRODUCT(Exposures!$B$6:$K$6,B374:K374)</f>
        <v/>
      </c>
      <c r="N374" s="5">
        <f>IF(AND($A374&gt;=DATE(2020,2,1),$A374&lt;=DATE(2020,5,31)),$M374,"")</f>
        <v/>
      </c>
      <c r="O374" s="5">
        <f>IF(AND($A374&gt;=DATE(2022,1,1),$A374&lt;=DATE(2022,10,31)),$M374,"")</f>
        <v/>
      </c>
      <c r="P374" s="5">
        <f>IF(AND($A374&gt;=DATE(2018,10,1),$A374&lt;=DATE(2018,12,31)),$M374,"")</f>
        <v/>
      </c>
      <c r="Q374" s="5">
        <f>SUMPRODUCT(Exposures!$B$8:$K$8,B374:K374)</f>
        <v/>
      </c>
      <c r="R374" s="5">
        <f>SUMPRODUCT(Exposures!$B$9:$K$9,B374:K374)</f>
        <v/>
      </c>
      <c r="S374" s="5">
        <f>SUMPRODUCT(Exposures!$B$10:$K$10,B374:K374)</f>
        <v/>
      </c>
    </row>
    <row r="375">
      <c r="A375" s="1" t="n">
        <v>43000</v>
      </c>
      <c r="B375" s="5" t="n">
        <v>0.001475200942644541</v>
      </c>
      <c r="C375" s="5" t="n">
        <v>0.002010334543998936</v>
      </c>
      <c r="D375" s="5" t="n">
        <v>-0.001119784156484423</v>
      </c>
      <c r="E375" s="5" t="n">
        <v>-0.0004967604076024456</v>
      </c>
      <c r="F375" s="5" t="n">
        <v>-0.001674251860178784</v>
      </c>
      <c r="G375" s="5" t="n">
        <v>0.004023241323505598</v>
      </c>
      <c r="H375" s="5" t="n">
        <v>-0.002324505155383782</v>
      </c>
      <c r="I375" s="5" t="n">
        <v>0.0007528303465402548</v>
      </c>
      <c r="J375" s="5" t="n">
        <v>0.001180912134443386</v>
      </c>
      <c r="K375" s="5" t="n">
        <v>0.0002645043504599868</v>
      </c>
      <c r="L375" s="5" t="n">
        <v>-0.001545795075789847</v>
      </c>
      <c r="M375" s="5">
        <f>SUMPRODUCT(Exposures!$B$6:$K$6,B375:K375)</f>
        <v/>
      </c>
      <c r="N375" s="5">
        <f>IF(AND($A375&gt;=DATE(2020,2,1),$A375&lt;=DATE(2020,5,31)),$M375,"")</f>
        <v/>
      </c>
      <c r="O375" s="5">
        <f>IF(AND($A375&gt;=DATE(2022,1,1),$A375&lt;=DATE(2022,10,31)),$M375,"")</f>
        <v/>
      </c>
      <c r="P375" s="5">
        <f>IF(AND($A375&gt;=DATE(2018,10,1),$A375&lt;=DATE(2018,12,31)),$M375,"")</f>
        <v/>
      </c>
      <c r="Q375" s="5">
        <f>SUMPRODUCT(Exposures!$B$8:$K$8,B375:K375)</f>
        <v/>
      </c>
      <c r="R375" s="5">
        <f>SUMPRODUCT(Exposures!$B$9:$K$9,B375:K375)</f>
        <v/>
      </c>
      <c r="S375" s="5">
        <f>SUMPRODUCT(Exposures!$B$10:$K$10,B375:K375)</f>
        <v/>
      </c>
    </row>
    <row r="376">
      <c r="A376" s="1" t="n">
        <v>43003</v>
      </c>
      <c r="B376" s="5" t="n">
        <v>-0.0007586111814619641</v>
      </c>
      <c r="C376" s="5" t="n">
        <v>-0.0004619287498269674</v>
      </c>
      <c r="D376" s="5" t="n">
        <v>-0.002408186432536177</v>
      </c>
      <c r="E376" s="5" t="n">
        <v>0.002207172591379566</v>
      </c>
      <c r="F376" s="5" t="n">
        <v>-0.004667206532611666</v>
      </c>
      <c r="G376" s="5" t="n">
        <v>-0.0005318082825014094</v>
      </c>
      <c r="H376" s="5" t="n">
        <v>-0.007043099965503857</v>
      </c>
      <c r="I376" s="5" t="n">
        <v>-0.002510285730788415</v>
      </c>
      <c r="J376" s="5" t="n">
        <v>-0.002917399589222776</v>
      </c>
      <c r="K376" s="5" t="n">
        <v>0.002977091480917105</v>
      </c>
      <c r="L376" s="5" t="n">
        <v>0.0007130702705896499</v>
      </c>
      <c r="M376" s="5">
        <f>SUMPRODUCT(Exposures!$B$6:$K$6,B376:K376)</f>
        <v/>
      </c>
      <c r="N376" s="5">
        <f>IF(AND($A376&gt;=DATE(2020,2,1),$A376&lt;=DATE(2020,5,31)),$M376,"")</f>
        <v/>
      </c>
      <c r="O376" s="5">
        <f>IF(AND($A376&gt;=DATE(2022,1,1),$A376&lt;=DATE(2022,10,31)),$M376,"")</f>
        <v/>
      </c>
      <c r="P376" s="5">
        <f>IF(AND($A376&gt;=DATE(2018,10,1),$A376&lt;=DATE(2018,12,31)),$M376,"")</f>
        <v/>
      </c>
      <c r="Q376" s="5">
        <f>SUMPRODUCT(Exposures!$B$8:$K$8,B376:K376)</f>
        <v/>
      </c>
      <c r="R376" s="5">
        <f>SUMPRODUCT(Exposures!$B$9:$K$9,B376:K376)</f>
        <v/>
      </c>
      <c r="S376" s="5">
        <f>SUMPRODUCT(Exposures!$B$10:$K$10,B376:K376)</f>
        <v/>
      </c>
    </row>
    <row r="377">
      <c r="A377" s="1" t="n">
        <v>43004</v>
      </c>
      <c r="B377" s="5" t="n">
        <v>0.001011845810015487</v>
      </c>
      <c r="C377" s="5" t="n">
        <v>-0.00033486827353644</v>
      </c>
      <c r="D377" s="5" t="n">
        <v>0.000133178651219815</v>
      </c>
      <c r="E377" s="5" t="n">
        <v>0.000366407616261281</v>
      </c>
      <c r="F377" s="5" t="n">
        <v>0.004195019776484744</v>
      </c>
      <c r="G377" s="5" t="n">
        <v>0.001306836713157869</v>
      </c>
      <c r="H377" s="5" t="n">
        <v>-0.0003597388927415912</v>
      </c>
      <c r="I377" s="5" t="n">
        <v>0.002228961422959211</v>
      </c>
      <c r="J377" s="5" t="n">
        <v>-0.004272840125998888</v>
      </c>
      <c r="K377" s="5" t="n">
        <v>-0.008056393875656999</v>
      </c>
      <c r="L377" s="5" t="n">
        <v>-0.0005051181075036706</v>
      </c>
      <c r="M377" s="5">
        <f>SUMPRODUCT(Exposures!$B$6:$K$6,B377:K377)</f>
        <v/>
      </c>
      <c r="N377" s="5">
        <f>IF(AND($A377&gt;=DATE(2020,2,1),$A377&lt;=DATE(2020,5,31)),$M377,"")</f>
        <v/>
      </c>
      <c r="O377" s="5">
        <f>IF(AND($A377&gt;=DATE(2022,1,1),$A377&lt;=DATE(2022,10,31)),$M377,"")</f>
        <v/>
      </c>
      <c r="P377" s="5">
        <f>IF(AND($A377&gt;=DATE(2018,10,1),$A377&lt;=DATE(2018,12,31)),$M377,"")</f>
        <v/>
      </c>
      <c r="Q377" s="5">
        <f>SUMPRODUCT(Exposures!$B$8:$K$8,B377:K377)</f>
        <v/>
      </c>
      <c r="R377" s="5">
        <f>SUMPRODUCT(Exposures!$B$9:$K$9,B377:K377)</f>
        <v/>
      </c>
      <c r="S377" s="5">
        <f>SUMPRODUCT(Exposures!$B$10:$K$10,B377:K377)</f>
        <v/>
      </c>
    </row>
    <row r="378">
      <c r="A378" s="1" t="n">
        <v>43005</v>
      </c>
      <c r="B378" s="5" t="n">
        <v>0.00572385133070505</v>
      </c>
      <c r="C378" s="5" t="n">
        <v>0.003824742151213492</v>
      </c>
      <c r="D378" s="5" t="n">
        <v>8.696360491838525e-05</v>
      </c>
      <c r="E378" s="5" t="n">
        <v>-0.0005446198970307601</v>
      </c>
      <c r="F378" s="5" t="n">
        <v>0.001414701084862698</v>
      </c>
      <c r="G378" s="5" t="n">
        <v>0.007775999812714245</v>
      </c>
      <c r="H378" s="5" t="n">
        <v>0.003642943234555968</v>
      </c>
      <c r="I378" s="5" t="n">
        <v>0.001446596926804965</v>
      </c>
      <c r="J378" s="5" t="n">
        <v>0.001152990596610171</v>
      </c>
      <c r="K378" s="5" t="n">
        <v>-0.004463800532382401</v>
      </c>
      <c r="L378" s="5" t="n">
        <v>0.0004590268701785345</v>
      </c>
      <c r="M378" s="5">
        <f>SUMPRODUCT(Exposures!$B$6:$K$6,B378:K378)</f>
        <v/>
      </c>
      <c r="N378" s="5">
        <f>IF(AND($A378&gt;=DATE(2020,2,1),$A378&lt;=DATE(2020,5,31)),$M378,"")</f>
        <v/>
      </c>
      <c r="O378" s="5">
        <f>IF(AND($A378&gt;=DATE(2022,1,1),$A378&lt;=DATE(2022,10,31)),$M378,"")</f>
        <v/>
      </c>
      <c r="P378" s="5">
        <f>IF(AND($A378&gt;=DATE(2018,10,1),$A378&lt;=DATE(2018,12,31)),$M378,"")</f>
        <v/>
      </c>
      <c r="Q378" s="5">
        <f>SUMPRODUCT(Exposures!$B$8:$K$8,B378:K378)</f>
        <v/>
      </c>
      <c r="R378" s="5">
        <f>SUMPRODUCT(Exposures!$B$9:$K$9,B378:K378)</f>
        <v/>
      </c>
      <c r="S378" s="5">
        <f>SUMPRODUCT(Exposures!$B$10:$K$10,B378:K378)</f>
        <v/>
      </c>
    </row>
    <row r="379">
      <c r="A379" s="1" t="n">
        <v>43006</v>
      </c>
      <c r="B379" s="5" t="n">
        <v>0.002010088895890527</v>
      </c>
      <c r="C379" s="5" t="n">
        <v>-0.0005235418305687037</v>
      </c>
      <c r="D379" s="5" t="n">
        <v>0.0007597871212533555</v>
      </c>
      <c r="E379" s="5" t="n">
        <v>-0.0006029059519797443</v>
      </c>
      <c r="F379" s="5" t="n">
        <v>-0.0001843762566761154</v>
      </c>
      <c r="G379" s="5" t="n">
        <v>0.001284706903230308</v>
      </c>
      <c r="H379" s="5" t="n">
        <v>-0.0002274008606555842</v>
      </c>
      <c r="I379" s="5" t="n">
        <v>-0.000273360688719711</v>
      </c>
      <c r="J379" s="5" t="n">
        <v>-0.00308415604215865</v>
      </c>
      <c r="K379" s="5" t="n">
        <v>0.001066057318948957</v>
      </c>
      <c r="L379" s="5" t="n">
        <v>-0.00171607264134526</v>
      </c>
      <c r="M379" s="5">
        <f>SUMPRODUCT(Exposures!$B$6:$K$6,B379:K379)</f>
        <v/>
      </c>
      <c r="N379" s="5">
        <f>IF(AND($A379&gt;=DATE(2020,2,1),$A379&lt;=DATE(2020,5,31)),$M379,"")</f>
        <v/>
      </c>
      <c r="O379" s="5">
        <f>IF(AND($A379&gt;=DATE(2022,1,1),$A379&lt;=DATE(2022,10,31)),$M379,"")</f>
        <v/>
      </c>
      <c r="P379" s="5">
        <f>IF(AND($A379&gt;=DATE(2018,10,1),$A379&lt;=DATE(2018,12,31)),$M379,"")</f>
        <v/>
      </c>
      <c r="Q379" s="5">
        <f>SUMPRODUCT(Exposures!$B$8:$K$8,B379:K379)</f>
        <v/>
      </c>
      <c r="R379" s="5">
        <f>SUMPRODUCT(Exposures!$B$9:$K$9,B379:K379)</f>
        <v/>
      </c>
      <c r="S379" s="5">
        <f>SUMPRODUCT(Exposures!$B$10:$K$10,B379:K379)</f>
        <v/>
      </c>
    </row>
    <row r="380">
      <c r="A380" s="1" t="n">
        <v>43007</v>
      </c>
      <c r="B380" s="5" t="n">
        <v>0.002363905736358415</v>
      </c>
      <c r="C380" s="5" t="n">
        <v>0.00170218365704847</v>
      </c>
      <c r="D380" s="5" t="n">
        <v>0.002834639528231343</v>
      </c>
      <c r="E380" s="5" t="n">
        <v>-0.001297492289777157</v>
      </c>
      <c r="F380" s="5" t="n">
        <v>-0.003580753079438399</v>
      </c>
      <c r="G380" s="5" t="n">
        <v>0.004601472914412682</v>
      </c>
      <c r="H380" s="5" t="n">
        <v>-0.0005907717612582241</v>
      </c>
      <c r="I380" s="5" t="n">
        <v>-0.0001597863221853451</v>
      </c>
      <c r="J380" s="5" t="n">
        <v>0.002303392783188328</v>
      </c>
      <c r="K380" s="5" t="n">
        <v>0.004454141912321912</v>
      </c>
      <c r="L380" s="5" t="n">
        <v>0.0004223221599385095</v>
      </c>
      <c r="M380" s="5">
        <f>SUMPRODUCT(Exposures!$B$6:$K$6,B380:K380)</f>
        <v/>
      </c>
      <c r="N380" s="5">
        <f>IF(AND($A380&gt;=DATE(2020,2,1),$A380&lt;=DATE(2020,5,31)),$M380,"")</f>
        <v/>
      </c>
      <c r="O380" s="5">
        <f>IF(AND($A380&gt;=DATE(2022,1,1),$A380&lt;=DATE(2022,10,31)),$M380,"")</f>
        <v/>
      </c>
      <c r="P380" s="5">
        <f>IF(AND($A380&gt;=DATE(2018,10,1),$A380&lt;=DATE(2018,12,31)),$M380,"")</f>
        <v/>
      </c>
      <c r="Q380" s="5">
        <f>SUMPRODUCT(Exposures!$B$8:$K$8,B380:K380)</f>
        <v/>
      </c>
      <c r="R380" s="5">
        <f>SUMPRODUCT(Exposures!$B$9:$K$9,B380:K380)</f>
        <v/>
      </c>
      <c r="S380" s="5">
        <f>SUMPRODUCT(Exposures!$B$10:$K$10,B380:K380)</f>
        <v/>
      </c>
    </row>
    <row r="381">
      <c r="A381" s="1" t="n">
        <v>43010</v>
      </c>
      <c r="B381" s="5" t="n">
        <v>0.005078423954129888</v>
      </c>
      <c r="C381" s="5" t="n">
        <v>-0.001165218297494462</v>
      </c>
      <c r="D381" s="5" t="n">
        <v>-0.004718136571132717</v>
      </c>
      <c r="E381" s="5" t="n">
        <v>-0.0007078038895408573</v>
      </c>
      <c r="F381" s="5" t="n">
        <v>-0.003858976697953921</v>
      </c>
      <c r="G381" s="5" t="n">
        <v>0.007042639807143968</v>
      </c>
      <c r="H381" s="5" t="n">
        <v>0.0003526178555158016</v>
      </c>
      <c r="I381" s="5" t="n">
        <v>0.0002818804970011193</v>
      </c>
      <c r="J381" s="5" t="n">
        <v>-1.301719944586666e-05</v>
      </c>
      <c r="K381" s="5" t="n">
        <v>0.001538299991272283</v>
      </c>
      <c r="L381" s="5" t="n">
        <v>-9.923437529394178e-06</v>
      </c>
      <c r="M381" s="5">
        <f>SUMPRODUCT(Exposures!$B$6:$K$6,B381:K381)</f>
        <v/>
      </c>
      <c r="N381" s="5">
        <f>IF(AND($A381&gt;=DATE(2020,2,1),$A381&lt;=DATE(2020,5,31)),$M381,"")</f>
        <v/>
      </c>
      <c r="O381" s="5">
        <f>IF(AND($A381&gt;=DATE(2022,1,1),$A381&lt;=DATE(2022,10,31)),$M381,"")</f>
        <v/>
      </c>
      <c r="P381" s="5">
        <f>IF(AND($A381&gt;=DATE(2018,10,1),$A381&lt;=DATE(2018,12,31)),$M381,"")</f>
        <v/>
      </c>
      <c r="Q381" s="5">
        <f>SUMPRODUCT(Exposures!$B$8:$K$8,B381:K381)</f>
        <v/>
      </c>
      <c r="R381" s="5">
        <f>SUMPRODUCT(Exposures!$B$9:$K$9,B381:K381)</f>
        <v/>
      </c>
      <c r="S381" s="5">
        <f>SUMPRODUCT(Exposures!$B$10:$K$10,B381:K381)</f>
        <v/>
      </c>
    </row>
    <row r="382">
      <c r="A382" s="1" t="n">
        <v>43011</v>
      </c>
      <c r="B382" s="5" t="n">
        <v>0.0008519831971202918</v>
      </c>
      <c r="C382" s="5" t="n">
        <v>0.001175385289587738</v>
      </c>
      <c r="D382" s="5" t="n">
        <v>-0.005637212029478456</v>
      </c>
      <c r="E382" s="5" t="n">
        <v>-0.0002729516608252864</v>
      </c>
      <c r="F382" s="5" t="n">
        <v>-0.006096691129847922</v>
      </c>
      <c r="G382" s="5" t="n">
        <v>0.003347339596234491</v>
      </c>
      <c r="H382" s="5" t="n">
        <v>0.001211421933715434</v>
      </c>
      <c r="I382" s="5" t="n">
        <v>-0.000837842698850588</v>
      </c>
      <c r="J382" s="5" t="n">
        <v>0.003798001004654751</v>
      </c>
      <c r="K382" s="5" t="n">
        <v>0.008427902068311975</v>
      </c>
      <c r="L382" s="5" t="n">
        <v>0.0005721117921315189</v>
      </c>
      <c r="M382" s="5">
        <f>SUMPRODUCT(Exposures!$B$6:$K$6,B382:K382)</f>
        <v/>
      </c>
      <c r="N382" s="5">
        <f>IF(AND($A382&gt;=DATE(2020,2,1),$A382&lt;=DATE(2020,5,31)),$M382,"")</f>
        <v/>
      </c>
      <c r="O382" s="5">
        <f>IF(AND($A382&gt;=DATE(2022,1,1),$A382&lt;=DATE(2022,10,31)),$M382,"")</f>
        <v/>
      </c>
      <c r="P382" s="5">
        <f>IF(AND($A382&gt;=DATE(2018,10,1),$A382&lt;=DATE(2018,12,31)),$M382,"")</f>
        <v/>
      </c>
      <c r="Q382" s="5">
        <f>SUMPRODUCT(Exposures!$B$8:$K$8,B382:K382)</f>
        <v/>
      </c>
      <c r="R382" s="5">
        <f>SUMPRODUCT(Exposures!$B$9:$K$9,B382:K382)</f>
        <v/>
      </c>
      <c r="S382" s="5">
        <f>SUMPRODUCT(Exposures!$B$10:$K$10,B382:K382)</f>
        <v/>
      </c>
    </row>
    <row r="383">
      <c r="A383" s="1" t="n">
        <v>43012</v>
      </c>
      <c r="B383" s="5" t="n">
        <v>-0.00172944254713988</v>
      </c>
      <c r="C383" s="5" t="n">
        <v>0.0001576757378972797</v>
      </c>
      <c r="D383" s="5" t="n">
        <v>0.002211642906356756</v>
      </c>
      <c r="E383" s="5" t="n">
        <v>0.0005724507245794448</v>
      </c>
      <c r="F383" s="5" t="n">
        <v>-0.004871455020731257</v>
      </c>
      <c r="G383" s="5" t="n">
        <v>-0.0006540636855354881</v>
      </c>
      <c r="H383" s="5" t="n">
        <v>6.760398770160189e-05</v>
      </c>
      <c r="I383" s="5" t="n">
        <v>-0.002812803547224371</v>
      </c>
      <c r="J383" s="5" t="n">
        <v>-0.000661381034871029</v>
      </c>
      <c r="K383" s="5" t="n">
        <v>0.007022874273613611</v>
      </c>
      <c r="L383" s="5" t="n">
        <v>-0.0004820356335375099</v>
      </c>
      <c r="M383" s="5">
        <f>SUMPRODUCT(Exposures!$B$6:$K$6,B383:K383)</f>
        <v/>
      </c>
      <c r="N383" s="5">
        <f>IF(AND($A383&gt;=DATE(2020,2,1),$A383&lt;=DATE(2020,5,31)),$M383,"")</f>
        <v/>
      </c>
      <c r="O383" s="5">
        <f>IF(AND($A383&gt;=DATE(2022,1,1),$A383&lt;=DATE(2022,10,31)),$M383,"")</f>
        <v/>
      </c>
      <c r="P383" s="5">
        <f>IF(AND($A383&gt;=DATE(2018,10,1),$A383&lt;=DATE(2018,12,31)),$M383,"")</f>
        <v/>
      </c>
      <c r="Q383" s="5">
        <f>SUMPRODUCT(Exposures!$B$8:$K$8,B383:K383)</f>
        <v/>
      </c>
      <c r="R383" s="5">
        <f>SUMPRODUCT(Exposures!$B$9:$K$9,B383:K383)</f>
        <v/>
      </c>
      <c r="S383" s="5">
        <f>SUMPRODUCT(Exposures!$B$10:$K$10,B383:K383)</f>
        <v/>
      </c>
    </row>
    <row r="384">
      <c r="A384" s="1" t="n">
        <v>43013</v>
      </c>
      <c r="B384" s="5" t="n">
        <v>0.002964740562726757</v>
      </c>
      <c r="C384" s="5" t="n">
        <v>-0.0008142093071687722</v>
      </c>
      <c r="D384" s="5" t="n">
        <v>-0.002598796512296044</v>
      </c>
      <c r="E384" s="5" t="n">
        <v>0.001537295386551406</v>
      </c>
      <c r="F384" s="5" t="n">
        <v>0.002380326479132351</v>
      </c>
      <c r="G384" s="5" t="n">
        <v>0.004064561525522327</v>
      </c>
      <c r="H384" s="5" t="n">
        <v>-0.001836108850102965</v>
      </c>
      <c r="I384" s="5" t="n">
        <v>0.00238890246015324</v>
      </c>
      <c r="J384" s="5" t="n">
        <v>-0.003156898507442472</v>
      </c>
      <c r="K384" s="5" t="n">
        <v>-0.002045506912113111</v>
      </c>
      <c r="L384" s="5" t="n">
        <v>0.0009090990270970888</v>
      </c>
      <c r="M384" s="5">
        <f>SUMPRODUCT(Exposures!$B$6:$K$6,B384:K384)</f>
        <v/>
      </c>
      <c r="N384" s="5">
        <f>IF(AND($A384&gt;=DATE(2020,2,1),$A384&lt;=DATE(2020,5,31)),$M384,"")</f>
        <v/>
      </c>
      <c r="O384" s="5">
        <f>IF(AND($A384&gt;=DATE(2022,1,1),$A384&lt;=DATE(2022,10,31)),$M384,"")</f>
        <v/>
      </c>
      <c r="P384" s="5">
        <f>IF(AND($A384&gt;=DATE(2018,10,1),$A384&lt;=DATE(2018,12,31)),$M384,"")</f>
        <v/>
      </c>
      <c r="Q384" s="5">
        <f>SUMPRODUCT(Exposures!$B$8:$K$8,B384:K384)</f>
        <v/>
      </c>
      <c r="R384" s="5">
        <f>SUMPRODUCT(Exposures!$B$9:$K$9,B384:K384)</f>
        <v/>
      </c>
      <c r="S384" s="5">
        <f>SUMPRODUCT(Exposures!$B$10:$K$10,B384:K384)</f>
        <v/>
      </c>
    </row>
    <row r="385">
      <c r="A385" s="1" t="n">
        <v>43014</v>
      </c>
      <c r="B385" s="5" t="n">
        <v>0.001545619340321205</v>
      </c>
      <c r="C385" s="5" t="n">
        <v>0.0009115266438146648</v>
      </c>
      <c r="D385" s="5" t="n">
        <v>0.0001466651153476064</v>
      </c>
      <c r="E385" s="5" t="n">
        <v>-0.001828946837074332</v>
      </c>
      <c r="F385" s="5" t="n">
        <v>-0.001719012954189018</v>
      </c>
      <c r="G385" s="5" t="n">
        <v>-0.0001146051120813215</v>
      </c>
      <c r="H385" s="5" t="n">
        <v>0.002043418507875468</v>
      </c>
      <c r="I385" s="5" t="n">
        <v>-0.0008192286369757991</v>
      </c>
      <c r="J385" s="5" t="n">
        <v>-0.001235290296224685</v>
      </c>
      <c r="K385" s="5" t="n">
        <v>0.001073558658095994</v>
      </c>
      <c r="L385" s="5" t="n">
        <v>-0.0005837499645497846</v>
      </c>
      <c r="M385" s="5">
        <f>SUMPRODUCT(Exposures!$B$6:$K$6,B385:K385)</f>
        <v/>
      </c>
      <c r="N385" s="5">
        <f>IF(AND($A385&gt;=DATE(2020,2,1),$A385&lt;=DATE(2020,5,31)),$M385,"")</f>
        <v/>
      </c>
      <c r="O385" s="5">
        <f>IF(AND($A385&gt;=DATE(2022,1,1),$A385&lt;=DATE(2022,10,31)),$M385,"")</f>
        <v/>
      </c>
      <c r="P385" s="5">
        <f>IF(AND($A385&gt;=DATE(2018,10,1),$A385&lt;=DATE(2018,12,31)),$M385,"")</f>
        <v/>
      </c>
      <c r="Q385" s="5">
        <f>SUMPRODUCT(Exposures!$B$8:$K$8,B385:K385)</f>
        <v/>
      </c>
      <c r="R385" s="5">
        <f>SUMPRODUCT(Exposures!$B$9:$K$9,B385:K385)</f>
        <v/>
      </c>
      <c r="S385" s="5">
        <f>SUMPRODUCT(Exposures!$B$10:$K$10,B385:K385)</f>
        <v/>
      </c>
    </row>
    <row r="386">
      <c r="A386" s="1" t="n">
        <v>43017</v>
      </c>
      <c r="B386" s="5" t="n">
        <v>-0.001224875428792647</v>
      </c>
      <c r="C386" s="5" t="n">
        <v>0.001158179445717599</v>
      </c>
      <c r="D386" s="5" t="n">
        <v>0.001712314951612342</v>
      </c>
      <c r="E386" s="5" t="n">
        <v>-0.001708501125947999</v>
      </c>
      <c r="F386" s="5" t="n">
        <v>-0.005212132689011268</v>
      </c>
      <c r="G386" s="5" t="n">
        <v>-0.003024686795909321</v>
      </c>
      <c r="H386" s="5" t="n">
        <v>0.004378412680810888</v>
      </c>
      <c r="I386" s="5" t="n">
        <v>-0.0007734669334508498</v>
      </c>
      <c r="J386" s="5" t="n">
        <v>0.0004426562778845109</v>
      </c>
      <c r="K386" s="5" t="n">
        <v>0.004939212024174211</v>
      </c>
      <c r="L386" s="5" t="n">
        <v>0.0008043723113621308</v>
      </c>
      <c r="M386" s="5">
        <f>SUMPRODUCT(Exposures!$B$6:$K$6,B386:K386)</f>
        <v/>
      </c>
      <c r="N386" s="5">
        <f>IF(AND($A386&gt;=DATE(2020,2,1),$A386&lt;=DATE(2020,5,31)),$M386,"")</f>
        <v/>
      </c>
      <c r="O386" s="5">
        <f>IF(AND($A386&gt;=DATE(2022,1,1),$A386&lt;=DATE(2022,10,31)),$M386,"")</f>
        <v/>
      </c>
      <c r="P386" s="5">
        <f>IF(AND($A386&gt;=DATE(2018,10,1),$A386&lt;=DATE(2018,12,31)),$M386,"")</f>
        <v/>
      </c>
      <c r="Q386" s="5">
        <f>SUMPRODUCT(Exposures!$B$8:$K$8,B386:K386)</f>
        <v/>
      </c>
      <c r="R386" s="5">
        <f>SUMPRODUCT(Exposures!$B$9:$K$9,B386:K386)</f>
        <v/>
      </c>
      <c r="S386" s="5">
        <f>SUMPRODUCT(Exposures!$B$10:$K$10,B386:K386)</f>
        <v/>
      </c>
    </row>
    <row r="387">
      <c r="A387" s="1" t="n">
        <v>43018</v>
      </c>
      <c r="B387" s="5" t="n">
        <v>0.0006850091295410915</v>
      </c>
      <c r="C387" s="5" t="n">
        <v>-0.001027590544306076</v>
      </c>
      <c r="D387" s="5" t="n">
        <v>0.0007632678803999962</v>
      </c>
      <c r="E387" s="5" t="n">
        <v>0.003177203194407913</v>
      </c>
      <c r="F387" s="5" t="n">
        <v>0.005575168123264609</v>
      </c>
      <c r="G387" s="5" t="n">
        <v>0.003713589160568802</v>
      </c>
      <c r="H387" s="5" t="n">
        <v>-0.001659301696709711</v>
      </c>
      <c r="I387" s="5" t="n">
        <v>0.002674139249771418</v>
      </c>
      <c r="J387" s="5" t="n">
        <v>-0.003542735560515498</v>
      </c>
      <c r="K387" s="5" t="n">
        <v>-0.007638398575677017</v>
      </c>
      <c r="L387" s="5" t="n">
        <v>-0.003687014054174158</v>
      </c>
      <c r="M387" s="5">
        <f>SUMPRODUCT(Exposures!$B$6:$K$6,B387:K387)</f>
        <v/>
      </c>
      <c r="N387" s="5">
        <f>IF(AND($A387&gt;=DATE(2020,2,1),$A387&lt;=DATE(2020,5,31)),$M387,"")</f>
        <v/>
      </c>
      <c r="O387" s="5">
        <f>IF(AND($A387&gt;=DATE(2022,1,1),$A387&lt;=DATE(2022,10,31)),$M387,"")</f>
        <v/>
      </c>
      <c r="P387" s="5">
        <f>IF(AND($A387&gt;=DATE(2018,10,1),$A387&lt;=DATE(2018,12,31)),$M387,"")</f>
        <v/>
      </c>
      <c r="Q387" s="5">
        <f>SUMPRODUCT(Exposures!$B$8:$K$8,B387:K387)</f>
        <v/>
      </c>
      <c r="R387" s="5">
        <f>SUMPRODUCT(Exposures!$B$9:$K$9,B387:K387)</f>
        <v/>
      </c>
      <c r="S387" s="5">
        <f>SUMPRODUCT(Exposures!$B$10:$K$10,B387:K387)</f>
        <v/>
      </c>
    </row>
    <row r="388">
      <c r="A388" s="1" t="n">
        <v>43019</v>
      </c>
      <c r="B388" s="5" t="n">
        <v>-0.0007066582623948398</v>
      </c>
      <c r="C388" s="5" t="n">
        <v>0.0002986374076972312</v>
      </c>
      <c r="D388" s="5" t="n">
        <v>-0.00122753830479354</v>
      </c>
      <c r="E388" s="5" t="n">
        <v>-0.00143521487473735</v>
      </c>
      <c r="F388" s="5" t="n">
        <v>0.001325166157593932</v>
      </c>
      <c r="G388" s="5" t="n">
        <v>-0.0001997638942117739</v>
      </c>
      <c r="H388" s="5" t="n">
        <v>0.004090444940196098</v>
      </c>
      <c r="I388" s="5" t="n">
        <v>-0.0003055050693289769</v>
      </c>
      <c r="J388" s="5" t="n">
        <v>-0.001671508840832223</v>
      </c>
      <c r="K388" s="5" t="n">
        <v>-0.001306805897541477</v>
      </c>
      <c r="L388" s="5" t="n">
        <v>-0.0004181436166890216</v>
      </c>
      <c r="M388" s="5">
        <f>SUMPRODUCT(Exposures!$B$6:$K$6,B388:K388)</f>
        <v/>
      </c>
      <c r="N388" s="5">
        <f>IF(AND($A388&gt;=DATE(2020,2,1),$A388&lt;=DATE(2020,5,31)),$M388,"")</f>
        <v/>
      </c>
      <c r="O388" s="5">
        <f>IF(AND($A388&gt;=DATE(2022,1,1),$A388&lt;=DATE(2022,10,31)),$M388,"")</f>
        <v/>
      </c>
      <c r="P388" s="5">
        <f>IF(AND($A388&gt;=DATE(2018,10,1),$A388&lt;=DATE(2018,12,31)),$M388,"")</f>
        <v/>
      </c>
      <c r="Q388" s="5">
        <f>SUMPRODUCT(Exposures!$B$8:$K$8,B388:K388)</f>
        <v/>
      </c>
      <c r="R388" s="5">
        <f>SUMPRODUCT(Exposures!$B$9:$K$9,B388:K388)</f>
        <v/>
      </c>
      <c r="S388" s="5">
        <f>SUMPRODUCT(Exposures!$B$10:$K$10,B388:K388)</f>
        <v/>
      </c>
    </row>
    <row r="389">
      <c r="A389" s="1" t="n">
        <v>43020</v>
      </c>
      <c r="B389" s="5" t="n">
        <v>-0.001411537090947879</v>
      </c>
      <c r="C389" s="5" t="n">
        <v>-0.0001132447734196467</v>
      </c>
      <c r="D389" s="5" t="n">
        <v>0.0004000535627417949</v>
      </c>
      <c r="E389" s="5" t="n">
        <v>-0.001211398619309541</v>
      </c>
      <c r="F389" s="5" t="n">
        <v>0.000393645350658802</v>
      </c>
      <c r="G389" s="5" t="n">
        <v>-0.0001304434551911979</v>
      </c>
      <c r="H389" s="5" t="n">
        <v>0.001579282144835667</v>
      </c>
      <c r="I389" s="5" t="n">
        <v>-0.001629573358730569</v>
      </c>
      <c r="J389" s="5" t="n">
        <v>-0.003249934919190387</v>
      </c>
      <c r="K389" s="5" t="n">
        <v>-0.003346293907508121</v>
      </c>
      <c r="L389" s="5" t="n">
        <v>-0.002844360079235947</v>
      </c>
      <c r="M389" s="5">
        <f>SUMPRODUCT(Exposures!$B$6:$K$6,B389:K389)</f>
        <v/>
      </c>
      <c r="N389" s="5">
        <f>IF(AND($A389&gt;=DATE(2020,2,1),$A389&lt;=DATE(2020,5,31)),$M389,"")</f>
        <v/>
      </c>
      <c r="O389" s="5">
        <f>IF(AND($A389&gt;=DATE(2022,1,1),$A389&lt;=DATE(2022,10,31)),$M389,"")</f>
        <v/>
      </c>
      <c r="P389" s="5">
        <f>IF(AND($A389&gt;=DATE(2018,10,1),$A389&lt;=DATE(2018,12,31)),$M389,"")</f>
        <v/>
      </c>
      <c r="Q389" s="5">
        <f>SUMPRODUCT(Exposures!$B$8:$K$8,B389:K389)</f>
        <v/>
      </c>
      <c r="R389" s="5">
        <f>SUMPRODUCT(Exposures!$B$9:$K$9,B389:K389)</f>
        <v/>
      </c>
      <c r="S389" s="5">
        <f>SUMPRODUCT(Exposures!$B$10:$K$10,B389:K389)</f>
        <v/>
      </c>
    </row>
    <row r="390">
      <c r="A390" s="1" t="n">
        <v>43021</v>
      </c>
      <c r="B390" s="5" t="n">
        <v>0.004647851871414029</v>
      </c>
      <c r="C390" s="5" t="n">
        <v>-0.001068570185573983</v>
      </c>
      <c r="D390" s="5" t="n">
        <v>0.0009767637247100845</v>
      </c>
      <c r="E390" s="5" t="n">
        <v>0.001652197478495775</v>
      </c>
      <c r="F390" s="5" t="n">
        <v>0.004359521789081231</v>
      </c>
      <c r="G390" s="5" t="n">
        <v>-0.001711368908045138</v>
      </c>
      <c r="H390" s="5" t="n">
        <v>-0.003648792070453377</v>
      </c>
      <c r="I390" s="5" t="n">
        <v>0.0001515287028764391</v>
      </c>
      <c r="J390" s="5" t="n">
        <v>-0.009292407672825447</v>
      </c>
      <c r="K390" s="5" t="n">
        <v>-0.004382709325324232</v>
      </c>
      <c r="L390" s="5" t="n">
        <v>-0.001850532758350753</v>
      </c>
      <c r="M390" s="5">
        <f>SUMPRODUCT(Exposures!$B$6:$K$6,B390:K390)</f>
        <v/>
      </c>
      <c r="N390" s="5">
        <f>IF(AND($A390&gt;=DATE(2020,2,1),$A390&lt;=DATE(2020,5,31)),$M390,"")</f>
        <v/>
      </c>
      <c r="O390" s="5">
        <f>IF(AND($A390&gt;=DATE(2022,1,1),$A390&lt;=DATE(2022,10,31)),$M390,"")</f>
        <v/>
      </c>
      <c r="P390" s="5">
        <f>IF(AND($A390&gt;=DATE(2018,10,1),$A390&lt;=DATE(2018,12,31)),$M390,"")</f>
        <v/>
      </c>
      <c r="Q390" s="5">
        <f>SUMPRODUCT(Exposures!$B$8:$K$8,B390:K390)</f>
        <v/>
      </c>
      <c r="R390" s="5">
        <f>SUMPRODUCT(Exposures!$B$9:$K$9,B390:K390)</f>
        <v/>
      </c>
      <c r="S390" s="5">
        <f>SUMPRODUCT(Exposures!$B$10:$K$10,B390:K390)</f>
        <v/>
      </c>
    </row>
    <row r="391">
      <c r="A391" s="1" t="n">
        <v>43024</v>
      </c>
      <c r="B391" s="5" t="n">
        <v>0.002016561208354797</v>
      </c>
      <c r="C391" s="5" t="n">
        <v>0.001084703670286594</v>
      </c>
      <c r="D391" s="5" t="n">
        <v>0.004650331498298078</v>
      </c>
      <c r="E391" s="5" t="n">
        <v>-0.0002988029479030248</v>
      </c>
      <c r="F391" s="5" t="n">
        <v>-0.004324890971590055</v>
      </c>
      <c r="G391" s="5" t="n">
        <v>0.0007391003091092139</v>
      </c>
      <c r="H391" s="5" t="n">
        <v>0.0004833539024021521</v>
      </c>
      <c r="I391" s="5" t="n">
        <v>-0.001961935425735362</v>
      </c>
      <c r="J391" s="5" t="n">
        <v>-0.001057796873140409</v>
      </c>
      <c r="K391" s="5" t="n">
        <v>0.00580417375826301</v>
      </c>
      <c r="L391" s="5" t="n">
        <v>0.002167149952293834</v>
      </c>
      <c r="M391" s="5">
        <f>SUMPRODUCT(Exposures!$B$6:$K$6,B391:K391)</f>
        <v/>
      </c>
      <c r="N391" s="5">
        <f>IF(AND($A391&gt;=DATE(2020,2,1),$A391&lt;=DATE(2020,5,31)),$M391,"")</f>
        <v/>
      </c>
      <c r="O391" s="5">
        <f>IF(AND($A391&gt;=DATE(2022,1,1),$A391&lt;=DATE(2022,10,31)),$M391,"")</f>
        <v/>
      </c>
      <c r="P391" s="5">
        <f>IF(AND($A391&gt;=DATE(2018,10,1),$A391&lt;=DATE(2018,12,31)),$M391,"")</f>
        <v/>
      </c>
      <c r="Q391" s="5">
        <f>SUMPRODUCT(Exposures!$B$8:$K$8,B391:K391)</f>
        <v/>
      </c>
      <c r="R391" s="5">
        <f>SUMPRODUCT(Exposures!$B$9:$K$9,B391:K391)</f>
        <v/>
      </c>
      <c r="S391" s="5">
        <f>SUMPRODUCT(Exposures!$B$10:$K$10,B391:K391)</f>
        <v/>
      </c>
    </row>
    <row r="392">
      <c r="A392" s="1" t="n">
        <v>43025</v>
      </c>
      <c r="B392" s="5" t="n">
        <v>-0.001459337626975481</v>
      </c>
      <c r="C392" s="5" t="n">
        <v>0.001153985174712383</v>
      </c>
      <c r="D392" s="5" t="n">
        <v>0.001314582890223538</v>
      </c>
      <c r="E392" s="5" t="n">
        <v>-0.0006813111847121059</v>
      </c>
      <c r="F392" s="5" t="n">
        <v>0.002102461906980652</v>
      </c>
      <c r="G392" s="5" t="n">
        <v>-0.0002190526014991855</v>
      </c>
      <c r="H392" s="5" t="n">
        <v>-0.002263352739583434</v>
      </c>
      <c r="I392" s="5" t="n">
        <v>0.001839843256632108</v>
      </c>
      <c r="J392" s="5" t="n">
        <v>0.0007714563434922925</v>
      </c>
      <c r="K392" s="5" t="n">
        <v>-0.002536165720158836</v>
      </c>
      <c r="L392" s="5" t="n">
        <v>-0.0009852089542182589</v>
      </c>
      <c r="M392" s="5">
        <f>SUMPRODUCT(Exposures!$B$6:$K$6,B392:K392)</f>
        <v/>
      </c>
      <c r="N392" s="5">
        <f>IF(AND($A392&gt;=DATE(2020,2,1),$A392&lt;=DATE(2020,5,31)),$M392,"")</f>
        <v/>
      </c>
      <c r="O392" s="5">
        <f>IF(AND($A392&gt;=DATE(2022,1,1),$A392&lt;=DATE(2022,10,31)),$M392,"")</f>
        <v/>
      </c>
      <c r="P392" s="5">
        <f>IF(AND($A392&gt;=DATE(2018,10,1),$A392&lt;=DATE(2018,12,31)),$M392,"")</f>
        <v/>
      </c>
      <c r="Q392" s="5">
        <f>SUMPRODUCT(Exposures!$B$8:$K$8,B392:K392)</f>
        <v/>
      </c>
      <c r="R392" s="5">
        <f>SUMPRODUCT(Exposures!$B$9:$K$9,B392:K392)</f>
        <v/>
      </c>
      <c r="S392" s="5">
        <f>SUMPRODUCT(Exposures!$B$10:$K$10,B392:K392)</f>
        <v/>
      </c>
    </row>
    <row r="393">
      <c r="A393" s="1" t="n">
        <v>43026</v>
      </c>
      <c r="B393" s="5" t="n">
        <v>0.002514282191925549</v>
      </c>
      <c r="C393" s="5" t="n">
        <v>0.001863304205011184</v>
      </c>
      <c r="D393" s="5" t="n">
        <v>-0.002120717261771445</v>
      </c>
      <c r="E393" s="5" t="n">
        <v>0.001878218811231327</v>
      </c>
      <c r="F393" s="5" t="n">
        <v>0.001165138918177819</v>
      </c>
      <c r="G393" s="5" t="n">
        <v>0.0007678458211667557</v>
      </c>
      <c r="H393" s="5" t="n">
        <v>-0.0001846653127813288</v>
      </c>
      <c r="I393" s="5" t="n">
        <v>0.00247764426368512</v>
      </c>
      <c r="J393" s="5" t="n">
        <v>-0.002937452552505973</v>
      </c>
      <c r="K393" s="5" t="n">
        <v>-0.002186467076652643</v>
      </c>
      <c r="L393" s="5" t="n">
        <v>-0.0006003364080097392</v>
      </c>
      <c r="M393" s="5">
        <f>SUMPRODUCT(Exposures!$B$6:$K$6,B393:K393)</f>
        <v/>
      </c>
      <c r="N393" s="5">
        <f>IF(AND($A393&gt;=DATE(2020,2,1),$A393&lt;=DATE(2020,5,31)),$M393,"")</f>
        <v/>
      </c>
      <c r="O393" s="5">
        <f>IF(AND($A393&gt;=DATE(2022,1,1),$A393&lt;=DATE(2022,10,31)),$M393,"")</f>
        <v/>
      </c>
      <c r="P393" s="5">
        <f>IF(AND($A393&gt;=DATE(2018,10,1),$A393&lt;=DATE(2018,12,31)),$M393,"")</f>
        <v/>
      </c>
      <c r="Q393" s="5">
        <f>SUMPRODUCT(Exposures!$B$8:$K$8,B393:K393)</f>
        <v/>
      </c>
      <c r="R393" s="5">
        <f>SUMPRODUCT(Exposures!$B$9:$K$9,B393:K393)</f>
        <v/>
      </c>
      <c r="S393" s="5">
        <f>SUMPRODUCT(Exposures!$B$10:$K$10,B393:K393)</f>
        <v/>
      </c>
    </row>
    <row r="394">
      <c r="A394" s="1" t="n">
        <v>43027</v>
      </c>
      <c r="B394" s="5" t="n">
        <v>-0.0009501411273064027</v>
      </c>
      <c r="C394" s="5" t="n">
        <v>-0.00296805933974944</v>
      </c>
      <c r="D394" s="5" t="n">
        <v>0.004733481819934098</v>
      </c>
      <c r="E394" s="5" t="n">
        <v>0.0003598816443897879</v>
      </c>
      <c r="F394" s="5" t="n">
        <v>-0.003036630435681483</v>
      </c>
      <c r="G394" s="5" t="n">
        <v>0.0007004606499559078</v>
      </c>
      <c r="H394" s="5" t="n">
        <v>0.0008986045888365341</v>
      </c>
      <c r="I394" s="5" t="n">
        <v>0.001107512303062736</v>
      </c>
      <c r="J394" s="5" t="n">
        <v>-0.003333612355725716</v>
      </c>
      <c r="K394" s="5" t="n">
        <v>0.001909605649227458</v>
      </c>
      <c r="L394" s="5" t="n">
        <v>8.343488349958855e-05</v>
      </c>
      <c r="M394" s="5">
        <f>SUMPRODUCT(Exposures!$B$6:$K$6,B394:K394)</f>
        <v/>
      </c>
      <c r="N394" s="5">
        <f>IF(AND($A394&gt;=DATE(2020,2,1),$A394&lt;=DATE(2020,5,31)),$M394,"")</f>
        <v/>
      </c>
      <c r="O394" s="5">
        <f>IF(AND($A394&gt;=DATE(2022,1,1),$A394&lt;=DATE(2022,10,31)),$M394,"")</f>
        <v/>
      </c>
      <c r="P394" s="5">
        <f>IF(AND($A394&gt;=DATE(2018,10,1),$A394&lt;=DATE(2018,12,31)),$M394,"")</f>
        <v/>
      </c>
      <c r="Q394" s="5">
        <f>SUMPRODUCT(Exposures!$B$8:$K$8,B394:K394)</f>
        <v/>
      </c>
      <c r="R394" s="5">
        <f>SUMPRODUCT(Exposures!$B$9:$K$9,B394:K394)</f>
        <v/>
      </c>
      <c r="S394" s="5">
        <f>SUMPRODUCT(Exposures!$B$10:$K$10,B394:K394)</f>
        <v/>
      </c>
    </row>
    <row r="395">
      <c r="A395" s="1" t="n">
        <v>43028</v>
      </c>
      <c r="B395" s="5" t="n">
        <v>0.003201560521167469</v>
      </c>
      <c r="C395" s="5" t="n">
        <v>-0.0006619295096814233</v>
      </c>
      <c r="D395" s="5" t="n">
        <v>-0.001866366653232616</v>
      </c>
      <c r="E395" s="5" t="n">
        <v>0.001468631037805068</v>
      </c>
      <c r="F395" s="5" t="n">
        <v>-0.0005173464700183625</v>
      </c>
      <c r="G395" s="5" t="n">
        <v>0.004240072650201222</v>
      </c>
      <c r="H395" s="5" t="n">
        <v>-0.0002098053098337799</v>
      </c>
      <c r="I395" s="5" t="n">
        <v>-0.0008179663087785879</v>
      </c>
      <c r="J395" s="5" t="n">
        <v>-0.001894569353430459</v>
      </c>
      <c r="K395" s="5" t="n">
        <v>0.001647697527275445</v>
      </c>
      <c r="L395" s="5" t="n">
        <v>0.001307472263292806</v>
      </c>
      <c r="M395" s="5">
        <f>SUMPRODUCT(Exposures!$B$6:$K$6,B395:K395)</f>
        <v/>
      </c>
      <c r="N395" s="5">
        <f>IF(AND($A395&gt;=DATE(2020,2,1),$A395&lt;=DATE(2020,5,31)),$M395,"")</f>
        <v/>
      </c>
      <c r="O395" s="5">
        <f>IF(AND($A395&gt;=DATE(2022,1,1),$A395&lt;=DATE(2022,10,31)),$M395,"")</f>
        <v/>
      </c>
      <c r="P395" s="5">
        <f>IF(AND($A395&gt;=DATE(2018,10,1),$A395&lt;=DATE(2018,12,31)),$M395,"")</f>
        <v/>
      </c>
      <c r="Q395" s="5">
        <f>SUMPRODUCT(Exposures!$B$8:$K$8,B395:K395)</f>
        <v/>
      </c>
      <c r="R395" s="5">
        <f>SUMPRODUCT(Exposures!$B$9:$K$9,B395:K395)</f>
        <v/>
      </c>
      <c r="S395" s="5">
        <f>SUMPRODUCT(Exposures!$B$10:$K$10,B395:K395)</f>
        <v/>
      </c>
    </row>
    <row r="396">
      <c r="A396" s="1" t="n">
        <v>43031</v>
      </c>
      <c r="B396" s="5" t="n">
        <v>-0.001702646400636882</v>
      </c>
      <c r="C396" s="5" t="n">
        <v>-0.00103170051383042</v>
      </c>
      <c r="D396" s="5" t="n">
        <v>-0.0005904810269576125</v>
      </c>
      <c r="E396" s="5" t="n">
        <v>0.0008771650401526168</v>
      </c>
      <c r="F396" s="5" t="n">
        <v>0.004309451808962212</v>
      </c>
      <c r="G396" s="5" t="n">
        <v>-0.00441679113597985</v>
      </c>
      <c r="H396" s="5" t="n">
        <v>0.001306978700817372</v>
      </c>
      <c r="I396" s="5" t="n">
        <v>-0.002104246219997608</v>
      </c>
      <c r="J396" s="5" t="n">
        <v>-0.002264697297532174</v>
      </c>
      <c r="K396" s="5" t="n">
        <v>-0.004618366918527643</v>
      </c>
      <c r="L396" s="5" t="n">
        <v>4.145287166460257e-07</v>
      </c>
      <c r="M396" s="5">
        <f>SUMPRODUCT(Exposures!$B$6:$K$6,B396:K396)</f>
        <v/>
      </c>
      <c r="N396" s="5">
        <f>IF(AND($A396&gt;=DATE(2020,2,1),$A396&lt;=DATE(2020,5,31)),$M396,"")</f>
        <v/>
      </c>
      <c r="O396" s="5">
        <f>IF(AND($A396&gt;=DATE(2022,1,1),$A396&lt;=DATE(2022,10,31)),$M396,"")</f>
        <v/>
      </c>
      <c r="P396" s="5">
        <f>IF(AND($A396&gt;=DATE(2018,10,1),$A396&lt;=DATE(2018,12,31)),$M396,"")</f>
        <v/>
      </c>
      <c r="Q396" s="5">
        <f>SUMPRODUCT(Exposures!$B$8:$K$8,B396:K396)</f>
        <v/>
      </c>
      <c r="R396" s="5">
        <f>SUMPRODUCT(Exposures!$B$9:$K$9,B396:K396)</f>
        <v/>
      </c>
      <c r="S396" s="5">
        <f>SUMPRODUCT(Exposures!$B$10:$K$10,B396:K396)</f>
        <v/>
      </c>
    </row>
    <row r="397">
      <c r="A397" s="1" t="n">
        <v>43032</v>
      </c>
      <c r="B397" s="5" t="n">
        <v>0.00317242269403583</v>
      </c>
      <c r="C397" s="5" t="n">
        <v>0.0009307607034317659</v>
      </c>
      <c r="D397" s="5" t="n">
        <v>-0.001924435323430719</v>
      </c>
      <c r="E397" s="5" t="n">
        <v>-0.0002120003148087912</v>
      </c>
      <c r="F397" s="5" t="n">
        <v>-0.001110667960615902</v>
      </c>
      <c r="G397" s="5" t="n">
        <v>0.001932809346837024</v>
      </c>
      <c r="H397" s="5" t="n">
        <v>0.002726918466370281</v>
      </c>
      <c r="I397" s="5" t="n">
        <v>-0.0007121132104741343</v>
      </c>
      <c r="J397" s="5" t="n">
        <v>-1.708866465123765e-05</v>
      </c>
      <c r="K397" s="5" t="n">
        <v>-0.0004007098443365709</v>
      </c>
      <c r="L397" s="5" t="n">
        <v>0.001418177534512532</v>
      </c>
      <c r="M397" s="5">
        <f>SUMPRODUCT(Exposures!$B$6:$K$6,B397:K397)</f>
        <v/>
      </c>
      <c r="N397" s="5">
        <f>IF(AND($A397&gt;=DATE(2020,2,1),$A397&lt;=DATE(2020,5,31)),$M397,"")</f>
        <v/>
      </c>
      <c r="O397" s="5">
        <f>IF(AND($A397&gt;=DATE(2022,1,1),$A397&lt;=DATE(2022,10,31)),$M397,"")</f>
        <v/>
      </c>
      <c r="P397" s="5">
        <f>IF(AND($A397&gt;=DATE(2018,10,1),$A397&lt;=DATE(2018,12,31)),$M397,"")</f>
        <v/>
      </c>
      <c r="Q397" s="5">
        <f>SUMPRODUCT(Exposures!$B$8:$K$8,B397:K397)</f>
        <v/>
      </c>
      <c r="R397" s="5">
        <f>SUMPRODUCT(Exposures!$B$9:$K$9,B397:K397)</f>
        <v/>
      </c>
      <c r="S397" s="5">
        <f>SUMPRODUCT(Exposures!$B$10:$K$10,B397:K397)</f>
        <v/>
      </c>
    </row>
    <row r="398">
      <c r="A398" s="1" t="n">
        <v>43033</v>
      </c>
      <c r="B398" s="5" t="n">
        <v>0.0008704243084794051</v>
      </c>
      <c r="C398" s="5" t="n">
        <v>0.001809123249090035</v>
      </c>
      <c r="D398" s="5" t="n">
        <v>0.005636634825777967</v>
      </c>
      <c r="E398" s="5" t="n">
        <v>-0.001854552374427025</v>
      </c>
      <c r="F398" s="5" t="n">
        <v>-0.01052889542316077</v>
      </c>
      <c r="G398" s="5" t="n">
        <v>-0.007893635033869575</v>
      </c>
      <c r="H398" s="5" t="n">
        <v>0.0002170483467224814</v>
      </c>
      <c r="I398" s="5" t="n">
        <v>0.001593011308841405</v>
      </c>
      <c r="J398" s="5" t="n">
        <v>-0.006998112940951927</v>
      </c>
      <c r="K398" s="5" t="n">
        <v>0.006701589145390497</v>
      </c>
      <c r="L398" s="5" t="n">
        <v>0.001381718289873281</v>
      </c>
      <c r="M398" s="5">
        <f>SUMPRODUCT(Exposures!$B$6:$K$6,B398:K398)</f>
        <v/>
      </c>
      <c r="N398" s="5">
        <f>IF(AND($A398&gt;=DATE(2020,2,1),$A398&lt;=DATE(2020,5,31)),$M398,"")</f>
        <v/>
      </c>
      <c r="O398" s="5">
        <f>IF(AND($A398&gt;=DATE(2022,1,1),$A398&lt;=DATE(2022,10,31)),$M398,"")</f>
        <v/>
      </c>
      <c r="P398" s="5">
        <f>IF(AND($A398&gt;=DATE(2018,10,1),$A398&lt;=DATE(2018,12,31)),$M398,"")</f>
        <v/>
      </c>
      <c r="Q398" s="5">
        <f>SUMPRODUCT(Exposures!$B$8:$K$8,B398:K398)</f>
        <v/>
      </c>
      <c r="R398" s="5">
        <f>SUMPRODUCT(Exposures!$B$9:$K$9,B398:K398)</f>
        <v/>
      </c>
      <c r="S398" s="5">
        <f>SUMPRODUCT(Exposures!$B$10:$K$10,B398:K398)</f>
        <v/>
      </c>
    </row>
    <row r="399">
      <c r="A399" s="1" t="n">
        <v>43034</v>
      </c>
      <c r="B399" s="5" t="n">
        <v>0.002933868107893781</v>
      </c>
      <c r="C399" s="5" t="n">
        <v>0.001960971628696667</v>
      </c>
      <c r="D399" s="5" t="n">
        <v>0.007467429693841178</v>
      </c>
      <c r="E399" s="5" t="n">
        <v>-0.00272301365076077</v>
      </c>
      <c r="F399" s="5" t="n">
        <v>-0.00417703831278059</v>
      </c>
      <c r="G399" s="5" t="n">
        <v>0.0017790887051419</v>
      </c>
      <c r="H399" s="5" t="n">
        <v>-0.0008988314463414201</v>
      </c>
      <c r="I399" s="5" t="n">
        <v>-0.002550429481788562</v>
      </c>
      <c r="J399" s="5" t="n">
        <v>-0.006552648654881381</v>
      </c>
      <c r="K399" s="5" t="n">
        <v>0.0003611389053571725</v>
      </c>
      <c r="L399" s="5" t="n">
        <v>-0.0002558563157803493</v>
      </c>
      <c r="M399" s="5">
        <f>SUMPRODUCT(Exposures!$B$6:$K$6,B399:K399)</f>
        <v/>
      </c>
      <c r="N399" s="5">
        <f>IF(AND($A399&gt;=DATE(2020,2,1),$A399&lt;=DATE(2020,5,31)),$M399,"")</f>
        <v/>
      </c>
      <c r="O399" s="5">
        <f>IF(AND($A399&gt;=DATE(2022,1,1),$A399&lt;=DATE(2022,10,31)),$M399,"")</f>
        <v/>
      </c>
      <c r="P399" s="5">
        <f>IF(AND($A399&gt;=DATE(2018,10,1),$A399&lt;=DATE(2018,12,31)),$M399,"")</f>
        <v/>
      </c>
      <c r="Q399" s="5">
        <f>SUMPRODUCT(Exposures!$B$8:$K$8,B399:K399)</f>
        <v/>
      </c>
      <c r="R399" s="5">
        <f>SUMPRODUCT(Exposures!$B$9:$K$9,B399:K399)</f>
        <v/>
      </c>
      <c r="S399" s="5">
        <f>SUMPRODUCT(Exposures!$B$10:$K$10,B399:K399)</f>
        <v/>
      </c>
    </row>
    <row r="400">
      <c r="A400" s="1" t="n">
        <v>43035</v>
      </c>
      <c r="B400" s="5" t="n">
        <v>0.001288226680831851</v>
      </c>
      <c r="C400" s="5" t="n">
        <v>0.003121495027958287</v>
      </c>
      <c r="D400" s="5" t="n">
        <v>-0.003457573843167193</v>
      </c>
      <c r="E400" s="5" t="n">
        <v>-0.005033614317727631</v>
      </c>
      <c r="F400" s="5" t="n">
        <v>0.005434278358434047</v>
      </c>
      <c r="G400" s="5" t="n">
        <v>0.003459144189591925</v>
      </c>
      <c r="H400" s="5" t="n">
        <v>0.00836170747015794</v>
      </c>
      <c r="I400" s="5" t="n">
        <v>-0.001537095849225584</v>
      </c>
      <c r="J400" s="5" t="n">
        <v>-0.001823410988311997</v>
      </c>
      <c r="K400" s="5" t="n">
        <v>-0.005643109298805812</v>
      </c>
      <c r="L400" s="5" t="n">
        <v>-0.0002640306196902155</v>
      </c>
      <c r="M400" s="5">
        <f>SUMPRODUCT(Exposures!$B$6:$K$6,B400:K400)</f>
        <v/>
      </c>
      <c r="N400" s="5">
        <f>IF(AND($A400&gt;=DATE(2020,2,1),$A400&lt;=DATE(2020,5,31)),$M400,"")</f>
        <v/>
      </c>
      <c r="O400" s="5">
        <f>IF(AND($A400&gt;=DATE(2022,1,1),$A400&lt;=DATE(2022,10,31)),$M400,"")</f>
        <v/>
      </c>
      <c r="P400" s="5">
        <f>IF(AND($A400&gt;=DATE(2018,10,1),$A400&lt;=DATE(2018,12,31)),$M400,"")</f>
        <v/>
      </c>
      <c r="Q400" s="5">
        <f>SUMPRODUCT(Exposures!$B$8:$K$8,B400:K400)</f>
        <v/>
      </c>
      <c r="R400" s="5">
        <f>SUMPRODUCT(Exposures!$B$9:$K$9,B400:K400)</f>
        <v/>
      </c>
      <c r="S400" s="5">
        <f>SUMPRODUCT(Exposures!$B$10:$K$10,B400:K400)</f>
        <v/>
      </c>
    </row>
    <row r="401">
      <c r="A401" s="1" t="n">
        <v>43038</v>
      </c>
      <c r="B401" s="5" t="n">
        <v>-0.002261775083133148</v>
      </c>
      <c r="C401" s="5" t="n">
        <v>0.001494553976076237</v>
      </c>
      <c r="D401" s="5" t="n">
        <v>-0.001515922307370567</v>
      </c>
      <c r="E401" s="5" t="n">
        <v>-0.002625314190290727</v>
      </c>
      <c r="F401" s="5" t="n">
        <v>0.001017854359246212</v>
      </c>
      <c r="G401" s="5" t="n">
        <v>-0.005442952757238184</v>
      </c>
      <c r="H401" s="5" t="n">
        <v>0.001477139059940888</v>
      </c>
      <c r="I401" s="5" t="n">
        <v>0.002440231622669014</v>
      </c>
      <c r="J401" s="5" t="n">
        <v>0.004049379376933279</v>
      </c>
      <c r="K401" s="5" t="n">
        <v>0.002622017799187774</v>
      </c>
      <c r="L401" s="5" t="n">
        <v>8.955070088858218e-05</v>
      </c>
      <c r="M401" s="5">
        <f>SUMPRODUCT(Exposures!$B$6:$K$6,B401:K401)</f>
        <v/>
      </c>
      <c r="N401" s="5">
        <f>IF(AND($A401&gt;=DATE(2020,2,1),$A401&lt;=DATE(2020,5,31)),$M401,"")</f>
        <v/>
      </c>
      <c r="O401" s="5">
        <f>IF(AND($A401&gt;=DATE(2022,1,1),$A401&lt;=DATE(2022,10,31)),$M401,"")</f>
        <v/>
      </c>
      <c r="P401" s="5">
        <f>IF(AND($A401&gt;=DATE(2018,10,1),$A401&lt;=DATE(2018,12,31)),$M401,"")</f>
        <v/>
      </c>
      <c r="Q401" s="5">
        <f>SUMPRODUCT(Exposures!$B$8:$K$8,B401:K401)</f>
        <v/>
      </c>
      <c r="R401" s="5">
        <f>SUMPRODUCT(Exposures!$B$9:$K$9,B401:K401)</f>
        <v/>
      </c>
      <c r="S401" s="5">
        <f>SUMPRODUCT(Exposures!$B$10:$K$10,B401:K401)</f>
        <v/>
      </c>
    </row>
    <row r="402">
      <c r="A402" s="1" t="n">
        <v>43039</v>
      </c>
      <c r="B402" s="5" t="n">
        <v>-0.0007810363343676228</v>
      </c>
      <c r="C402" s="5" t="n">
        <v>-0.0004884343458242321</v>
      </c>
      <c r="D402" s="5" t="n">
        <v>-0.002063442242322364</v>
      </c>
      <c r="E402" s="5" t="n">
        <v>-0.0008225629120489537</v>
      </c>
      <c r="F402" s="5" t="n">
        <v>0.006171147083216084</v>
      </c>
      <c r="G402" s="5" t="n">
        <v>0.002373408783217591</v>
      </c>
      <c r="H402" s="5" t="n">
        <v>0.0002978778715709654</v>
      </c>
      <c r="I402" s="5" t="n">
        <v>0.002821473695428448</v>
      </c>
      <c r="J402" s="5" t="n">
        <v>-0.002731534359125399</v>
      </c>
      <c r="K402" s="5" t="n">
        <v>-0.008111249249270796</v>
      </c>
      <c r="L402" s="5" t="n">
        <v>-0.001299411566235998</v>
      </c>
      <c r="M402" s="5">
        <f>SUMPRODUCT(Exposures!$B$6:$K$6,B402:K402)</f>
        <v/>
      </c>
      <c r="N402" s="5">
        <f>IF(AND($A402&gt;=DATE(2020,2,1),$A402&lt;=DATE(2020,5,31)),$M402,"")</f>
        <v/>
      </c>
      <c r="O402" s="5">
        <f>IF(AND($A402&gt;=DATE(2022,1,1),$A402&lt;=DATE(2022,10,31)),$M402,"")</f>
        <v/>
      </c>
      <c r="P402" s="5">
        <f>IF(AND($A402&gt;=DATE(2018,10,1),$A402&lt;=DATE(2018,12,31)),$M402,"")</f>
        <v/>
      </c>
      <c r="Q402" s="5">
        <f>SUMPRODUCT(Exposures!$B$8:$K$8,B402:K402)</f>
        <v/>
      </c>
      <c r="R402" s="5">
        <f>SUMPRODUCT(Exposures!$B$9:$K$9,B402:K402)</f>
        <v/>
      </c>
      <c r="S402" s="5">
        <f>SUMPRODUCT(Exposures!$B$10:$K$10,B402:K402)</f>
        <v/>
      </c>
    </row>
    <row r="403">
      <c r="A403" s="1" t="n">
        <v>43040</v>
      </c>
      <c r="B403" s="5" t="n">
        <v>0.001950055880893114</v>
      </c>
      <c r="C403" s="5" t="n">
        <v>0.003669322135531225</v>
      </c>
      <c r="D403" s="5" t="n">
        <v>-0.002707247575407341</v>
      </c>
      <c r="E403" s="5" t="n">
        <v>0.002527420883081032</v>
      </c>
      <c r="F403" s="5" t="n">
        <v>-0.001931765062316549</v>
      </c>
      <c r="G403" s="5" t="n">
        <v>-0.001184126550630695</v>
      </c>
      <c r="H403" s="5" t="n">
        <v>-0.0009615615833889974</v>
      </c>
      <c r="I403" s="5" t="n">
        <v>-0.0008352483410752959</v>
      </c>
      <c r="J403" s="5" t="n">
        <v>-0.005308416014575391</v>
      </c>
      <c r="K403" s="5" t="n">
        <v>0.001949602445524177</v>
      </c>
      <c r="L403" s="5" t="n">
        <v>-0.002587627963195057</v>
      </c>
      <c r="M403" s="5">
        <f>SUMPRODUCT(Exposures!$B$6:$K$6,B403:K403)</f>
        <v/>
      </c>
      <c r="N403" s="5">
        <f>IF(AND($A403&gt;=DATE(2020,2,1),$A403&lt;=DATE(2020,5,31)),$M403,"")</f>
        <v/>
      </c>
      <c r="O403" s="5">
        <f>IF(AND($A403&gt;=DATE(2022,1,1),$A403&lt;=DATE(2022,10,31)),$M403,"")</f>
        <v/>
      </c>
      <c r="P403" s="5">
        <f>IF(AND($A403&gt;=DATE(2018,10,1),$A403&lt;=DATE(2018,12,31)),$M403,"")</f>
        <v/>
      </c>
      <c r="Q403" s="5">
        <f>SUMPRODUCT(Exposures!$B$8:$K$8,B403:K403)</f>
        <v/>
      </c>
      <c r="R403" s="5">
        <f>SUMPRODUCT(Exposures!$B$9:$K$9,B403:K403)</f>
        <v/>
      </c>
      <c r="S403" s="5">
        <f>SUMPRODUCT(Exposures!$B$10:$K$10,B403:K403)</f>
        <v/>
      </c>
    </row>
    <row r="404">
      <c r="A404" s="1" t="n">
        <v>43041</v>
      </c>
      <c r="B404" s="5" t="n">
        <v>-0.002450048670625351</v>
      </c>
      <c r="C404" s="5" t="n">
        <v>-0.002597532581082295</v>
      </c>
      <c r="D404" s="5" t="n">
        <v>-0.002681895072113059</v>
      </c>
      <c r="E404" s="5" t="n">
        <v>-0.001243726324962393</v>
      </c>
      <c r="F404" s="5" t="n">
        <v>-0.0001240182362739482</v>
      </c>
      <c r="G404" s="5" t="n">
        <v>0.003193961232775971</v>
      </c>
      <c r="H404" s="5" t="n">
        <v>0.003075486723974188</v>
      </c>
      <c r="I404" s="5" t="n">
        <v>-0.002242758348059471</v>
      </c>
      <c r="J404" s="5" t="n">
        <v>0.004671436679771295</v>
      </c>
      <c r="K404" s="5" t="n">
        <v>0.003837591476806517</v>
      </c>
      <c r="L404" s="5" t="n">
        <v>0.004606502702885695</v>
      </c>
      <c r="M404" s="5">
        <f>SUMPRODUCT(Exposures!$B$6:$K$6,B404:K404)</f>
        <v/>
      </c>
      <c r="N404" s="5">
        <f>IF(AND($A404&gt;=DATE(2020,2,1),$A404&lt;=DATE(2020,5,31)),$M404,"")</f>
        <v/>
      </c>
      <c r="O404" s="5">
        <f>IF(AND($A404&gt;=DATE(2022,1,1),$A404&lt;=DATE(2022,10,31)),$M404,"")</f>
        <v/>
      </c>
      <c r="P404" s="5">
        <f>IF(AND($A404&gt;=DATE(2018,10,1),$A404&lt;=DATE(2018,12,31)),$M404,"")</f>
        <v/>
      </c>
      <c r="Q404" s="5">
        <f>SUMPRODUCT(Exposures!$B$8:$K$8,B404:K404)</f>
        <v/>
      </c>
      <c r="R404" s="5">
        <f>SUMPRODUCT(Exposures!$B$9:$K$9,B404:K404)</f>
        <v/>
      </c>
      <c r="S404" s="5">
        <f>SUMPRODUCT(Exposures!$B$10:$K$10,B404:K404)</f>
        <v/>
      </c>
    </row>
    <row r="405">
      <c r="A405" s="1" t="n">
        <v>43042</v>
      </c>
      <c r="B405" s="5" t="n">
        <v>-0.0003865688512004107</v>
      </c>
      <c r="C405" s="5" t="n">
        <v>0.001893179165843822</v>
      </c>
      <c r="D405" s="5" t="n">
        <v>-0.003950258209006024</v>
      </c>
      <c r="E405" s="5" t="n">
        <v>-0.004653217582609877</v>
      </c>
      <c r="F405" s="5" t="n">
        <v>-0.006145875506106279</v>
      </c>
      <c r="G405" s="5" t="n">
        <v>0.002029958334705016</v>
      </c>
      <c r="H405" s="5" t="n">
        <v>0.002937786229115361</v>
      </c>
      <c r="I405" s="5" t="n">
        <v>-0.001322516451372308</v>
      </c>
      <c r="J405" s="5" t="n">
        <v>0.00112136474020904</v>
      </c>
      <c r="K405" s="5" t="n">
        <v>0.006541615907787087</v>
      </c>
      <c r="L405" s="5" t="n">
        <v>-0.001442950503118128</v>
      </c>
      <c r="M405" s="5">
        <f>SUMPRODUCT(Exposures!$B$6:$K$6,B405:K405)</f>
        <v/>
      </c>
      <c r="N405" s="5">
        <f>IF(AND($A405&gt;=DATE(2020,2,1),$A405&lt;=DATE(2020,5,31)),$M405,"")</f>
        <v/>
      </c>
      <c r="O405" s="5">
        <f>IF(AND($A405&gt;=DATE(2022,1,1),$A405&lt;=DATE(2022,10,31)),$M405,"")</f>
        <v/>
      </c>
      <c r="P405" s="5">
        <f>IF(AND($A405&gt;=DATE(2018,10,1),$A405&lt;=DATE(2018,12,31)),$M405,"")</f>
        <v/>
      </c>
      <c r="Q405" s="5">
        <f>SUMPRODUCT(Exposures!$B$8:$K$8,B405:K405)</f>
        <v/>
      </c>
      <c r="R405" s="5">
        <f>SUMPRODUCT(Exposures!$B$9:$K$9,B405:K405)</f>
        <v/>
      </c>
      <c r="S405" s="5">
        <f>SUMPRODUCT(Exposures!$B$10:$K$10,B405:K405)</f>
        <v/>
      </c>
    </row>
    <row r="406">
      <c r="A406" s="1" t="n">
        <v>43045</v>
      </c>
      <c r="B406" s="5" t="n">
        <v>-0.001617187499406407</v>
      </c>
      <c r="C406" s="5" t="n">
        <v>-0.0005951949509846084</v>
      </c>
      <c r="D406" s="5" t="n">
        <v>-0.001045454968995368</v>
      </c>
      <c r="E406" s="5" t="n">
        <v>0.001194283007030163</v>
      </c>
      <c r="F406" s="5" t="n">
        <v>0.00232005411387752</v>
      </c>
      <c r="G406" s="5" t="n">
        <v>0.004339623806861769</v>
      </c>
      <c r="H406" s="5" t="n">
        <v>0.002075786911130438</v>
      </c>
      <c r="I406" s="5" t="n">
        <v>0.0008437748078391307</v>
      </c>
      <c r="J406" s="5" t="n">
        <v>0.001899225574886052</v>
      </c>
      <c r="K406" s="5" t="n">
        <v>-0.002622060269768353</v>
      </c>
      <c r="L406" s="5" t="n">
        <v>-0.002152559965664729</v>
      </c>
      <c r="M406" s="5">
        <f>SUMPRODUCT(Exposures!$B$6:$K$6,B406:K406)</f>
        <v/>
      </c>
      <c r="N406" s="5">
        <f>IF(AND($A406&gt;=DATE(2020,2,1),$A406&lt;=DATE(2020,5,31)),$M406,"")</f>
        <v/>
      </c>
      <c r="O406" s="5">
        <f>IF(AND($A406&gt;=DATE(2022,1,1),$A406&lt;=DATE(2022,10,31)),$M406,"")</f>
        <v/>
      </c>
      <c r="P406" s="5">
        <f>IF(AND($A406&gt;=DATE(2018,10,1),$A406&lt;=DATE(2018,12,31)),$M406,"")</f>
        <v/>
      </c>
      <c r="Q406" s="5">
        <f>SUMPRODUCT(Exposures!$B$8:$K$8,B406:K406)</f>
        <v/>
      </c>
      <c r="R406" s="5">
        <f>SUMPRODUCT(Exposures!$B$9:$K$9,B406:K406)</f>
        <v/>
      </c>
      <c r="S406" s="5">
        <f>SUMPRODUCT(Exposures!$B$10:$K$10,B406:K406)</f>
        <v/>
      </c>
    </row>
    <row r="407">
      <c r="A407" s="1" t="n">
        <v>43046</v>
      </c>
      <c r="B407" s="5" t="n">
        <v>-0.006737480938924083</v>
      </c>
      <c r="C407" s="5" t="n">
        <v>0.00215022409511259</v>
      </c>
      <c r="D407" s="5" t="n">
        <v>0.002661382962035697</v>
      </c>
      <c r="E407" s="5" t="n">
        <v>-0.002227674809430937</v>
      </c>
      <c r="F407" s="5" t="n">
        <v>-0.003262816863568401</v>
      </c>
      <c r="G407" s="5" t="n">
        <v>-0.00577029473850183</v>
      </c>
      <c r="H407" s="5" t="n">
        <v>0.005121945999873987</v>
      </c>
      <c r="I407" s="5" t="n">
        <v>0.0006124317388223088</v>
      </c>
      <c r="J407" s="5" t="n">
        <v>-0.001237076519742039</v>
      </c>
      <c r="K407" s="5" t="n">
        <v>0.004215645519214792</v>
      </c>
      <c r="L407" s="5" t="n">
        <v>-0.005200150977548727</v>
      </c>
      <c r="M407" s="5">
        <f>SUMPRODUCT(Exposures!$B$6:$K$6,B407:K407)</f>
        <v/>
      </c>
      <c r="N407" s="5">
        <f>IF(AND($A407&gt;=DATE(2020,2,1),$A407&lt;=DATE(2020,5,31)),$M407,"")</f>
        <v/>
      </c>
      <c r="O407" s="5">
        <f>IF(AND($A407&gt;=DATE(2022,1,1),$A407&lt;=DATE(2022,10,31)),$M407,"")</f>
        <v/>
      </c>
      <c r="P407" s="5">
        <f>IF(AND($A407&gt;=DATE(2018,10,1),$A407&lt;=DATE(2018,12,31)),$M407,"")</f>
        <v/>
      </c>
      <c r="Q407" s="5">
        <f>SUMPRODUCT(Exposures!$B$8:$K$8,B407:K407)</f>
        <v/>
      </c>
      <c r="R407" s="5">
        <f>SUMPRODUCT(Exposures!$B$9:$K$9,B407:K407)</f>
        <v/>
      </c>
      <c r="S407" s="5">
        <f>SUMPRODUCT(Exposures!$B$10:$K$10,B407:K407)</f>
        <v/>
      </c>
    </row>
    <row r="408">
      <c r="A408" s="1" t="n">
        <v>43047</v>
      </c>
      <c r="B408" s="5" t="n">
        <v>-0.002332272806807585</v>
      </c>
      <c r="C408" s="5" t="n">
        <v>-0.001952711170258209</v>
      </c>
      <c r="D408" s="5" t="n">
        <v>-0.003150425762458961</v>
      </c>
      <c r="E408" s="5" t="n">
        <v>-0.0006968767571429641</v>
      </c>
      <c r="F408" s="5" t="n">
        <v>0.009039330795869367</v>
      </c>
      <c r="G408" s="5" t="n">
        <v>0.002718700076657394</v>
      </c>
      <c r="H408" s="5" t="n">
        <v>0.001143324837451033</v>
      </c>
      <c r="I408" s="5" t="n">
        <v>0.004883892542825443</v>
      </c>
      <c r="J408" s="5" t="n">
        <v>-0.00349377651493193</v>
      </c>
      <c r="K408" s="5" t="n">
        <v>-0.01399986007523512</v>
      </c>
      <c r="L408" s="5" t="n">
        <v>-0.003727420109472997</v>
      </c>
      <c r="M408" s="5">
        <f>SUMPRODUCT(Exposures!$B$6:$K$6,B408:K408)</f>
        <v/>
      </c>
      <c r="N408" s="5">
        <f>IF(AND($A408&gt;=DATE(2020,2,1),$A408&lt;=DATE(2020,5,31)),$M408,"")</f>
        <v/>
      </c>
      <c r="O408" s="5">
        <f>IF(AND($A408&gt;=DATE(2022,1,1),$A408&lt;=DATE(2022,10,31)),$M408,"")</f>
        <v/>
      </c>
      <c r="P408" s="5">
        <f>IF(AND($A408&gt;=DATE(2018,10,1),$A408&lt;=DATE(2018,12,31)),$M408,"")</f>
        <v/>
      </c>
      <c r="Q408" s="5">
        <f>SUMPRODUCT(Exposures!$B$8:$K$8,B408:K408)</f>
        <v/>
      </c>
      <c r="R408" s="5">
        <f>SUMPRODUCT(Exposures!$B$9:$K$9,B408:K408)</f>
        <v/>
      </c>
      <c r="S408" s="5">
        <f>SUMPRODUCT(Exposures!$B$10:$K$10,B408:K408)</f>
        <v/>
      </c>
    </row>
    <row r="409">
      <c r="A409" s="1" t="n">
        <v>43048</v>
      </c>
      <c r="B409" s="5" t="n">
        <v>-0.0001696631779471466</v>
      </c>
      <c r="C409" s="5" t="n">
        <v>0.0009268924274726475</v>
      </c>
      <c r="D409" s="5" t="n">
        <v>-0.003343506252517926</v>
      </c>
      <c r="E409" s="5" t="n">
        <v>-0.001244286971664312</v>
      </c>
      <c r="F409" s="5" t="n">
        <v>-0.004690573814992061</v>
      </c>
      <c r="G409" s="5" t="n">
        <v>-0.003146530007860405</v>
      </c>
      <c r="H409" s="5" t="n">
        <v>-0.006339976612642587</v>
      </c>
      <c r="I409" s="5" t="n">
        <v>0.003082453712141667</v>
      </c>
      <c r="J409" s="5" t="n">
        <v>0.00507199959370785</v>
      </c>
      <c r="K409" s="5" t="n">
        <v>0.004231110951949371</v>
      </c>
      <c r="L409" s="5" t="n">
        <v>0.003058343024648999</v>
      </c>
      <c r="M409" s="5">
        <f>SUMPRODUCT(Exposures!$B$6:$K$6,B409:K409)</f>
        <v/>
      </c>
      <c r="N409" s="5">
        <f>IF(AND($A409&gt;=DATE(2020,2,1),$A409&lt;=DATE(2020,5,31)),$M409,"")</f>
        <v/>
      </c>
      <c r="O409" s="5">
        <f>IF(AND($A409&gt;=DATE(2022,1,1),$A409&lt;=DATE(2022,10,31)),$M409,"")</f>
        <v/>
      </c>
      <c r="P409" s="5">
        <f>IF(AND($A409&gt;=DATE(2018,10,1),$A409&lt;=DATE(2018,12,31)),$M409,"")</f>
        <v/>
      </c>
      <c r="Q409" s="5">
        <f>SUMPRODUCT(Exposures!$B$8:$K$8,B409:K409)</f>
        <v/>
      </c>
      <c r="R409" s="5">
        <f>SUMPRODUCT(Exposures!$B$9:$K$9,B409:K409)</f>
        <v/>
      </c>
      <c r="S409" s="5">
        <f>SUMPRODUCT(Exposures!$B$10:$K$10,B409:K409)</f>
        <v/>
      </c>
    </row>
    <row r="410">
      <c r="A410" s="1" t="n">
        <v>43049</v>
      </c>
      <c r="B410" s="5" t="n">
        <v>0.000134934938622803</v>
      </c>
      <c r="C410" s="5" t="n">
        <v>4.452948320174673e-06</v>
      </c>
      <c r="D410" s="5" t="n">
        <v>-0.001183071150648286</v>
      </c>
      <c r="E410" s="5" t="n">
        <v>0.0001060367567408255</v>
      </c>
      <c r="F410" s="5" t="n">
        <v>0.004468201442193081</v>
      </c>
      <c r="G410" s="5" t="n">
        <v>-0.001369509523939827</v>
      </c>
      <c r="H410" s="5" t="n">
        <v>-0.002029068787554875</v>
      </c>
      <c r="I410" s="5" t="n">
        <v>-7.019246552565383e-06</v>
      </c>
      <c r="J410" s="5" t="n">
        <v>0.000475294784442313</v>
      </c>
      <c r="K410" s="5" t="n">
        <v>-0.003231545872210377</v>
      </c>
      <c r="L410" s="5" t="n">
        <v>-0.000270235175944679</v>
      </c>
      <c r="M410" s="5">
        <f>SUMPRODUCT(Exposures!$B$6:$K$6,B410:K410)</f>
        <v/>
      </c>
      <c r="N410" s="5">
        <f>IF(AND($A410&gt;=DATE(2020,2,1),$A410&lt;=DATE(2020,5,31)),$M410,"")</f>
        <v/>
      </c>
      <c r="O410" s="5">
        <f>IF(AND($A410&gt;=DATE(2022,1,1),$A410&lt;=DATE(2022,10,31)),$M410,"")</f>
        <v/>
      </c>
      <c r="P410" s="5">
        <f>IF(AND($A410&gt;=DATE(2018,10,1),$A410&lt;=DATE(2018,12,31)),$M410,"")</f>
        <v/>
      </c>
      <c r="Q410" s="5">
        <f>SUMPRODUCT(Exposures!$B$8:$K$8,B410:K410)</f>
        <v/>
      </c>
      <c r="R410" s="5">
        <f>SUMPRODUCT(Exposures!$B$9:$K$9,B410:K410)</f>
        <v/>
      </c>
      <c r="S410" s="5">
        <f>SUMPRODUCT(Exposures!$B$10:$K$10,B410:K410)</f>
        <v/>
      </c>
    </row>
    <row r="411">
      <c r="A411" s="1" t="n">
        <v>43052</v>
      </c>
      <c r="B411" s="5" t="n">
        <v>-0.003234689124794239</v>
      </c>
      <c r="C411" s="5" t="n">
        <v>-0.002304048801095482</v>
      </c>
      <c r="D411" s="5" t="n">
        <v>0.001980340535562793</v>
      </c>
      <c r="E411" s="5" t="n">
        <v>0.001827809009860283</v>
      </c>
      <c r="F411" s="5" t="n">
        <v>0.004305191315274776</v>
      </c>
      <c r="G411" s="5" t="n">
        <v>0.002126431707296339</v>
      </c>
      <c r="H411" s="5" t="n">
        <v>0.0008699547388756134</v>
      </c>
      <c r="I411" s="5" t="n">
        <v>0.0007544167486956319</v>
      </c>
      <c r="J411" s="5" t="n">
        <v>-0.004849669526808984</v>
      </c>
      <c r="K411" s="5" t="n">
        <v>-0.006716064426694269</v>
      </c>
      <c r="L411" s="5" t="n">
        <v>-0.0006546597475212655</v>
      </c>
      <c r="M411" s="5">
        <f>SUMPRODUCT(Exposures!$B$6:$K$6,B411:K411)</f>
        <v/>
      </c>
      <c r="N411" s="5">
        <f>IF(AND($A411&gt;=DATE(2020,2,1),$A411&lt;=DATE(2020,5,31)),$M411,"")</f>
        <v/>
      </c>
      <c r="O411" s="5">
        <f>IF(AND($A411&gt;=DATE(2022,1,1),$A411&lt;=DATE(2022,10,31)),$M411,"")</f>
        <v/>
      </c>
      <c r="P411" s="5">
        <f>IF(AND($A411&gt;=DATE(2018,10,1),$A411&lt;=DATE(2018,12,31)),$M411,"")</f>
        <v/>
      </c>
      <c r="Q411" s="5">
        <f>SUMPRODUCT(Exposures!$B$8:$K$8,B411:K411)</f>
        <v/>
      </c>
      <c r="R411" s="5">
        <f>SUMPRODUCT(Exposures!$B$9:$K$9,B411:K411)</f>
        <v/>
      </c>
      <c r="S411" s="5">
        <f>SUMPRODUCT(Exposures!$B$10:$K$10,B411:K411)</f>
        <v/>
      </c>
    </row>
    <row r="412">
      <c r="A412" s="1" t="n">
        <v>43053</v>
      </c>
      <c r="B412" s="5" t="n">
        <v>-0.002394742112673347</v>
      </c>
      <c r="C412" s="5" t="n">
        <v>0.001489647973148073</v>
      </c>
      <c r="D412" s="5" t="n">
        <v>-0.000940046496548365</v>
      </c>
      <c r="E412" s="5" t="n">
        <v>0.001173774286115483</v>
      </c>
      <c r="F412" s="5" t="n">
        <v>0.006600403674826081</v>
      </c>
      <c r="G412" s="5" t="n">
        <v>-0.001279488270900366</v>
      </c>
      <c r="H412" s="5" t="n">
        <v>-0.003385787777371814</v>
      </c>
      <c r="I412" s="5" t="n">
        <v>-0.001480158451123711</v>
      </c>
      <c r="J412" s="5" t="n">
        <v>-0.003182458370066941</v>
      </c>
      <c r="K412" s="5" t="n">
        <v>-0.008112418840276504</v>
      </c>
      <c r="L412" s="5" t="n">
        <v>-0.001445117027876068</v>
      </c>
      <c r="M412" s="5">
        <f>SUMPRODUCT(Exposures!$B$6:$K$6,B412:K412)</f>
        <v/>
      </c>
      <c r="N412" s="5">
        <f>IF(AND($A412&gt;=DATE(2020,2,1),$A412&lt;=DATE(2020,5,31)),$M412,"")</f>
        <v/>
      </c>
      <c r="O412" s="5">
        <f>IF(AND($A412&gt;=DATE(2022,1,1),$A412&lt;=DATE(2022,10,31)),$M412,"")</f>
        <v/>
      </c>
      <c r="P412" s="5">
        <f>IF(AND($A412&gt;=DATE(2018,10,1),$A412&lt;=DATE(2018,12,31)),$M412,"")</f>
        <v/>
      </c>
      <c r="Q412" s="5">
        <f>SUMPRODUCT(Exposures!$B$8:$K$8,B412:K412)</f>
        <v/>
      </c>
      <c r="R412" s="5">
        <f>SUMPRODUCT(Exposures!$B$9:$K$9,B412:K412)</f>
        <v/>
      </c>
      <c r="S412" s="5">
        <f>SUMPRODUCT(Exposures!$B$10:$K$10,B412:K412)</f>
        <v/>
      </c>
    </row>
    <row r="413">
      <c r="A413" s="1" t="n">
        <v>43054</v>
      </c>
      <c r="B413" s="5" t="n">
        <v>0.001284381402892889</v>
      </c>
      <c r="C413" s="5" t="n">
        <v>-0.0004774078951915787</v>
      </c>
      <c r="D413" s="5" t="n">
        <v>0.0006490548861760189</v>
      </c>
      <c r="E413" s="5" t="n">
        <v>0.002674946941997016</v>
      </c>
      <c r="F413" s="5" t="n">
        <v>-0.003069566248310837</v>
      </c>
      <c r="G413" s="5" t="n">
        <v>-0.002243568501235161</v>
      </c>
      <c r="H413" s="5" t="n">
        <v>-0.001287902100165612</v>
      </c>
      <c r="I413" s="5" t="n">
        <v>0.0001328438595152047</v>
      </c>
      <c r="J413" s="5" t="n">
        <v>0.003128262380116493</v>
      </c>
      <c r="K413" s="5" t="n">
        <v>0.003775009668324953</v>
      </c>
      <c r="L413" s="5" t="n">
        <v>0.002356792053405632</v>
      </c>
      <c r="M413" s="5">
        <f>SUMPRODUCT(Exposures!$B$6:$K$6,B413:K413)</f>
        <v/>
      </c>
      <c r="N413" s="5">
        <f>IF(AND($A413&gt;=DATE(2020,2,1),$A413&lt;=DATE(2020,5,31)),$M413,"")</f>
        <v/>
      </c>
      <c r="O413" s="5">
        <f>IF(AND($A413&gt;=DATE(2022,1,1),$A413&lt;=DATE(2022,10,31)),$M413,"")</f>
        <v/>
      </c>
      <c r="P413" s="5">
        <f>IF(AND($A413&gt;=DATE(2018,10,1),$A413&lt;=DATE(2018,12,31)),$M413,"")</f>
        <v/>
      </c>
      <c r="Q413" s="5">
        <f>SUMPRODUCT(Exposures!$B$8:$K$8,B413:K413)</f>
        <v/>
      </c>
      <c r="R413" s="5">
        <f>SUMPRODUCT(Exposures!$B$9:$K$9,B413:K413)</f>
        <v/>
      </c>
      <c r="S413" s="5">
        <f>SUMPRODUCT(Exposures!$B$10:$K$10,B413:K413)</f>
        <v/>
      </c>
    </row>
    <row r="414">
      <c r="A414" s="1" t="n">
        <v>43055</v>
      </c>
      <c r="B414" s="5" t="n">
        <v>0.004212877660295773</v>
      </c>
      <c r="C414" s="5" t="n">
        <v>0.001221456593568691</v>
      </c>
      <c r="D414" s="5" t="n">
        <v>0.00124237184511368</v>
      </c>
      <c r="E414" s="5" t="n">
        <v>-0.00387817840437968</v>
      </c>
      <c r="F414" s="5" t="n">
        <v>-0.0008917914638648613</v>
      </c>
      <c r="G414" s="5" t="n">
        <v>0.01117939595772465</v>
      </c>
      <c r="H414" s="5" t="n">
        <v>0.0003036089440146111</v>
      </c>
      <c r="I414" s="5" t="n">
        <v>0.001869168625744481</v>
      </c>
      <c r="J414" s="5" t="n">
        <v>-0.0008928109872578941</v>
      </c>
      <c r="K414" s="5" t="n">
        <v>-0.001891925567927508</v>
      </c>
      <c r="L414" s="5" t="n">
        <v>-0.003705318781341956</v>
      </c>
      <c r="M414" s="5">
        <f>SUMPRODUCT(Exposures!$B$6:$K$6,B414:K414)</f>
        <v/>
      </c>
      <c r="N414" s="5">
        <f>IF(AND($A414&gt;=DATE(2020,2,1),$A414&lt;=DATE(2020,5,31)),$M414,"")</f>
        <v/>
      </c>
      <c r="O414" s="5">
        <f>IF(AND($A414&gt;=DATE(2022,1,1),$A414&lt;=DATE(2022,10,31)),$M414,"")</f>
        <v/>
      </c>
      <c r="P414" s="5">
        <f>IF(AND($A414&gt;=DATE(2018,10,1),$A414&lt;=DATE(2018,12,31)),$M414,"")</f>
        <v/>
      </c>
      <c r="Q414" s="5">
        <f>SUMPRODUCT(Exposures!$B$8:$K$8,B414:K414)</f>
        <v/>
      </c>
      <c r="R414" s="5">
        <f>SUMPRODUCT(Exposures!$B$9:$K$9,B414:K414)</f>
        <v/>
      </c>
      <c r="S414" s="5">
        <f>SUMPRODUCT(Exposures!$B$10:$K$10,B414:K414)</f>
        <v/>
      </c>
    </row>
    <row r="415">
      <c r="A415" s="1" t="n">
        <v>43056</v>
      </c>
      <c r="B415" s="5" t="n">
        <v>-0.0004138928913029151</v>
      </c>
      <c r="C415" s="5" t="n">
        <v>-0.003590454195960358</v>
      </c>
      <c r="D415" s="5" t="n">
        <v>0.003306788259425408</v>
      </c>
      <c r="E415" s="5" t="n">
        <v>-7.11371043502482e-05</v>
      </c>
      <c r="F415" s="5" t="n">
        <v>0.003780184885740162</v>
      </c>
      <c r="G415" s="5" t="n">
        <v>0.00247405634309413</v>
      </c>
      <c r="H415" s="5" t="n">
        <v>-0.001132364380827868</v>
      </c>
      <c r="I415" s="5" t="n">
        <v>0.001796966125074252</v>
      </c>
      <c r="J415" s="5" t="n">
        <v>0.004594568089482353</v>
      </c>
      <c r="K415" s="5" t="n">
        <v>-0.005547205321397694</v>
      </c>
      <c r="L415" s="5" t="n">
        <v>0.003733649479412478</v>
      </c>
      <c r="M415" s="5">
        <f>SUMPRODUCT(Exposures!$B$6:$K$6,B415:K415)</f>
        <v/>
      </c>
      <c r="N415" s="5">
        <f>IF(AND($A415&gt;=DATE(2020,2,1),$A415&lt;=DATE(2020,5,31)),$M415,"")</f>
        <v/>
      </c>
      <c r="O415" s="5">
        <f>IF(AND($A415&gt;=DATE(2022,1,1),$A415&lt;=DATE(2022,10,31)),$M415,"")</f>
        <v/>
      </c>
      <c r="P415" s="5">
        <f>IF(AND($A415&gt;=DATE(2018,10,1),$A415&lt;=DATE(2018,12,31)),$M415,"")</f>
        <v/>
      </c>
      <c r="Q415" s="5">
        <f>SUMPRODUCT(Exposures!$B$8:$K$8,B415:K415)</f>
        <v/>
      </c>
      <c r="R415" s="5">
        <f>SUMPRODUCT(Exposures!$B$9:$K$9,B415:K415)</f>
        <v/>
      </c>
      <c r="S415" s="5">
        <f>SUMPRODUCT(Exposures!$B$10:$K$10,B415:K415)</f>
        <v/>
      </c>
    </row>
    <row r="416">
      <c r="A416" s="1" t="n">
        <v>43059</v>
      </c>
      <c r="B416" s="5" t="n">
        <v>0.002358074582865087</v>
      </c>
      <c r="C416" s="5" t="n">
        <v>-0.002550627916207737</v>
      </c>
      <c r="D416" s="5" t="n">
        <v>0.003879330261624001</v>
      </c>
      <c r="E416" s="5" t="n">
        <v>0.0005203905739240116</v>
      </c>
      <c r="F416" s="5" t="n">
        <v>-0.00315703498930765</v>
      </c>
      <c r="G416" s="5" t="n">
        <v>0.003890011891178419</v>
      </c>
      <c r="H416" s="5" t="n">
        <v>0.0002951752142719268</v>
      </c>
      <c r="I416" s="5" t="n">
        <v>0.000808388107729921</v>
      </c>
      <c r="J416" s="5" t="n">
        <v>-0.002547463146686144</v>
      </c>
      <c r="K416" s="5" t="n">
        <v>0.0001734170922642838</v>
      </c>
      <c r="L416" s="5" t="n">
        <v>0.001077781749232969</v>
      </c>
      <c r="M416" s="5">
        <f>SUMPRODUCT(Exposures!$B$6:$K$6,B416:K416)</f>
        <v/>
      </c>
      <c r="N416" s="5">
        <f>IF(AND($A416&gt;=DATE(2020,2,1),$A416&lt;=DATE(2020,5,31)),$M416,"")</f>
        <v/>
      </c>
      <c r="O416" s="5">
        <f>IF(AND($A416&gt;=DATE(2022,1,1),$A416&lt;=DATE(2022,10,31)),$M416,"")</f>
        <v/>
      </c>
      <c r="P416" s="5">
        <f>IF(AND($A416&gt;=DATE(2018,10,1),$A416&lt;=DATE(2018,12,31)),$M416,"")</f>
        <v/>
      </c>
      <c r="Q416" s="5">
        <f>SUMPRODUCT(Exposures!$B$8:$K$8,B416:K416)</f>
        <v/>
      </c>
      <c r="R416" s="5">
        <f>SUMPRODUCT(Exposures!$B$9:$K$9,B416:K416)</f>
        <v/>
      </c>
      <c r="S416" s="5">
        <f>SUMPRODUCT(Exposures!$B$10:$K$10,B416:K416)</f>
        <v/>
      </c>
    </row>
    <row r="417">
      <c r="A417" s="1" t="n">
        <v>43060</v>
      </c>
      <c r="B417" s="5" t="n">
        <v>0.001142599044050373</v>
      </c>
      <c r="C417" s="5" t="n">
        <v>6.847055408325045e-05</v>
      </c>
      <c r="D417" s="5" t="n">
        <v>0.002098355736505699</v>
      </c>
      <c r="E417" s="5" t="n">
        <v>-0.002227373600416232</v>
      </c>
      <c r="F417" s="5" t="n">
        <v>0.0003843571642857836</v>
      </c>
      <c r="G417" s="5" t="n">
        <v>0.004731427342024088</v>
      </c>
      <c r="H417" s="5" t="n">
        <v>0.0036302512321816</v>
      </c>
      <c r="I417" s="5" t="n">
        <v>0.001867450414605971</v>
      </c>
      <c r="J417" s="5" t="n">
        <v>-0.0007937759517454058</v>
      </c>
      <c r="K417" s="5" t="n">
        <v>-0.001384522150347043</v>
      </c>
      <c r="L417" s="5" t="n">
        <v>0.0004523999124389145</v>
      </c>
      <c r="M417" s="5">
        <f>SUMPRODUCT(Exposures!$B$6:$K$6,B417:K417)</f>
        <v/>
      </c>
      <c r="N417" s="5">
        <f>IF(AND($A417&gt;=DATE(2020,2,1),$A417&lt;=DATE(2020,5,31)),$M417,"")</f>
        <v/>
      </c>
      <c r="O417" s="5">
        <f>IF(AND($A417&gt;=DATE(2022,1,1),$A417&lt;=DATE(2022,10,31)),$M417,"")</f>
        <v/>
      </c>
      <c r="P417" s="5">
        <f>IF(AND($A417&gt;=DATE(2018,10,1),$A417&lt;=DATE(2018,12,31)),$M417,"")</f>
        <v/>
      </c>
      <c r="Q417" s="5">
        <f>SUMPRODUCT(Exposures!$B$8:$K$8,B417:K417)</f>
        <v/>
      </c>
      <c r="R417" s="5">
        <f>SUMPRODUCT(Exposures!$B$9:$K$9,B417:K417)</f>
        <v/>
      </c>
      <c r="S417" s="5">
        <f>SUMPRODUCT(Exposures!$B$10:$K$10,B417:K417)</f>
        <v/>
      </c>
    </row>
    <row r="418">
      <c r="A418" s="1" t="n">
        <v>43061</v>
      </c>
      <c r="B418" s="5" t="n">
        <v>-0.001346117284964594</v>
      </c>
      <c r="C418" s="5" t="n">
        <v>0.00159740878122091</v>
      </c>
      <c r="D418" s="5" t="n">
        <v>-0.002127274721693387</v>
      </c>
      <c r="E418" s="5" t="n">
        <v>-0.0005124702511102656</v>
      </c>
      <c r="F418" s="5" t="n">
        <v>0.0009418978443204543</v>
      </c>
      <c r="G418" s="5" t="n">
        <v>0.0008629462967580029</v>
      </c>
      <c r="H418" s="5" t="n">
        <v>-0.0008238704955484379</v>
      </c>
      <c r="I418" s="5" t="n">
        <v>-0.00114462380912725</v>
      </c>
      <c r="J418" s="5" t="n">
        <v>0.004947658149596692</v>
      </c>
      <c r="K418" s="5" t="n">
        <v>-0.0005778933085893215</v>
      </c>
      <c r="L418" s="5" t="n">
        <v>0.001994548244461871</v>
      </c>
      <c r="M418" s="5">
        <f>SUMPRODUCT(Exposures!$B$6:$K$6,B418:K418)</f>
        <v/>
      </c>
      <c r="N418" s="5">
        <f>IF(AND($A418&gt;=DATE(2020,2,1),$A418&lt;=DATE(2020,5,31)),$M418,"")</f>
        <v/>
      </c>
      <c r="O418" s="5">
        <f>IF(AND($A418&gt;=DATE(2022,1,1),$A418&lt;=DATE(2022,10,31)),$M418,"")</f>
        <v/>
      </c>
      <c r="P418" s="5">
        <f>IF(AND($A418&gt;=DATE(2018,10,1),$A418&lt;=DATE(2018,12,31)),$M418,"")</f>
        <v/>
      </c>
      <c r="Q418" s="5">
        <f>SUMPRODUCT(Exposures!$B$8:$K$8,B418:K418)</f>
        <v/>
      </c>
      <c r="R418" s="5">
        <f>SUMPRODUCT(Exposures!$B$9:$K$9,B418:K418)</f>
        <v/>
      </c>
      <c r="S418" s="5">
        <f>SUMPRODUCT(Exposures!$B$10:$K$10,B418:K418)</f>
        <v/>
      </c>
    </row>
    <row r="419">
      <c r="A419" s="1" t="n">
        <v>43063</v>
      </c>
      <c r="B419" s="5" t="n">
        <v>0.001099051683349959</v>
      </c>
      <c r="C419" s="5" t="n">
        <v>-0.0009316781812697797</v>
      </c>
      <c r="D419" s="5" t="n">
        <v>0.001002521898234245</v>
      </c>
      <c r="E419" s="5" t="n">
        <v>-0.001366768355303156</v>
      </c>
      <c r="F419" s="5" t="n">
        <v>0.002862134375753812</v>
      </c>
      <c r="G419" s="5" t="n">
        <v>0.001142750075788951</v>
      </c>
      <c r="H419" s="5" t="n">
        <v>0.001596623838770599</v>
      </c>
      <c r="I419" s="5" t="n">
        <v>0.001027228267811941</v>
      </c>
      <c r="J419" s="5" t="n">
        <v>-0.003205290200634842</v>
      </c>
      <c r="K419" s="5" t="n">
        <v>-0.004134553023535284</v>
      </c>
      <c r="L419" s="5" t="n">
        <v>-0.001617314953795487</v>
      </c>
      <c r="M419" s="5">
        <f>SUMPRODUCT(Exposures!$B$6:$K$6,B419:K419)</f>
        <v/>
      </c>
      <c r="N419" s="5">
        <f>IF(AND($A419&gt;=DATE(2020,2,1),$A419&lt;=DATE(2020,5,31)),$M419,"")</f>
        <v/>
      </c>
      <c r="O419" s="5">
        <f>IF(AND($A419&gt;=DATE(2022,1,1),$A419&lt;=DATE(2022,10,31)),$M419,"")</f>
        <v/>
      </c>
      <c r="P419" s="5">
        <f>IF(AND($A419&gt;=DATE(2018,10,1),$A419&lt;=DATE(2018,12,31)),$M419,"")</f>
        <v/>
      </c>
      <c r="Q419" s="5">
        <f>SUMPRODUCT(Exposures!$B$8:$K$8,B419:K419)</f>
        <v/>
      </c>
      <c r="R419" s="5">
        <f>SUMPRODUCT(Exposures!$B$9:$K$9,B419:K419)</f>
        <v/>
      </c>
      <c r="S419" s="5">
        <f>SUMPRODUCT(Exposures!$B$10:$K$10,B419:K419)</f>
        <v/>
      </c>
    </row>
    <row r="420">
      <c r="A420" s="1" t="n">
        <v>43066</v>
      </c>
      <c r="B420" s="5" t="n">
        <v>0.0004261627807731115</v>
      </c>
      <c r="C420" s="5" t="n">
        <v>0.001278622723163855</v>
      </c>
      <c r="D420" s="5" t="n">
        <v>-0.002434963609870775</v>
      </c>
      <c r="E420" s="5" t="n">
        <v>0.0006244397791557211</v>
      </c>
      <c r="F420" s="5" t="n">
        <v>0.003591663508778833</v>
      </c>
      <c r="G420" s="5" t="n">
        <v>-0.001927684596652737</v>
      </c>
      <c r="H420" s="5" t="n">
        <v>-0.002166182783656543</v>
      </c>
      <c r="I420" s="5" t="n">
        <v>-0.002207489358541239</v>
      </c>
      <c r="J420" s="5" t="n">
        <v>-0.003081697717782347</v>
      </c>
      <c r="K420" s="5" t="n">
        <v>-0.002707440082370039</v>
      </c>
      <c r="L420" s="5" t="n">
        <v>-0.001398805079915171</v>
      </c>
      <c r="M420" s="5">
        <f>SUMPRODUCT(Exposures!$B$6:$K$6,B420:K420)</f>
        <v/>
      </c>
      <c r="N420" s="5">
        <f>IF(AND($A420&gt;=DATE(2020,2,1),$A420&lt;=DATE(2020,5,31)),$M420,"")</f>
        <v/>
      </c>
      <c r="O420" s="5">
        <f>IF(AND($A420&gt;=DATE(2022,1,1),$A420&lt;=DATE(2022,10,31)),$M420,"")</f>
        <v/>
      </c>
      <c r="P420" s="5">
        <f>IF(AND($A420&gt;=DATE(2018,10,1),$A420&lt;=DATE(2018,12,31)),$M420,"")</f>
        <v/>
      </c>
      <c r="Q420" s="5">
        <f>SUMPRODUCT(Exposures!$B$8:$K$8,B420:K420)</f>
        <v/>
      </c>
      <c r="R420" s="5">
        <f>SUMPRODUCT(Exposures!$B$9:$K$9,B420:K420)</f>
        <v/>
      </c>
      <c r="S420" s="5">
        <f>SUMPRODUCT(Exposures!$B$10:$K$10,B420:K420)</f>
        <v/>
      </c>
    </row>
    <row r="421">
      <c r="A421" s="1" t="n">
        <v>43067</v>
      </c>
      <c r="B421" s="5" t="n">
        <v>0.003781619230864024</v>
      </c>
      <c r="C421" s="5" t="n">
        <v>0.002885762528505701</v>
      </c>
      <c r="D421" s="5" t="n">
        <v>-0.003151278078016756</v>
      </c>
      <c r="E421" s="5" t="n">
        <v>0.002606682071467536</v>
      </c>
      <c r="F421" s="5" t="n">
        <v>-0.002777292073755962</v>
      </c>
      <c r="G421" s="5" t="n">
        <v>0.01155707034523372</v>
      </c>
      <c r="H421" s="5" t="n">
        <v>-0.003495417120955938</v>
      </c>
      <c r="I421" s="5" t="n">
        <v>0.001538424041695675</v>
      </c>
      <c r="J421" s="5" t="n">
        <v>0.000812753159271705</v>
      </c>
      <c r="K421" s="5" t="n">
        <v>0.0006179407294520734</v>
      </c>
      <c r="L421" s="5" t="n">
        <v>0.001412949163139166</v>
      </c>
      <c r="M421" s="5">
        <f>SUMPRODUCT(Exposures!$B$6:$K$6,B421:K421)</f>
        <v/>
      </c>
      <c r="N421" s="5">
        <f>IF(AND($A421&gt;=DATE(2020,2,1),$A421&lt;=DATE(2020,5,31)),$M421,"")</f>
        <v/>
      </c>
      <c r="O421" s="5">
        <f>IF(AND($A421&gt;=DATE(2022,1,1),$A421&lt;=DATE(2022,10,31)),$M421,"")</f>
        <v/>
      </c>
      <c r="P421" s="5">
        <f>IF(AND($A421&gt;=DATE(2018,10,1),$A421&lt;=DATE(2018,12,31)),$M421,"")</f>
        <v/>
      </c>
      <c r="Q421" s="5">
        <f>SUMPRODUCT(Exposures!$B$8:$K$8,B421:K421)</f>
        <v/>
      </c>
      <c r="R421" s="5">
        <f>SUMPRODUCT(Exposures!$B$9:$K$9,B421:K421)</f>
        <v/>
      </c>
      <c r="S421" s="5">
        <f>SUMPRODUCT(Exposures!$B$10:$K$10,B421:K421)</f>
        <v/>
      </c>
    </row>
    <row r="422">
      <c r="A422" s="1" t="n">
        <v>43068</v>
      </c>
      <c r="B422" s="5" t="n">
        <v>-0.00516938821908893</v>
      </c>
      <c r="C422" s="5" t="n">
        <v>0.003389625342345042</v>
      </c>
      <c r="D422" s="5" t="n">
        <v>-0.00851043673153045</v>
      </c>
      <c r="E422" s="5" t="n">
        <v>0.006207254990859489</v>
      </c>
      <c r="F422" s="5" t="n">
        <v>-0.001286761245648675</v>
      </c>
      <c r="G422" s="5" t="n">
        <v>0.002180262731125435</v>
      </c>
      <c r="H422" s="5" t="n">
        <v>-0.007960498500230374</v>
      </c>
      <c r="I422" s="5" t="n">
        <v>-0.001907325918493788</v>
      </c>
      <c r="J422" s="5" t="n">
        <v>0.004524454775049504</v>
      </c>
      <c r="K422" s="5" t="n">
        <v>-0.000221970071310137</v>
      </c>
      <c r="L422" s="5" t="n">
        <v>0.005505159654369591</v>
      </c>
      <c r="M422" s="5">
        <f>SUMPRODUCT(Exposures!$B$6:$K$6,B422:K422)</f>
        <v/>
      </c>
      <c r="N422" s="5">
        <f>IF(AND($A422&gt;=DATE(2020,2,1),$A422&lt;=DATE(2020,5,31)),$M422,"")</f>
        <v/>
      </c>
      <c r="O422" s="5">
        <f>IF(AND($A422&gt;=DATE(2022,1,1),$A422&lt;=DATE(2022,10,31)),$M422,"")</f>
        <v/>
      </c>
      <c r="P422" s="5">
        <f>IF(AND($A422&gt;=DATE(2018,10,1),$A422&lt;=DATE(2018,12,31)),$M422,"")</f>
        <v/>
      </c>
      <c r="Q422" s="5">
        <f>SUMPRODUCT(Exposures!$B$8:$K$8,B422:K422)</f>
        <v/>
      </c>
      <c r="R422" s="5">
        <f>SUMPRODUCT(Exposures!$B$9:$K$9,B422:K422)</f>
        <v/>
      </c>
      <c r="S422" s="5">
        <f>SUMPRODUCT(Exposures!$B$10:$K$10,B422:K422)</f>
        <v/>
      </c>
    </row>
    <row r="423">
      <c r="A423" s="1" t="n">
        <v>43069</v>
      </c>
      <c r="B423" s="5" t="n">
        <v>0.0008115262791164528</v>
      </c>
      <c r="C423" s="5" t="n">
        <v>0.0001875376096738984</v>
      </c>
      <c r="D423" s="5" t="n">
        <v>-0.004019309330735426</v>
      </c>
      <c r="E423" s="5" t="n">
        <v>-0.001249999159605623</v>
      </c>
      <c r="F423" s="5" t="n">
        <v>0.00482340377298842</v>
      </c>
      <c r="G423" s="5" t="n">
        <v>0.005476078148058785</v>
      </c>
      <c r="H423" s="5" t="n">
        <v>0.002772787455483271</v>
      </c>
      <c r="I423" s="5" t="n">
        <v>0.0004794152969307765</v>
      </c>
      <c r="J423" s="5" t="n">
        <v>-0.001817565386570063</v>
      </c>
      <c r="K423" s="5" t="n">
        <v>-0.003668323597952053</v>
      </c>
      <c r="L423" s="5" t="n">
        <v>-0.003088013882547683</v>
      </c>
      <c r="M423" s="5">
        <f>SUMPRODUCT(Exposures!$B$6:$K$6,B423:K423)</f>
        <v/>
      </c>
      <c r="N423" s="5">
        <f>IF(AND($A423&gt;=DATE(2020,2,1),$A423&lt;=DATE(2020,5,31)),$M423,"")</f>
        <v/>
      </c>
      <c r="O423" s="5">
        <f>IF(AND($A423&gt;=DATE(2022,1,1),$A423&lt;=DATE(2022,10,31)),$M423,"")</f>
        <v/>
      </c>
      <c r="P423" s="5">
        <f>IF(AND($A423&gt;=DATE(2018,10,1),$A423&lt;=DATE(2018,12,31)),$M423,"")</f>
        <v/>
      </c>
      <c r="Q423" s="5">
        <f>SUMPRODUCT(Exposures!$B$8:$K$8,B423:K423)</f>
        <v/>
      </c>
      <c r="R423" s="5">
        <f>SUMPRODUCT(Exposures!$B$9:$K$9,B423:K423)</f>
        <v/>
      </c>
      <c r="S423" s="5">
        <f>SUMPRODUCT(Exposures!$B$10:$K$10,B423:K423)</f>
        <v/>
      </c>
    </row>
    <row r="424">
      <c r="A424" s="1" t="n">
        <v>43070</v>
      </c>
      <c r="B424" s="5" t="n">
        <v>-0.004566243269145137</v>
      </c>
      <c r="C424" s="5" t="n">
        <v>-0.0005999970359451551</v>
      </c>
      <c r="D424" s="5" t="n">
        <v>-0.003860468863032724</v>
      </c>
      <c r="E424" s="5" t="n">
        <v>7.763222606379745e-05</v>
      </c>
      <c r="F424" s="5" t="n">
        <v>-0.01367700081476837</v>
      </c>
      <c r="G424" s="5" t="n">
        <v>-0.00210516049404645</v>
      </c>
      <c r="H424" s="5" t="n">
        <v>-0.0005558373792590883</v>
      </c>
      <c r="I424" s="5" t="n">
        <v>-0.001403250542241449</v>
      </c>
      <c r="J424" s="5" t="n">
        <v>0.008536367734238959</v>
      </c>
      <c r="K424" s="5" t="n">
        <v>0.01554090861309377</v>
      </c>
      <c r="L424" s="5" t="n">
        <v>0.005564723650774372</v>
      </c>
      <c r="M424" s="5">
        <f>SUMPRODUCT(Exposures!$B$6:$K$6,B424:K424)</f>
        <v/>
      </c>
      <c r="N424" s="5">
        <f>IF(AND($A424&gt;=DATE(2020,2,1),$A424&lt;=DATE(2020,5,31)),$M424,"")</f>
        <v/>
      </c>
      <c r="O424" s="5">
        <f>IF(AND($A424&gt;=DATE(2022,1,1),$A424&lt;=DATE(2022,10,31)),$M424,"")</f>
        <v/>
      </c>
      <c r="P424" s="5">
        <f>IF(AND($A424&gt;=DATE(2018,10,1),$A424&lt;=DATE(2018,12,31)),$M424,"")</f>
        <v/>
      </c>
      <c r="Q424" s="5">
        <f>SUMPRODUCT(Exposures!$B$8:$K$8,B424:K424)</f>
        <v/>
      </c>
      <c r="R424" s="5">
        <f>SUMPRODUCT(Exposures!$B$9:$K$9,B424:K424)</f>
        <v/>
      </c>
      <c r="S424" s="5">
        <f>SUMPRODUCT(Exposures!$B$10:$K$10,B424:K424)</f>
        <v/>
      </c>
    </row>
    <row r="425">
      <c r="A425" s="1" t="n">
        <v>43073</v>
      </c>
      <c r="B425" s="5" t="n">
        <v>-0.0001829577119114179</v>
      </c>
      <c r="C425" s="5" t="n">
        <v>0.005072257937564453</v>
      </c>
      <c r="D425" s="5" t="n">
        <v>-0.0008694167324175562</v>
      </c>
      <c r="E425" s="5" t="n">
        <v>0.005649213448083961</v>
      </c>
      <c r="F425" s="5" t="n">
        <v>-0.003935316089076815</v>
      </c>
      <c r="G425" s="5" t="n">
        <v>-0.0003851077606535282</v>
      </c>
      <c r="H425" s="5" t="n">
        <v>-0.01423191090364054</v>
      </c>
      <c r="I425" s="5" t="n">
        <v>-0.001307782803746246</v>
      </c>
      <c r="J425" s="5" t="n">
        <v>-0.001199862915358435</v>
      </c>
      <c r="K425" s="5" t="n">
        <v>0.002640772085092159</v>
      </c>
      <c r="L425" s="5" t="n">
        <v>-0.000336538468735819</v>
      </c>
      <c r="M425" s="5">
        <f>SUMPRODUCT(Exposures!$B$6:$K$6,B425:K425)</f>
        <v/>
      </c>
      <c r="N425" s="5">
        <f>IF(AND($A425&gt;=DATE(2020,2,1),$A425&lt;=DATE(2020,5,31)),$M425,"")</f>
        <v/>
      </c>
      <c r="O425" s="5">
        <f>IF(AND($A425&gt;=DATE(2022,1,1),$A425&lt;=DATE(2022,10,31)),$M425,"")</f>
        <v/>
      </c>
      <c r="P425" s="5">
        <f>IF(AND($A425&gt;=DATE(2018,10,1),$A425&lt;=DATE(2018,12,31)),$M425,"")</f>
        <v/>
      </c>
      <c r="Q425" s="5">
        <f>SUMPRODUCT(Exposures!$B$8:$K$8,B425:K425)</f>
        <v/>
      </c>
      <c r="R425" s="5">
        <f>SUMPRODUCT(Exposures!$B$9:$K$9,B425:K425)</f>
        <v/>
      </c>
      <c r="S425" s="5">
        <f>SUMPRODUCT(Exposures!$B$10:$K$10,B425:K425)</f>
        <v/>
      </c>
    </row>
    <row r="426">
      <c r="A426" s="1" t="n">
        <v>43074</v>
      </c>
      <c r="B426" s="5" t="n">
        <v>-0.0006810806173123908</v>
      </c>
      <c r="C426" s="5" t="n">
        <v>0.0005922087031871667</v>
      </c>
      <c r="D426" s="5" t="n">
        <v>0.0006211606684921914</v>
      </c>
      <c r="E426" s="5" t="n">
        <v>7.293690583859854e-05</v>
      </c>
      <c r="F426" s="5" t="n">
        <v>0.003943573222705925</v>
      </c>
      <c r="G426" s="5" t="n">
        <v>-0.004896565956242735</v>
      </c>
      <c r="H426" s="5" t="n">
        <v>0.003077072309873333</v>
      </c>
      <c r="I426" s="5" t="n">
        <v>0.001526432847046842</v>
      </c>
      <c r="J426" s="5" t="n">
        <v>-0.002703722387328825</v>
      </c>
      <c r="K426" s="5" t="n">
        <v>-0.005626003224520299</v>
      </c>
      <c r="L426" s="5" t="n">
        <v>-0.001303028723955866</v>
      </c>
      <c r="M426" s="5">
        <f>SUMPRODUCT(Exposures!$B$6:$K$6,B426:K426)</f>
        <v/>
      </c>
      <c r="N426" s="5">
        <f>IF(AND($A426&gt;=DATE(2020,2,1),$A426&lt;=DATE(2020,5,31)),$M426,"")</f>
        <v/>
      </c>
      <c r="O426" s="5">
        <f>IF(AND($A426&gt;=DATE(2022,1,1),$A426&lt;=DATE(2022,10,31)),$M426,"")</f>
        <v/>
      </c>
      <c r="P426" s="5">
        <f>IF(AND($A426&gt;=DATE(2018,10,1),$A426&lt;=DATE(2018,12,31)),$M426,"")</f>
        <v/>
      </c>
      <c r="Q426" s="5">
        <f>SUMPRODUCT(Exposures!$B$8:$K$8,B426:K426)</f>
        <v/>
      </c>
      <c r="R426" s="5">
        <f>SUMPRODUCT(Exposures!$B$9:$K$9,B426:K426)</f>
        <v/>
      </c>
      <c r="S426" s="5">
        <f>SUMPRODUCT(Exposures!$B$10:$K$10,B426:K426)</f>
        <v/>
      </c>
    </row>
    <row r="427">
      <c r="A427" s="1" t="n">
        <v>43075</v>
      </c>
      <c r="B427" s="5" t="n">
        <v>-0.002248998362967441</v>
      </c>
      <c r="C427" s="5" t="n">
        <v>0.0009157934238533239</v>
      </c>
      <c r="D427" s="5" t="n">
        <v>0.002013949472204771</v>
      </c>
      <c r="E427" s="5" t="n">
        <v>-0.002123658987909876</v>
      </c>
      <c r="F427" s="5" t="n">
        <v>-0.001293411682972743</v>
      </c>
      <c r="G427" s="5" t="n">
        <v>-0.002687452354089091</v>
      </c>
      <c r="H427" s="5" t="n">
        <v>0.004102631051000862</v>
      </c>
      <c r="I427" s="5" t="n">
        <v>0.0001358611389281876</v>
      </c>
      <c r="J427" s="5" t="n">
        <v>-0.001847010236080763</v>
      </c>
      <c r="K427" s="5" t="n">
        <v>0.0007623771219556707</v>
      </c>
      <c r="L427" s="5" t="n">
        <v>0.0009776330383369487</v>
      </c>
      <c r="M427" s="5">
        <f>SUMPRODUCT(Exposures!$B$6:$K$6,B427:K427)</f>
        <v/>
      </c>
      <c r="N427" s="5">
        <f>IF(AND($A427&gt;=DATE(2020,2,1),$A427&lt;=DATE(2020,5,31)),$M427,"")</f>
        <v/>
      </c>
      <c r="O427" s="5">
        <f>IF(AND($A427&gt;=DATE(2022,1,1),$A427&lt;=DATE(2022,10,31)),$M427,"")</f>
        <v/>
      </c>
      <c r="P427" s="5">
        <f>IF(AND($A427&gt;=DATE(2018,10,1),$A427&lt;=DATE(2018,12,31)),$M427,"")</f>
        <v/>
      </c>
      <c r="Q427" s="5">
        <f>SUMPRODUCT(Exposures!$B$8:$K$8,B427:K427)</f>
        <v/>
      </c>
      <c r="R427" s="5">
        <f>SUMPRODUCT(Exposures!$B$9:$K$9,B427:K427)</f>
        <v/>
      </c>
      <c r="S427" s="5">
        <f>SUMPRODUCT(Exposures!$B$10:$K$10,B427:K427)</f>
        <v/>
      </c>
    </row>
    <row r="428">
      <c r="A428" s="1" t="n">
        <v>43076</v>
      </c>
      <c r="B428" s="5" t="n">
        <v>0.001908445546549725</v>
      </c>
      <c r="C428" s="5" t="n">
        <v>0.000845243690630318</v>
      </c>
      <c r="D428" s="5" t="n">
        <v>-0.002162934901193623</v>
      </c>
      <c r="E428" s="5" t="n">
        <v>0.0005952462673058869</v>
      </c>
      <c r="F428" s="5" t="n">
        <v>-0.002583929667926128</v>
      </c>
      <c r="G428" s="5" t="n">
        <v>0.007594546033377379</v>
      </c>
      <c r="H428" s="5" t="n">
        <v>0.003899035375166881</v>
      </c>
      <c r="I428" s="5" t="n">
        <v>-0.001642614119560983</v>
      </c>
      <c r="J428" s="5" t="n">
        <v>0.004965872212041074</v>
      </c>
      <c r="K428" s="5" t="n">
        <v>0.002233780595675446</v>
      </c>
      <c r="L428" s="5" t="n">
        <v>0.0003961617063334843</v>
      </c>
      <c r="M428" s="5">
        <f>SUMPRODUCT(Exposures!$B$6:$K$6,B428:K428)</f>
        <v/>
      </c>
      <c r="N428" s="5">
        <f>IF(AND($A428&gt;=DATE(2020,2,1),$A428&lt;=DATE(2020,5,31)),$M428,"")</f>
        <v/>
      </c>
      <c r="O428" s="5">
        <f>IF(AND($A428&gt;=DATE(2022,1,1),$A428&lt;=DATE(2022,10,31)),$M428,"")</f>
        <v/>
      </c>
      <c r="P428" s="5">
        <f>IF(AND($A428&gt;=DATE(2018,10,1),$A428&lt;=DATE(2018,12,31)),$M428,"")</f>
        <v/>
      </c>
      <c r="Q428" s="5">
        <f>SUMPRODUCT(Exposures!$B$8:$K$8,B428:K428)</f>
        <v/>
      </c>
      <c r="R428" s="5">
        <f>SUMPRODUCT(Exposures!$B$9:$K$9,B428:K428)</f>
        <v/>
      </c>
      <c r="S428" s="5">
        <f>SUMPRODUCT(Exposures!$B$10:$K$10,B428:K428)</f>
        <v/>
      </c>
    </row>
    <row r="429">
      <c r="A429" s="1" t="n">
        <v>43077</v>
      </c>
      <c r="B429" s="5" t="n">
        <v>-0.0006964986048221135</v>
      </c>
      <c r="C429" s="5" t="n">
        <v>0.001909210775695658</v>
      </c>
      <c r="D429" s="5" t="n">
        <v>-0.001350287073027405</v>
      </c>
      <c r="E429" s="5" t="n">
        <v>2.690338383004143e-05</v>
      </c>
      <c r="F429" s="5" t="n">
        <v>0.0003859446518883564</v>
      </c>
      <c r="G429" s="5" t="n">
        <v>0.004972946235267861</v>
      </c>
      <c r="H429" s="5" t="n">
        <v>-0.003989151275628724</v>
      </c>
      <c r="I429" s="5" t="n">
        <v>-0.001287474198367228</v>
      </c>
      <c r="J429" s="5" t="n">
        <v>0.004777938072735242</v>
      </c>
      <c r="K429" s="5" t="n">
        <v>0.003491326841304051</v>
      </c>
      <c r="L429" s="5" t="n">
        <v>-0.0007363712737006262</v>
      </c>
      <c r="M429" s="5">
        <f>SUMPRODUCT(Exposures!$B$6:$K$6,B429:K429)</f>
        <v/>
      </c>
      <c r="N429" s="5">
        <f>IF(AND($A429&gt;=DATE(2020,2,1),$A429&lt;=DATE(2020,5,31)),$M429,"")</f>
        <v/>
      </c>
      <c r="O429" s="5">
        <f>IF(AND($A429&gt;=DATE(2022,1,1),$A429&lt;=DATE(2022,10,31)),$M429,"")</f>
        <v/>
      </c>
      <c r="P429" s="5">
        <f>IF(AND($A429&gt;=DATE(2018,10,1),$A429&lt;=DATE(2018,12,31)),$M429,"")</f>
        <v/>
      </c>
      <c r="Q429" s="5">
        <f>SUMPRODUCT(Exposures!$B$8:$K$8,B429:K429)</f>
        <v/>
      </c>
      <c r="R429" s="5">
        <f>SUMPRODUCT(Exposures!$B$9:$K$9,B429:K429)</f>
        <v/>
      </c>
      <c r="S429" s="5">
        <f>SUMPRODUCT(Exposures!$B$10:$K$10,B429:K429)</f>
        <v/>
      </c>
    </row>
    <row r="430">
      <c r="A430" s="1" t="n">
        <v>43080</v>
      </c>
      <c r="B430" s="5" t="n">
        <v>-0.001268565666755881</v>
      </c>
      <c r="C430" s="5" t="n">
        <v>-0.001472248855992307</v>
      </c>
      <c r="D430" s="5" t="n">
        <v>0.002481187627009815</v>
      </c>
      <c r="E430" s="5" t="n">
        <v>-0.0004289562389587479</v>
      </c>
      <c r="F430" s="5" t="n">
        <v>0.002184391887308016</v>
      </c>
      <c r="G430" s="5" t="n">
        <v>0.002371346014174059</v>
      </c>
      <c r="H430" s="5" t="n">
        <v>-0.0005181885639509459</v>
      </c>
      <c r="I430" s="5" t="n">
        <v>0.0005625203567845307</v>
      </c>
      <c r="J430" s="5" t="n">
        <v>0.00399355769476121</v>
      </c>
      <c r="K430" s="5" t="n">
        <v>0.001683054350951242</v>
      </c>
      <c r="L430" s="5" t="n">
        <v>0.0009064295201372959</v>
      </c>
      <c r="M430" s="5">
        <f>SUMPRODUCT(Exposures!$B$6:$K$6,B430:K430)</f>
        <v/>
      </c>
      <c r="N430" s="5">
        <f>IF(AND($A430&gt;=DATE(2020,2,1),$A430&lt;=DATE(2020,5,31)),$M430,"")</f>
        <v/>
      </c>
      <c r="O430" s="5">
        <f>IF(AND($A430&gt;=DATE(2022,1,1),$A430&lt;=DATE(2022,10,31)),$M430,"")</f>
        <v/>
      </c>
      <c r="P430" s="5">
        <f>IF(AND($A430&gt;=DATE(2018,10,1),$A430&lt;=DATE(2018,12,31)),$M430,"")</f>
        <v/>
      </c>
      <c r="Q430" s="5">
        <f>SUMPRODUCT(Exposures!$B$8:$K$8,B430:K430)</f>
        <v/>
      </c>
      <c r="R430" s="5">
        <f>SUMPRODUCT(Exposures!$B$9:$K$9,B430:K430)</f>
        <v/>
      </c>
      <c r="S430" s="5">
        <f>SUMPRODUCT(Exposures!$B$10:$K$10,B430:K430)</f>
        <v/>
      </c>
    </row>
    <row r="431">
      <c r="A431" s="1" t="n">
        <v>43081</v>
      </c>
      <c r="B431" s="5" t="n">
        <v>0.001274577629924417</v>
      </c>
      <c r="C431" s="5" t="n">
        <v>0.0007479493244044127</v>
      </c>
      <c r="D431" s="5" t="n">
        <v>-0.000335464570110199</v>
      </c>
      <c r="E431" s="5" t="n">
        <v>0.001607633326944189</v>
      </c>
      <c r="F431" s="5" t="n">
        <v>0.00157807000361215</v>
      </c>
      <c r="G431" s="5" t="n">
        <v>-0.003400338441530174</v>
      </c>
      <c r="H431" s="5" t="n">
        <v>-0.00192056169894195</v>
      </c>
      <c r="I431" s="5" t="n">
        <v>0.0008528716758883297</v>
      </c>
      <c r="J431" s="5" t="n">
        <v>-0.003256102189773375</v>
      </c>
      <c r="K431" s="5" t="n">
        <v>-0.001484706965004207</v>
      </c>
      <c r="L431" s="5" t="n">
        <v>0.0005007214829655071</v>
      </c>
      <c r="M431" s="5">
        <f>SUMPRODUCT(Exposures!$B$6:$K$6,B431:K431)</f>
        <v/>
      </c>
      <c r="N431" s="5">
        <f>IF(AND($A431&gt;=DATE(2020,2,1),$A431&lt;=DATE(2020,5,31)),$M431,"")</f>
        <v/>
      </c>
      <c r="O431" s="5">
        <f>IF(AND($A431&gt;=DATE(2022,1,1),$A431&lt;=DATE(2022,10,31)),$M431,"")</f>
        <v/>
      </c>
      <c r="P431" s="5">
        <f>IF(AND($A431&gt;=DATE(2018,10,1),$A431&lt;=DATE(2018,12,31)),$M431,"")</f>
        <v/>
      </c>
      <c r="Q431" s="5">
        <f>SUMPRODUCT(Exposures!$B$8:$K$8,B431:K431)</f>
        <v/>
      </c>
      <c r="R431" s="5">
        <f>SUMPRODUCT(Exposures!$B$9:$K$9,B431:K431)</f>
        <v/>
      </c>
      <c r="S431" s="5">
        <f>SUMPRODUCT(Exposures!$B$10:$K$10,B431:K431)</f>
        <v/>
      </c>
    </row>
    <row r="432">
      <c r="A432" s="1" t="n">
        <v>43082</v>
      </c>
      <c r="B432" s="5" t="n">
        <v>-0.004617979777827334</v>
      </c>
      <c r="C432" s="5" t="n">
        <v>0.000379762514670027</v>
      </c>
      <c r="D432" s="5" t="n">
        <v>-0.001670830363738209</v>
      </c>
      <c r="E432" s="5" t="n">
        <v>-0.00138079853223504</v>
      </c>
      <c r="F432" s="5" t="n">
        <v>0.005081701417550357</v>
      </c>
      <c r="G432" s="5" t="n">
        <v>0.0006719880421368759</v>
      </c>
      <c r="H432" s="5" t="n">
        <v>0.003901227148209305</v>
      </c>
      <c r="I432" s="5" t="n">
        <v>0.003607547426515259</v>
      </c>
      <c r="J432" s="5" t="n">
        <v>0.002849879030384719</v>
      </c>
      <c r="K432" s="5" t="n">
        <v>-0.007708485915923019</v>
      </c>
      <c r="L432" s="5" t="n">
        <v>-0.002399666735029002</v>
      </c>
      <c r="M432" s="5">
        <f>SUMPRODUCT(Exposures!$B$6:$K$6,B432:K432)</f>
        <v/>
      </c>
      <c r="N432" s="5">
        <f>IF(AND($A432&gt;=DATE(2020,2,1),$A432&lt;=DATE(2020,5,31)),$M432,"")</f>
        <v/>
      </c>
      <c r="O432" s="5">
        <f>IF(AND($A432&gt;=DATE(2022,1,1),$A432&lt;=DATE(2022,10,31)),$M432,"")</f>
        <v/>
      </c>
      <c r="P432" s="5">
        <f>IF(AND($A432&gt;=DATE(2018,10,1),$A432&lt;=DATE(2018,12,31)),$M432,"")</f>
        <v/>
      </c>
      <c r="Q432" s="5">
        <f>SUMPRODUCT(Exposures!$B$8:$K$8,B432:K432)</f>
        <v/>
      </c>
      <c r="R432" s="5">
        <f>SUMPRODUCT(Exposures!$B$9:$K$9,B432:K432)</f>
        <v/>
      </c>
      <c r="S432" s="5">
        <f>SUMPRODUCT(Exposures!$B$10:$K$10,B432:K432)</f>
        <v/>
      </c>
    </row>
    <row r="433">
      <c r="A433" s="1" t="n">
        <v>43083</v>
      </c>
      <c r="B433" s="5" t="n">
        <v>0.0001848412354829413</v>
      </c>
      <c r="C433" s="5" t="n">
        <v>-0.001466991213461137</v>
      </c>
      <c r="D433" s="5" t="n">
        <v>0.0001809091860944372</v>
      </c>
      <c r="E433" s="5" t="n">
        <v>0.0002425981401240631</v>
      </c>
      <c r="F433" s="5" t="n">
        <v>0.002443629055580107</v>
      </c>
      <c r="G433" s="5" t="n">
        <v>-0.008257513663876559</v>
      </c>
      <c r="H433" s="5" t="n">
        <v>-0.0003101740895527129</v>
      </c>
      <c r="I433" s="5" t="n">
        <v>-0.000840633394531301</v>
      </c>
      <c r="J433" s="5" t="n">
        <v>-0.00516847232947852</v>
      </c>
      <c r="K433" s="5" t="n">
        <v>-0.002213774590477263</v>
      </c>
      <c r="L433" s="5" t="n">
        <v>-0.000553069948543813</v>
      </c>
      <c r="M433" s="5">
        <f>SUMPRODUCT(Exposures!$B$6:$K$6,B433:K433)</f>
        <v/>
      </c>
      <c r="N433" s="5">
        <f>IF(AND($A433&gt;=DATE(2020,2,1),$A433&lt;=DATE(2020,5,31)),$M433,"")</f>
        <v/>
      </c>
      <c r="O433" s="5">
        <f>IF(AND($A433&gt;=DATE(2022,1,1),$A433&lt;=DATE(2022,10,31)),$M433,"")</f>
        <v/>
      </c>
      <c r="P433" s="5">
        <f>IF(AND($A433&gt;=DATE(2018,10,1),$A433&lt;=DATE(2018,12,31)),$M433,"")</f>
        <v/>
      </c>
      <c r="Q433" s="5">
        <f>SUMPRODUCT(Exposures!$B$8:$K$8,B433:K433)</f>
        <v/>
      </c>
      <c r="R433" s="5">
        <f>SUMPRODUCT(Exposures!$B$9:$K$9,B433:K433)</f>
        <v/>
      </c>
      <c r="S433" s="5">
        <f>SUMPRODUCT(Exposures!$B$10:$K$10,B433:K433)</f>
        <v/>
      </c>
    </row>
    <row r="434">
      <c r="A434" s="1" t="n">
        <v>43084</v>
      </c>
      <c r="B434" s="5" t="n">
        <v>0.004813473083917792</v>
      </c>
      <c r="C434" s="5" t="n">
        <v>0.0009471734722835979</v>
      </c>
      <c r="D434" s="5" t="n">
        <v>0.00372484335219312</v>
      </c>
      <c r="E434" s="5" t="n">
        <v>0.001599633398147639</v>
      </c>
      <c r="F434" s="5" t="n">
        <v>-0.0003860438988693604</v>
      </c>
      <c r="G434" s="5" t="n">
        <v>0.00850495873383667</v>
      </c>
      <c r="H434" s="5" t="n">
        <v>-0.001407822555150679</v>
      </c>
      <c r="I434" s="5" t="n">
        <v>-0.0007162103156669766</v>
      </c>
      <c r="J434" s="5" t="n">
        <v>-0.003795832453586352</v>
      </c>
      <c r="K434" s="5" t="n">
        <v>0.0004415308526239592</v>
      </c>
      <c r="L434" s="5" t="n">
        <v>-0.002346643501497023</v>
      </c>
      <c r="M434" s="5">
        <f>SUMPRODUCT(Exposures!$B$6:$K$6,B434:K434)</f>
        <v/>
      </c>
      <c r="N434" s="5">
        <f>IF(AND($A434&gt;=DATE(2020,2,1),$A434&lt;=DATE(2020,5,31)),$M434,"")</f>
        <v/>
      </c>
      <c r="O434" s="5">
        <f>IF(AND($A434&gt;=DATE(2022,1,1),$A434&lt;=DATE(2022,10,31)),$M434,"")</f>
        <v/>
      </c>
      <c r="P434" s="5">
        <f>IF(AND($A434&gt;=DATE(2018,10,1),$A434&lt;=DATE(2018,12,31)),$M434,"")</f>
        <v/>
      </c>
      <c r="Q434" s="5">
        <f>SUMPRODUCT(Exposures!$B$8:$K$8,B434:K434)</f>
        <v/>
      </c>
      <c r="R434" s="5">
        <f>SUMPRODUCT(Exposures!$B$9:$K$9,B434:K434)</f>
        <v/>
      </c>
      <c r="S434" s="5">
        <f>SUMPRODUCT(Exposures!$B$10:$K$10,B434:K434)</f>
        <v/>
      </c>
    </row>
    <row r="435">
      <c r="A435" s="1" t="n">
        <v>43087</v>
      </c>
      <c r="B435" s="5" t="n">
        <v>0.004057607034340147</v>
      </c>
      <c r="C435" s="5" t="n">
        <v>-0.0001308623092922013</v>
      </c>
      <c r="D435" s="5" t="n">
        <v>-0.0009421515055931561</v>
      </c>
      <c r="E435" s="5" t="n">
        <v>-6.120491906986647e-05</v>
      </c>
      <c r="F435" s="5" t="n">
        <v>0.004638043247477961</v>
      </c>
      <c r="G435" s="5" t="n">
        <v>0.00987134048224802</v>
      </c>
      <c r="H435" s="5" t="n">
        <v>-0.002961084689024257</v>
      </c>
      <c r="I435" s="5" t="n">
        <v>-0.002039813571746148</v>
      </c>
      <c r="J435" s="5" t="n">
        <v>0.004423991710812462</v>
      </c>
      <c r="K435" s="5" t="n">
        <v>-0.002085994367702256</v>
      </c>
      <c r="L435" s="5" t="n">
        <v>0.0005679378522701548</v>
      </c>
      <c r="M435" s="5">
        <f>SUMPRODUCT(Exposures!$B$6:$K$6,B435:K435)</f>
        <v/>
      </c>
      <c r="N435" s="5">
        <f>IF(AND($A435&gt;=DATE(2020,2,1),$A435&lt;=DATE(2020,5,31)),$M435,"")</f>
        <v/>
      </c>
      <c r="O435" s="5">
        <f>IF(AND($A435&gt;=DATE(2022,1,1),$A435&lt;=DATE(2022,10,31)),$M435,"")</f>
        <v/>
      </c>
      <c r="P435" s="5">
        <f>IF(AND($A435&gt;=DATE(2018,10,1),$A435&lt;=DATE(2018,12,31)),$M435,"")</f>
        <v/>
      </c>
      <c r="Q435" s="5">
        <f>SUMPRODUCT(Exposures!$B$8:$K$8,B435:K435)</f>
        <v/>
      </c>
      <c r="R435" s="5">
        <f>SUMPRODUCT(Exposures!$B$9:$K$9,B435:K435)</f>
        <v/>
      </c>
      <c r="S435" s="5">
        <f>SUMPRODUCT(Exposures!$B$10:$K$10,B435:K435)</f>
        <v/>
      </c>
    </row>
    <row r="436">
      <c r="A436" s="1" t="n">
        <v>43088</v>
      </c>
      <c r="B436" s="5" t="n">
        <v>0.001326658287881602</v>
      </c>
      <c r="C436" s="5" t="n">
        <v>0.001960395256376929</v>
      </c>
      <c r="D436" s="5" t="n">
        <v>0.0008950848526557613</v>
      </c>
      <c r="E436" s="5" t="n">
        <v>-0.0005326211934056461</v>
      </c>
      <c r="F436" s="5" t="n">
        <v>0.002758974006643019</v>
      </c>
      <c r="G436" s="5" t="n">
        <v>-0.003555847182422959</v>
      </c>
      <c r="H436" s="5" t="n">
        <v>-0.0002094144921670949</v>
      </c>
      <c r="I436" s="5" t="n">
        <v>0.0003554306208520698</v>
      </c>
      <c r="J436" s="5" t="n">
        <v>0.0007146954620987387</v>
      </c>
      <c r="K436" s="5" t="n">
        <v>-0.00253940559950589</v>
      </c>
      <c r="L436" s="5" t="n">
        <v>-0.001182498314377839</v>
      </c>
      <c r="M436" s="5">
        <f>SUMPRODUCT(Exposures!$B$6:$K$6,B436:K436)</f>
        <v/>
      </c>
      <c r="N436" s="5">
        <f>IF(AND($A436&gt;=DATE(2020,2,1),$A436&lt;=DATE(2020,5,31)),$M436,"")</f>
        <v/>
      </c>
      <c r="O436" s="5">
        <f>IF(AND($A436&gt;=DATE(2022,1,1),$A436&lt;=DATE(2022,10,31)),$M436,"")</f>
        <v/>
      </c>
      <c r="P436" s="5">
        <f>IF(AND($A436&gt;=DATE(2018,10,1),$A436&lt;=DATE(2018,12,31)),$M436,"")</f>
        <v/>
      </c>
      <c r="Q436" s="5">
        <f>SUMPRODUCT(Exposures!$B$8:$K$8,B436:K436)</f>
        <v/>
      </c>
      <c r="R436" s="5">
        <f>SUMPRODUCT(Exposures!$B$9:$K$9,B436:K436)</f>
        <v/>
      </c>
      <c r="S436" s="5">
        <f>SUMPRODUCT(Exposures!$B$10:$K$10,B436:K436)</f>
        <v/>
      </c>
    </row>
    <row r="437">
      <c r="A437" s="1" t="n">
        <v>43089</v>
      </c>
      <c r="B437" s="5" t="n">
        <v>0.001354056178331885</v>
      </c>
      <c r="C437" s="5" t="n">
        <v>0.001253421835682366</v>
      </c>
      <c r="D437" s="5" t="n">
        <v>0.003768307432393858</v>
      </c>
      <c r="E437" s="5" t="n">
        <v>-0.001324869975894099</v>
      </c>
      <c r="F437" s="5" t="n">
        <v>-0.003650933001235064</v>
      </c>
      <c r="G437" s="5" t="n">
        <v>0.0006144321973834072</v>
      </c>
      <c r="H437" s="5" t="n">
        <v>-0.0001696995463970317</v>
      </c>
      <c r="I437" s="5" t="n">
        <v>-0.0006797713616121618</v>
      </c>
      <c r="J437" s="5" t="n">
        <v>0.003185157281317702</v>
      </c>
      <c r="K437" s="5" t="n">
        <v>0.005311677577202325</v>
      </c>
      <c r="L437" s="5" t="n">
        <v>0.001423068294648593</v>
      </c>
      <c r="M437" s="5">
        <f>SUMPRODUCT(Exposures!$B$6:$K$6,B437:K437)</f>
        <v/>
      </c>
      <c r="N437" s="5">
        <f>IF(AND($A437&gt;=DATE(2020,2,1),$A437&lt;=DATE(2020,5,31)),$M437,"")</f>
        <v/>
      </c>
      <c r="O437" s="5">
        <f>IF(AND($A437&gt;=DATE(2022,1,1),$A437&lt;=DATE(2022,10,31)),$M437,"")</f>
        <v/>
      </c>
      <c r="P437" s="5">
        <f>IF(AND($A437&gt;=DATE(2018,10,1),$A437&lt;=DATE(2018,12,31)),$M437,"")</f>
        <v/>
      </c>
      <c r="Q437" s="5">
        <f>SUMPRODUCT(Exposures!$B$8:$K$8,B437:K437)</f>
        <v/>
      </c>
      <c r="R437" s="5">
        <f>SUMPRODUCT(Exposures!$B$9:$K$9,B437:K437)</f>
        <v/>
      </c>
      <c r="S437" s="5">
        <f>SUMPRODUCT(Exposures!$B$10:$K$10,B437:K437)</f>
        <v/>
      </c>
    </row>
    <row r="438">
      <c r="A438" s="1" t="n">
        <v>43090</v>
      </c>
      <c r="B438" s="5" t="n">
        <v>5.467882691482162e-05</v>
      </c>
      <c r="C438" s="5" t="n">
        <v>-0.000627310637199721</v>
      </c>
      <c r="D438" s="5" t="n">
        <v>0.001810179452602506</v>
      </c>
      <c r="E438" s="5" t="n">
        <v>0.0002028550833160095</v>
      </c>
      <c r="F438" s="5" t="n">
        <v>-0.003419637970526699</v>
      </c>
      <c r="G438" s="5" t="n">
        <v>0.001428954656365837</v>
      </c>
      <c r="H438" s="5" t="n">
        <v>-0.00395346487549105</v>
      </c>
      <c r="I438" s="5" t="n">
        <v>-0.0003825132246140752</v>
      </c>
      <c r="J438" s="5" t="n">
        <v>0.005667345361621568</v>
      </c>
      <c r="K438" s="5" t="n">
        <v>0.007758324548656432</v>
      </c>
      <c r="L438" s="5" t="n">
        <v>0.004585031283604732</v>
      </c>
      <c r="M438" s="5">
        <f>SUMPRODUCT(Exposures!$B$6:$K$6,B438:K438)</f>
        <v/>
      </c>
      <c r="N438" s="5">
        <f>IF(AND($A438&gt;=DATE(2020,2,1),$A438&lt;=DATE(2020,5,31)),$M438,"")</f>
        <v/>
      </c>
      <c r="O438" s="5">
        <f>IF(AND($A438&gt;=DATE(2022,1,1),$A438&lt;=DATE(2022,10,31)),$M438,"")</f>
        <v/>
      </c>
      <c r="P438" s="5">
        <f>IF(AND($A438&gt;=DATE(2018,10,1),$A438&lt;=DATE(2018,12,31)),$M438,"")</f>
        <v/>
      </c>
      <c r="Q438" s="5">
        <f>SUMPRODUCT(Exposures!$B$8:$K$8,B438:K438)</f>
        <v/>
      </c>
      <c r="R438" s="5">
        <f>SUMPRODUCT(Exposures!$B$9:$K$9,B438:K438)</f>
        <v/>
      </c>
      <c r="S438" s="5">
        <f>SUMPRODUCT(Exposures!$B$10:$K$10,B438:K438)</f>
        <v/>
      </c>
    </row>
    <row r="439">
      <c r="A439" s="1" t="n">
        <v>43091</v>
      </c>
      <c r="B439" s="5" t="n">
        <v>-0.002150800419579226</v>
      </c>
      <c r="C439" s="5" t="n">
        <v>-0.001955924246254769</v>
      </c>
      <c r="D439" s="5" t="n">
        <v>-0.003560773537993283</v>
      </c>
      <c r="E439" s="5" t="n">
        <v>0.0001120855188062197</v>
      </c>
      <c r="F439" s="5" t="n">
        <v>-0.00201382632122691</v>
      </c>
      <c r="G439" s="5" t="n">
        <v>0.0003925804425960898</v>
      </c>
      <c r="H439" s="5" t="n">
        <v>0.001096559323083525</v>
      </c>
      <c r="I439" s="5" t="n">
        <v>-0.002492391465417433</v>
      </c>
      <c r="J439" s="5" t="n">
        <v>0.002740402547240825</v>
      </c>
      <c r="K439" s="5" t="n">
        <v>0.004963012664294585</v>
      </c>
      <c r="L439" s="5" t="n">
        <v>0.0005638248210216439</v>
      </c>
      <c r="M439" s="5">
        <f>SUMPRODUCT(Exposures!$B$6:$K$6,B439:K439)</f>
        <v/>
      </c>
      <c r="N439" s="5">
        <f>IF(AND($A439&gt;=DATE(2020,2,1),$A439&lt;=DATE(2020,5,31)),$M439,"")</f>
        <v/>
      </c>
      <c r="O439" s="5">
        <f>IF(AND($A439&gt;=DATE(2022,1,1),$A439&lt;=DATE(2022,10,31)),$M439,"")</f>
        <v/>
      </c>
      <c r="P439" s="5">
        <f>IF(AND($A439&gt;=DATE(2018,10,1),$A439&lt;=DATE(2018,12,31)),$M439,"")</f>
        <v/>
      </c>
      <c r="Q439" s="5">
        <f>SUMPRODUCT(Exposures!$B$8:$K$8,B439:K439)</f>
        <v/>
      </c>
      <c r="R439" s="5">
        <f>SUMPRODUCT(Exposures!$B$9:$K$9,B439:K439)</f>
        <v/>
      </c>
      <c r="S439" s="5">
        <f>SUMPRODUCT(Exposures!$B$10:$K$10,B439:K439)</f>
        <v/>
      </c>
    </row>
    <row r="440">
      <c r="A440" s="1" t="n">
        <v>43095</v>
      </c>
      <c r="B440" s="5" t="n">
        <v>-0.001155333076278895</v>
      </c>
      <c r="C440" s="5" t="n">
        <v>-0.002138173126587526</v>
      </c>
      <c r="D440" s="5" t="n">
        <v>-0.003804541300718617</v>
      </c>
      <c r="E440" s="5" t="n">
        <v>7.019668509379325e-06</v>
      </c>
      <c r="F440" s="5" t="n">
        <v>-0.004974944992363292</v>
      </c>
      <c r="G440" s="5" t="n">
        <v>0.00192345673217638</v>
      </c>
      <c r="H440" s="5" t="n">
        <v>-0.002459957087548831</v>
      </c>
      <c r="I440" s="5" t="n">
        <v>-0.001782354811372624</v>
      </c>
      <c r="J440" s="5" t="n">
        <v>0.005263673929205383</v>
      </c>
      <c r="K440" s="5" t="n">
        <v>0.006164032072173028</v>
      </c>
      <c r="L440" s="5" t="n">
        <v>0.0005813365155002727</v>
      </c>
      <c r="M440" s="5">
        <f>SUMPRODUCT(Exposures!$B$6:$K$6,B440:K440)</f>
        <v/>
      </c>
      <c r="N440" s="5">
        <f>IF(AND($A440&gt;=DATE(2020,2,1),$A440&lt;=DATE(2020,5,31)),$M440,"")</f>
        <v/>
      </c>
      <c r="O440" s="5">
        <f>IF(AND($A440&gt;=DATE(2022,1,1),$A440&lt;=DATE(2022,10,31)),$M440,"")</f>
        <v/>
      </c>
      <c r="P440" s="5">
        <f>IF(AND($A440&gt;=DATE(2018,10,1),$A440&lt;=DATE(2018,12,31)),$M440,"")</f>
        <v/>
      </c>
      <c r="Q440" s="5">
        <f>SUMPRODUCT(Exposures!$B$8:$K$8,B440:K440)</f>
        <v/>
      </c>
      <c r="R440" s="5">
        <f>SUMPRODUCT(Exposures!$B$9:$K$9,B440:K440)</f>
        <v/>
      </c>
      <c r="S440" s="5">
        <f>SUMPRODUCT(Exposures!$B$10:$K$10,B440:K440)</f>
        <v/>
      </c>
    </row>
    <row r="441">
      <c r="A441" s="1" t="n">
        <v>43096</v>
      </c>
      <c r="B441" s="5" t="n">
        <v>-0.0007556031114696935</v>
      </c>
      <c r="C441" s="5" t="n">
        <v>0.0005731328235609962</v>
      </c>
      <c r="D441" s="5" t="n">
        <v>-6.798400919269204e-05</v>
      </c>
      <c r="E441" s="5" t="n">
        <v>0.0003822727964972037</v>
      </c>
      <c r="F441" s="5" t="n">
        <v>-0.001397156799922682</v>
      </c>
      <c r="G441" s="5" t="n">
        <v>0.001030092603244572</v>
      </c>
      <c r="H441" s="5" t="n">
        <v>0.003698853265057553</v>
      </c>
      <c r="I441" s="5" t="n">
        <v>-0.001121791929031286</v>
      </c>
      <c r="J441" s="5" t="n">
        <v>0.0004353043017799314</v>
      </c>
      <c r="K441" s="5" t="n">
        <v>0.0008403409524622061</v>
      </c>
      <c r="L441" s="5" t="n">
        <v>-0.00119212934331365</v>
      </c>
      <c r="M441" s="5">
        <f>SUMPRODUCT(Exposures!$B$6:$K$6,B441:K441)</f>
        <v/>
      </c>
      <c r="N441" s="5">
        <f>IF(AND($A441&gt;=DATE(2020,2,1),$A441&lt;=DATE(2020,5,31)),$M441,"")</f>
        <v/>
      </c>
      <c r="O441" s="5">
        <f>IF(AND($A441&gt;=DATE(2022,1,1),$A441&lt;=DATE(2022,10,31)),$M441,"")</f>
        <v/>
      </c>
      <c r="P441" s="5">
        <f>IF(AND($A441&gt;=DATE(2018,10,1),$A441&lt;=DATE(2018,12,31)),$M441,"")</f>
        <v/>
      </c>
      <c r="Q441" s="5">
        <f>SUMPRODUCT(Exposures!$B$8:$K$8,B441:K441)</f>
        <v/>
      </c>
      <c r="R441" s="5">
        <f>SUMPRODUCT(Exposures!$B$9:$K$9,B441:K441)</f>
        <v/>
      </c>
      <c r="S441" s="5">
        <f>SUMPRODUCT(Exposures!$B$10:$K$10,B441:K441)</f>
        <v/>
      </c>
    </row>
    <row r="442">
      <c r="A442" s="1" t="n">
        <v>43097</v>
      </c>
      <c r="B442" s="5" t="n">
        <v>0.0002342013363864049</v>
      </c>
      <c r="C442" s="5" t="n">
        <v>-0.0004393795727562358</v>
      </c>
      <c r="D442" s="5" t="n">
        <v>0.0002888767403295344</v>
      </c>
      <c r="E442" s="5" t="n">
        <v>0.0001154916250003766</v>
      </c>
      <c r="F442" s="5" t="n">
        <v>0.0008590099586558283</v>
      </c>
      <c r="G442" s="5" t="n">
        <v>0.002989933504344547</v>
      </c>
      <c r="H442" s="5" t="n">
        <v>0.0003052870566102765</v>
      </c>
      <c r="I442" s="5" t="n">
        <v>-0.0006614798003136977</v>
      </c>
      <c r="J442" s="5" t="n">
        <v>-0.001420457669756405</v>
      </c>
      <c r="K442" s="5" t="n">
        <v>-0.001992502977145453</v>
      </c>
      <c r="L442" s="5" t="n">
        <v>0.0004152736691965399</v>
      </c>
      <c r="M442" s="5">
        <f>SUMPRODUCT(Exposures!$B$6:$K$6,B442:K442)</f>
        <v/>
      </c>
      <c r="N442" s="5">
        <f>IF(AND($A442&gt;=DATE(2020,2,1),$A442&lt;=DATE(2020,5,31)),$M442,"")</f>
        <v/>
      </c>
      <c r="O442" s="5">
        <f>IF(AND($A442&gt;=DATE(2022,1,1),$A442&lt;=DATE(2022,10,31)),$M442,"")</f>
        <v/>
      </c>
      <c r="P442" s="5">
        <f>IF(AND($A442&gt;=DATE(2018,10,1),$A442&lt;=DATE(2018,12,31)),$M442,"")</f>
        <v/>
      </c>
      <c r="Q442" s="5">
        <f>SUMPRODUCT(Exposures!$B$8:$K$8,B442:K442)</f>
        <v/>
      </c>
      <c r="R442" s="5">
        <f>SUMPRODUCT(Exposures!$B$9:$K$9,B442:K442)</f>
        <v/>
      </c>
      <c r="S442" s="5">
        <f>SUMPRODUCT(Exposures!$B$10:$K$10,B442:K442)</f>
        <v/>
      </c>
    </row>
    <row r="443">
      <c r="A443" s="1" t="n">
        <v>43098</v>
      </c>
      <c r="B443" s="5" t="n">
        <v>-0.003651288232590794</v>
      </c>
      <c r="C443" s="5" t="n">
        <v>0.002058402949628288</v>
      </c>
      <c r="D443" s="5" t="n">
        <v>-0.001328521308085273</v>
      </c>
      <c r="E443" s="5" t="n">
        <v>0.0006146610704785649</v>
      </c>
      <c r="F443" s="5" t="n">
        <v>-0.002878260355631484</v>
      </c>
      <c r="G443" s="5" t="n">
        <v>-0.007836329753511459</v>
      </c>
      <c r="H443" s="5" t="n">
        <v>0.001063053222627621</v>
      </c>
      <c r="I443" s="5" t="n">
        <v>-0.001234429119809966</v>
      </c>
      <c r="J443" s="5" t="n">
        <v>-0.001199132591633108</v>
      </c>
      <c r="K443" s="5" t="n">
        <v>0.003068301901308437</v>
      </c>
      <c r="L443" s="5" t="n">
        <v>-0.0006053587112113344</v>
      </c>
      <c r="M443" s="5">
        <f>SUMPRODUCT(Exposures!$B$6:$K$6,B443:K443)</f>
        <v/>
      </c>
      <c r="N443" s="5">
        <f>IF(AND($A443&gt;=DATE(2020,2,1),$A443&lt;=DATE(2020,5,31)),$M443,"")</f>
        <v/>
      </c>
      <c r="O443" s="5">
        <f>IF(AND($A443&gt;=DATE(2022,1,1),$A443&lt;=DATE(2022,10,31)),$M443,"")</f>
        <v/>
      </c>
      <c r="P443" s="5">
        <f>IF(AND($A443&gt;=DATE(2018,10,1),$A443&lt;=DATE(2018,12,31)),$M443,"")</f>
        <v/>
      </c>
      <c r="Q443" s="5">
        <f>SUMPRODUCT(Exposures!$B$8:$K$8,B443:K443)</f>
        <v/>
      </c>
      <c r="R443" s="5">
        <f>SUMPRODUCT(Exposures!$B$9:$K$9,B443:K443)</f>
        <v/>
      </c>
      <c r="S443" s="5">
        <f>SUMPRODUCT(Exposures!$B$10:$K$10,B443:K443)</f>
        <v/>
      </c>
    </row>
    <row r="444">
      <c r="A444" s="1" t="n">
        <v>43102</v>
      </c>
      <c r="B444" s="5" t="n">
        <v>0.00605858331416703</v>
      </c>
      <c r="C444" s="5" t="n">
        <v>0.0002272273635560637</v>
      </c>
      <c r="D444" s="5" t="n">
        <v>0.001170550900321461</v>
      </c>
      <c r="E444" s="5" t="n">
        <v>-0.0045167910907038</v>
      </c>
      <c r="F444" s="5" t="n">
        <v>0.007903173876391644</v>
      </c>
      <c r="G444" s="5" t="n">
        <v>0.01093303222189752</v>
      </c>
      <c r="H444" s="5" t="n">
        <v>-0.0002897880265118885</v>
      </c>
      <c r="I444" s="5" t="n">
        <v>0.001320763699886014</v>
      </c>
      <c r="J444" s="5" t="n">
        <v>0.009551671549380737</v>
      </c>
      <c r="K444" s="5" t="n">
        <v>6.097708847465364e-05</v>
      </c>
      <c r="L444" s="5" t="n">
        <v>0.000501347807639255</v>
      </c>
      <c r="M444" s="5">
        <f>SUMPRODUCT(Exposures!$B$6:$K$6,B444:K444)</f>
        <v/>
      </c>
      <c r="N444" s="5">
        <f>IF(AND($A444&gt;=DATE(2020,2,1),$A444&lt;=DATE(2020,5,31)),$M444,"")</f>
        <v/>
      </c>
      <c r="O444" s="5">
        <f>IF(AND($A444&gt;=DATE(2022,1,1),$A444&lt;=DATE(2022,10,31)),$M444,"")</f>
        <v/>
      </c>
      <c r="P444" s="5">
        <f>IF(AND($A444&gt;=DATE(2018,10,1),$A444&lt;=DATE(2018,12,31)),$M444,"")</f>
        <v/>
      </c>
      <c r="Q444" s="5">
        <f>SUMPRODUCT(Exposures!$B$8:$K$8,B444:K444)</f>
        <v/>
      </c>
      <c r="R444" s="5">
        <f>SUMPRODUCT(Exposures!$B$9:$K$9,B444:K444)</f>
        <v/>
      </c>
      <c r="S444" s="5">
        <f>SUMPRODUCT(Exposures!$B$10:$K$10,B444:K444)</f>
        <v/>
      </c>
    </row>
    <row r="445">
      <c r="A445" s="1" t="n">
        <v>43103</v>
      </c>
      <c r="B445" s="5" t="n">
        <v>0.002391311071558451</v>
      </c>
      <c r="C445" s="5" t="n">
        <v>-0.001973984008019426</v>
      </c>
      <c r="D445" s="5" t="n">
        <v>0.001407365454311375</v>
      </c>
      <c r="E445" s="5" t="n">
        <v>-0.00149904508637079</v>
      </c>
      <c r="F445" s="5" t="n">
        <v>0.006403677907848084</v>
      </c>
      <c r="G445" s="5" t="n">
        <v>0.003551951118299605</v>
      </c>
      <c r="H445" s="5" t="n">
        <v>0.0009750507882770677</v>
      </c>
      <c r="I445" s="5" t="n">
        <v>0.0001143028911725591</v>
      </c>
      <c r="J445" s="5" t="n">
        <v>-0.000211714398923968</v>
      </c>
      <c r="K445" s="5" t="n">
        <v>-0.003030259392803863</v>
      </c>
      <c r="L445" s="5" t="n">
        <v>-0.0008641848548572089</v>
      </c>
      <c r="M445" s="5">
        <f>SUMPRODUCT(Exposures!$B$6:$K$6,B445:K445)</f>
        <v/>
      </c>
      <c r="N445" s="5">
        <f>IF(AND($A445&gt;=DATE(2020,2,1),$A445&lt;=DATE(2020,5,31)),$M445,"")</f>
        <v/>
      </c>
      <c r="O445" s="5">
        <f>IF(AND($A445&gt;=DATE(2022,1,1),$A445&lt;=DATE(2022,10,31)),$M445,"")</f>
        <v/>
      </c>
      <c r="P445" s="5">
        <f>IF(AND($A445&gt;=DATE(2018,10,1),$A445&lt;=DATE(2018,12,31)),$M445,"")</f>
        <v/>
      </c>
      <c r="Q445" s="5">
        <f>SUMPRODUCT(Exposures!$B$8:$K$8,B445:K445)</f>
        <v/>
      </c>
      <c r="R445" s="5">
        <f>SUMPRODUCT(Exposures!$B$9:$K$9,B445:K445)</f>
        <v/>
      </c>
      <c r="S445" s="5">
        <f>SUMPRODUCT(Exposures!$B$10:$K$10,B445:K445)</f>
        <v/>
      </c>
    </row>
    <row r="446">
      <c r="A446" s="1" t="n">
        <v>43104</v>
      </c>
      <c r="B446" s="5" t="n">
        <v>0.002611065766220444</v>
      </c>
      <c r="C446" s="5" t="n">
        <v>0.001872060971122207</v>
      </c>
      <c r="D446" s="5" t="n">
        <v>0.0007815798685760937</v>
      </c>
      <c r="E446" s="5" t="n">
        <v>0.001490400944137499</v>
      </c>
      <c r="F446" s="5" t="n">
        <v>0.0001269708171573892</v>
      </c>
      <c r="G446" s="5" t="n">
        <v>0.002695110121197371</v>
      </c>
      <c r="H446" s="5" t="n">
        <v>-0.002115001134675217</v>
      </c>
      <c r="I446" s="5" t="n">
        <v>0.0004536908477639278</v>
      </c>
      <c r="J446" s="5" t="n">
        <v>0.002249104905358402</v>
      </c>
      <c r="K446" s="5" t="n">
        <v>0.001522835034489948</v>
      </c>
      <c r="L446" s="5" t="n">
        <v>0.0001919801892490629</v>
      </c>
      <c r="M446" s="5">
        <f>SUMPRODUCT(Exposures!$B$6:$K$6,B446:K446)</f>
        <v/>
      </c>
      <c r="N446" s="5">
        <f>IF(AND($A446&gt;=DATE(2020,2,1),$A446&lt;=DATE(2020,5,31)),$M446,"")</f>
        <v/>
      </c>
      <c r="O446" s="5">
        <f>IF(AND($A446&gt;=DATE(2022,1,1),$A446&lt;=DATE(2022,10,31)),$M446,"")</f>
        <v/>
      </c>
      <c r="P446" s="5">
        <f>IF(AND($A446&gt;=DATE(2018,10,1),$A446&lt;=DATE(2018,12,31)),$M446,"")</f>
        <v/>
      </c>
      <c r="Q446" s="5">
        <f>SUMPRODUCT(Exposures!$B$8:$K$8,B446:K446)</f>
        <v/>
      </c>
      <c r="R446" s="5">
        <f>SUMPRODUCT(Exposures!$B$9:$K$9,B446:K446)</f>
        <v/>
      </c>
      <c r="S446" s="5">
        <f>SUMPRODUCT(Exposures!$B$10:$K$10,B446:K446)</f>
        <v/>
      </c>
    </row>
    <row r="447">
      <c r="A447" s="1" t="n">
        <v>43105</v>
      </c>
      <c r="B447" s="5" t="n">
        <v>-0.0007639808577963435</v>
      </c>
      <c r="C447" s="5" t="n">
        <v>0.001684663548374553</v>
      </c>
      <c r="D447" s="5" t="n">
        <v>0.0007145908507018197</v>
      </c>
      <c r="E447" s="5" t="n">
        <v>-0.0009838817287946737</v>
      </c>
      <c r="F447" s="5" t="n">
        <v>0.005398875037708495</v>
      </c>
      <c r="G447" s="5" t="n">
        <v>0.003901416277304315</v>
      </c>
      <c r="H447" s="5" t="n">
        <v>0.003665768783649339</v>
      </c>
      <c r="I447" s="5" t="n">
        <v>0.0005956891606232471</v>
      </c>
      <c r="J447" s="5" t="n">
        <v>-0.002088474781935979</v>
      </c>
      <c r="K447" s="5" t="n">
        <v>-0.003713859599925047</v>
      </c>
      <c r="L447" s="5" t="n">
        <v>-0.001307875266889761</v>
      </c>
      <c r="M447" s="5">
        <f>SUMPRODUCT(Exposures!$B$6:$K$6,B447:K447)</f>
        <v/>
      </c>
      <c r="N447" s="5">
        <f>IF(AND($A447&gt;=DATE(2020,2,1),$A447&lt;=DATE(2020,5,31)),$M447,"")</f>
        <v/>
      </c>
      <c r="O447" s="5">
        <f>IF(AND($A447&gt;=DATE(2022,1,1),$A447&lt;=DATE(2022,10,31)),$M447,"")</f>
        <v/>
      </c>
      <c r="P447" s="5">
        <f>IF(AND($A447&gt;=DATE(2018,10,1),$A447&lt;=DATE(2018,12,31)),$M447,"")</f>
        <v/>
      </c>
      <c r="Q447" s="5">
        <f>SUMPRODUCT(Exposures!$B$8:$K$8,B447:K447)</f>
        <v/>
      </c>
      <c r="R447" s="5">
        <f>SUMPRODUCT(Exposures!$B$9:$K$9,B447:K447)</f>
        <v/>
      </c>
      <c r="S447" s="5">
        <f>SUMPRODUCT(Exposures!$B$10:$K$10,B447:K447)</f>
        <v/>
      </c>
    </row>
    <row r="448">
      <c r="A448" s="1" t="n">
        <v>43108</v>
      </c>
      <c r="B448" s="5" t="n">
        <v>-0.00091162100282086</v>
      </c>
      <c r="C448" s="5" t="n">
        <v>-0.0004710343122244954</v>
      </c>
      <c r="D448" s="5" t="n">
        <v>-0.002196854192047833</v>
      </c>
      <c r="E448" s="5" t="n">
        <v>0.0001198865888863842</v>
      </c>
      <c r="F448" s="5" t="n">
        <v>0.006425367220637394</v>
      </c>
      <c r="G448" s="5" t="n">
        <v>0.0009918129321525441</v>
      </c>
      <c r="H448" s="5" t="n">
        <v>0.003905139262684217</v>
      </c>
      <c r="I448" s="5" t="n">
        <v>-0.00177706785834259</v>
      </c>
      <c r="J448" s="5" t="n">
        <v>-0.003949692511150438</v>
      </c>
      <c r="K448" s="5" t="n">
        <v>-0.008160512640168691</v>
      </c>
      <c r="L448" s="5" t="n">
        <v>0.0001360930308583259</v>
      </c>
      <c r="M448" s="5">
        <f>SUMPRODUCT(Exposures!$B$6:$K$6,B448:K448)</f>
        <v/>
      </c>
      <c r="N448" s="5">
        <f>IF(AND($A448&gt;=DATE(2020,2,1),$A448&lt;=DATE(2020,5,31)),$M448,"")</f>
        <v/>
      </c>
      <c r="O448" s="5">
        <f>IF(AND($A448&gt;=DATE(2022,1,1),$A448&lt;=DATE(2022,10,31)),$M448,"")</f>
        <v/>
      </c>
      <c r="P448" s="5">
        <f>IF(AND($A448&gt;=DATE(2018,10,1),$A448&lt;=DATE(2018,12,31)),$M448,"")</f>
        <v/>
      </c>
      <c r="Q448" s="5">
        <f>SUMPRODUCT(Exposures!$B$8:$K$8,B448:K448)</f>
        <v/>
      </c>
      <c r="R448" s="5">
        <f>SUMPRODUCT(Exposures!$B$9:$K$9,B448:K448)</f>
        <v/>
      </c>
      <c r="S448" s="5">
        <f>SUMPRODUCT(Exposures!$B$10:$K$10,B448:K448)</f>
        <v/>
      </c>
    </row>
    <row r="449">
      <c r="A449" s="1" t="n">
        <v>43109</v>
      </c>
      <c r="B449" s="5" t="n">
        <v>-0.001952506435453815</v>
      </c>
      <c r="C449" s="5" t="n">
        <v>-0.0009869346628853838</v>
      </c>
      <c r="D449" s="5" t="n">
        <v>0.001116290050036954</v>
      </c>
      <c r="E449" s="5" t="n">
        <v>0.003947263206318825</v>
      </c>
      <c r="F449" s="5" t="n">
        <v>-0.006683390308540309</v>
      </c>
      <c r="G449" s="5" t="n">
        <v>-0.0007428218166193124</v>
      </c>
      <c r="H449" s="5" t="n">
        <v>0.00367559616614263</v>
      </c>
      <c r="I449" s="5" t="n">
        <v>-0.000664299168905627</v>
      </c>
      <c r="J449" s="5" t="n">
        <v>0.003318447035068384</v>
      </c>
      <c r="K449" s="5" t="n">
        <v>0.009528992238360325</v>
      </c>
      <c r="L449" s="5" t="n">
        <v>0.001332219580481734</v>
      </c>
      <c r="M449" s="5">
        <f>SUMPRODUCT(Exposures!$B$6:$K$6,B449:K449)</f>
        <v/>
      </c>
      <c r="N449" s="5">
        <f>IF(AND($A449&gt;=DATE(2020,2,1),$A449&lt;=DATE(2020,5,31)),$M449,"")</f>
        <v/>
      </c>
      <c r="O449" s="5">
        <f>IF(AND($A449&gt;=DATE(2022,1,1),$A449&lt;=DATE(2022,10,31)),$M449,"")</f>
        <v/>
      </c>
      <c r="P449" s="5">
        <f>IF(AND($A449&gt;=DATE(2018,10,1),$A449&lt;=DATE(2018,12,31)),$M449,"")</f>
        <v/>
      </c>
      <c r="Q449" s="5">
        <f>SUMPRODUCT(Exposures!$B$8:$K$8,B449:K449)</f>
        <v/>
      </c>
      <c r="R449" s="5">
        <f>SUMPRODUCT(Exposures!$B$9:$K$9,B449:K449)</f>
        <v/>
      </c>
      <c r="S449" s="5">
        <f>SUMPRODUCT(Exposures!$B$10:$K$10,B449:K449)</f>
        <v/>
      </c>
    </row>
    <row r="450">
      <c r="A450" s="1" t="n">
        <v>43110</v>
      </c>
      <c r="B450" s="5" t="n">
        <v>0.002513064387777436</v>
      </c>
      <c r="C450" s="5" t="n">
        <v>1.692761449662039e-05</v>
      </c>
      <c r="D450" s="5" t="n">
        <v>-0.0003448253043775594</v>
      </c>
      <c r="E450" s="5" t="n">
        <v>0.002321364299487587</v>
      </c>
      <c r="F450" s="5" t="n">
        <v>-0.007128941806927832</v>
      </c>
      <c r="G450" s="5" t="n">
        <v>0.0008065003146559938</v>
      </c>
      <c r="H450" s="5" t="n">
        <v>-0.001655276396451664</v>
      </c>
      <c r="I450" s="5" t="n">
        <v>0.002744821894000567</v>
      </c>
      <c r="J450" s="5" t="n">
        <v>0.006462858821043157</v>
      </c>
      <c r="K450" s="5" t="n">
        <v>0.006214797926669936</v>
      </c>
      <c r="L450" s="5" t="n">
        <v>0.003452323061507926</v>
      </c>
      <c r="M450" s="5">
        <f>SUMPRODUCT(Exposures!$B$6:$K$6,B450:K450)</f>
        <v/>
      </c>
      <c r="N450" s="5">
        <f>IF(AND($A450&gt;=DATE(2020,2,1),$A450&lt;=DATE(2020,5,31)),$M450,"")</f>
        <v/>
      </c>
      <c r="O450" s="5">
        <f>IF(AND($A450&gt;=DATE(2022,1,1),$A450&lt;=DATE(2022,10,31)),$M450,"")</f>
        <v/>
      </c>
      <c r="P450" s="5">
        <f>IF(AND($A450&gt;=DATE(2018,10,1),$A450&lt;=DATE(2018,12,31)),$M450,"")</f>
        <v/>
      </c>
      <c r="Q450" s="5">
        <f>SUMPRODUCT(Exposures!$B$8:$K$8,B450:K450)</f>
        <v/>
      </c>
      <c r="R450" s="5">
        <f>SUMPRODUCT(Exposures!$B$9:$K$9,B450:K450)</f>
        <v/>
      </c>
      <c r="S450" s="5">
        <f>SUMPRODUCT(Exposures!$B$10:$K$10,B450:K450)</f>
        <v/>
      </c>
    </row>
    <row r="451">
      <c r="A451" s="1" t="n">
        <v>43111</v>
      </c>
      <c r="B451" s="5" t="n">
        <v>0.005494885002691394</v>
      </c>
      <c r="C451" s="5" t="n">
        <v>-0.0004580151825467396</v>
      </c>
      <c r="D451" s="5" t="n">
        <v>0.0006125894703449026</v>
      </c>
      <c r="E451" s="5" t="n">
        <v>0.0007949058279837777</v>
      </c>
      <c r="F451" s="5" t="n">
        <v>-0.002950834687677057</v>
      </c>
      <c r="G451" s="5" t="n">
        <v>0.01090966623706722</v>
      </c>
      <c r="H451" s="5" t="n">
        <v>-0.001110080070338084</v>
      </c>
      <c r="I451" s="5" t="n">
        <v>-0.001016603886272074</v>
      </c>
      <c r="J451" s="5" t="n">
        <v>0.003363615689535683</v>
      </c>
      <c r="K451" s="5" t="n">
        <v>0.001840505988665675</v>
      </c>
      <c r="L451" s="5" t="n">
        <v>0.001001681260232653</v>
      </c>
      <c r="M451" s="5">
        <f>SUMPRODUCT(Exposures!$B$6:$K$6,B451:K451)</f>
        <v/>
      </c>
      <c r="N451" s="5">
        <f>IF(AND($A451&gt;=DATE(2020,2,1),$A451&lt;=DATE(2020,5,31)),$M451,"")</f>
        <v/>
      </c>
      <c r="O451" s="5">
        <f>IF(AND($A451&gt;=DATE(2022,1,1),$A451&lt;=DATE(2022,10,31)),$M451,"")</f>
        <v/>
      </c>
      <c r="P451" s="5">
        <f>IF(AND($A451&gt;=DATE(2018,10,1),$A451&lt;=DATE(2018,12,31)),$M451,"")</f>
        <v/>
      </c>
      <c r="Q451" s="5">
        <f>SUMPRODUCT(Exposures!$B$8:$K$8,B451:K451)</f>
        <v/>
      </c>
      <c r="R451" s="5">
        <f>SUMPRODUCT(Exposures!$B$9:$K$9,B451:K451)</f>
        <v/>
      </c>
      <c r="S451" s="5">
        <f>SUMPRODUCT(Exposures!$B$10:$K$10,B451:K451)</f>
        <v/>
      </c>
    </row>
    <row r="452">
      <c r="A452" s="1" t="n">
        <v>43112</v>
      </c>
      <c r="B452" s="5" t="n">
        <v>0.004257206601173531</v>
      </c>
      <c r="C452" s="5" t="n">
        <v>0.001844600948754056</v>
      </c>
      <c r="D452" s="5" t="n">
        <v>0.0003507900779289766</v>
      </c>
      <c r="E452" s="5" t="n">
        <v>-0.001136516795432614</v>
      </c>
      <c r="F452" s="5" t="n">
        <v>0.0006316926313602329</v>
      </c>
      <c r="G452" s="5" t="n">
        <v>0.00505548301110711</v>
      </c>
      <c r="H452" s="5" t="n">
        <v>-6.22923850117442e-05</v>
      </c>
      <c r="I452" s="5" t="n">
        <v>0.003553845590093971</v>
      </c>
      <c r="J452" s="5" t="n">
        <v>0.001440258000978602</v>
      </c>
      <c r="K452" s="5" t="n">
        <v>-0.0007646523612860603</v>
      </c>
      <c r="L452" s="5" t="n">
        <v>-0.00303354732263551</v>
      </c>
      <c r="M452" s="5">
        <f>SUMPRODUCT(Exposures!$B$6:$K$6,B452:K452)</f>
        <v/>
      </c>
      <c r="N452" s="5">
        <f>IF(AND($A452&gt;=DATE(2020,2,1),$A452&lt;=DATE(2020,5,31)),$M452,"")</f>
        <v/>
      </c>
      <c r="O452" s="5">
        <f>IF(AND($A452&gt;=DATE(2022,1,1),$A452&lt;=DATE(2022,10,31)),$M452,"")</f>
        <v/>
      </c>
      <c r="P452" s="5">
        <f>IF(AND($A452&gt;=DATE(2018,10,1),$A452&lt;=DATE(2018,12,31)),$M452,"")</f>
        <v/>
      </c>
      <c r="Q452" s="5">
        <f>SUMPRODUCT(Exposures!$B$8:$K$8,B452:K452)</f>
        <v/>
      </c>
      <c r="R452" s="5">
        <f>SUMPRODUCT(Exposures!$B$9:$K$9,B452:K452)</f>
        <v/>
      </c>
      <c r="S452" s="5">
        <f>SUMPRODUCT(Exposures!$B$10:$K$10,B452:K452)</f>
        <v/>
      </c>
    </row>
    <row r="453">
      <c r="A453" s="1" t="n">
        <v>43116</v>
      </c>
      <c r="B453" s="5" t="n">
        <v>-0.002779214288302735</v>
      </c>
      <c r="C453" s="5" t="n">
        <v>-0.002862513379397608</v>
      </c>
      <c r="D453" s="5" t="n">
        <v>0.0001797798765419338</v>
      </c>
      <c r="E453" s="5" t="n">
        <v>0.0001644305108922876</v>
      </c>
      <c r="F453" s="5" t="n">
        <v>0.005319355014102212</v>
      </c>
      <c r="G453" s="5" t="n">
        <v>-0.008306124638377438</v>
      </c>
      <c r="H453" s="5" t="n">
        <v>-0.001781804226438058</v>
      </c>
      <c r="I453" s="5" t="n">
        <v>0.002501658109666541</v>
      </c>
      <c r="J453" s="5" t="n">
        <v>-0.007178760554146416</v>
      </c>
      <c r="K453" s="5" t="n">
        <v>-0.005453329254520878</v>
      </c>
      <c r="L453" s="5" t="n">
        <v>-0.0002037696658626293</v>
      </c>
      <c r="M453" s="5">
        <f>SUMPRODUCT(Exposures!$B$6:$K$6,B453:K453)</f>
        <v/>
      </c>
      <c r="N453" s="5">
        <f>IF(AND($A453&gt;=DATE(2020,2,1),$A453&lt;=DATE(2020,5,31)),$M453,"")</f>
        <v/>
      </c>
      <c r="O453" s="5">
        <f>IF(AND($A453&gt;=DATE(2022,1,1),$A453&lt;=DATE(2022,10,31)),$M453,"")</f>
        <v/>
      </c>
      <c r="P453" s="5">
        <f>IF(AND($A453&gt;=DATE(2018,10,1),$A453&lt;=DATE(2018,12,31)),$M453,"")</f>
        <v/>
      </c>
      <c r="Q453" s="5">
        <f>SUMPRODUCT(Exposures!$B$8:$K$8,B453:K453)</f>
        <v/>
      </c>
      <c r="R453" s="5">
        <f>SUMPRODUCT(Exposures!$B$9:$K$9,B453:K453)</f>
        <v/>
      </c>
      <c r="S453" s="5">
        <f>SUMPRODUCT(Exposures!$B$10:$K$10,B453:K453)</f>
        <v/>
      </c>
    </row>
    <row r="454">
      <c r="A454" s="1" t="n">
        <v>43117</v>
      </c>
      <c r="B454" s="5" t="n">
        <v>0.001632454710306904</v>
      </c>
      <c r="C454" s="5" t="n">
        <v>0.001395028226490375</v>
      </c>
      <c r="D454" s="5" t="n">
        <v>0.001412533427451118</v>
      </c>
      <c r="E454" s="5" t="n">
        <v>-0.0008369120510416539</v>
      </c>
      <c r="F454" s="5" t="n">
        <v>-0.001197929828689609</v>
      </c>
      <c r="G454" s="5" t="n">
        <v>0.008787012886108007</v>
      </c>
      <c r="H454" s="5" t="n">
        <v>0.002213513365224246</v>
      </c>
      <c r="I454" s="5" t="n">
        <v>0.002316847264234634</v>
      </c>
      <c r="J454" s="5" t="n">
        <v>-0.0005363265491518346</v>
      </c>
      <c r="K454" s="5" t="n">
        <v>0.001209613665237365</v>
      </c>
      <c r="L454" s="5" t="n">
        <v>-0.004301322107641999</v>
      </c>
      <c r="M454" s="5">
        <f>SUMPRODUCT(Exposures!$B$6:$K$6,B454:K454)</f>
        <v/>
      </c>
      <c r="N454" s="5">
        <f>IF(AND($A454&gt;=DATE(2020,2,1),$A454&lt;=DATE(2020,5,31)),$M454,"")</f>
        <v/>
      </c>
      <c r="O454" s="5">
        <f>IF(AND($A454&gt;=DATE(2022,1,1),$A454&lt;=DATE(2022,10,31)),$M454,"")</f>
        <v/>
      </c>
      <c r="P454" s="5">
        <f>IF(AND($A454&gt;=DATE(2018,10,1),$A454&lt;=DATE(2018,12,31)),$M454,"")</f>
        <v/>
      </c>
      <c r="Q454" s="5">
        <f>SUMPRODUCT(Exposures!$B$8:$K$8,B454:K454)</f>
        <v/>
      </c>
      <c r="R454" s="5">
        <f>SUMPRODUCT(Exposures!$B$9:$K$9,B454:K454)</f>
        <v/>
      </c>
      <c r="S454" s="5">
        <f>SUMPRODUCT(Exposures!$B$10:$K$10,B454:K454)</f>
        <v/>
      </c>
    </row>
    <row r="455">
      <c r="A455" s="1" t="n">
        <v>43118</v>
      </c>
      <c r="B455" s="5" t="n">
        <v>-0.001273804600629809</v>
      </c>
      <c r="C455" s="5" t="n">
        <v>-0.0009021864667496065</v>
      </c>
      <c r="D455" s="5" t="n">
        <v>-0.0008289754166832158</v>
      </c>
      <c r="E455" s="5" t="n">
        <v>-0.0004320655555695772</v>
      </c>
      <c r="F455" s="5" t="n">
        <v>0.001961400692388311</v>
      </c>
      <c r="G455" s="5" t="n">
        <v>-0.003888020516499131</v>
      </c>
      <c r="H455" s="5" t="n">
        <v>-0.001821250467698485</v>
      </c>
      <c r="I455" s="5" t="n">
        <v>-0.0001725913501508233</v>
      </c>
      <c r="J455" s="5" t="n">
        <v>0.001275063297598294</v>
      </c>
      <c r="K455" s="5" t="n">
        <v>0.0007123453980247051</v>
      </c>
      <c r="L455" s="5" t="n">
        <v>5.019460943456861e-05</v>
      </c>
      <c r="M455" s="5">
        <f>SUMPRODUCT(Exposures!$B$6:$K$6,B455:K455)</f>
        <v/>
      </c>
      <c r="N455" s="5">
        <f>IF(AND($A455&gt;=DATE(2020,2,1),$A455&lt;=DATE(2020,5,31)),$M455,"")</f>
        <v/>
      </c>
      <c r="O455" s="5">
        <f>IF(AND($A455&gt;=DATE(2022,1,1),$A455&lt;=DATE(2022,10,31)),$M455,"")</f>
        <v/>
      </c>
      <c r="P455" s="5">
        <f>IF(AND($A455&gt;=DATE(2018,10,1),$A455&lt;=DATE(2018,12,31)),$M455,"")</f>
        <v/>
      </c>
      <c r="Q455" s="5">
        <f>SUMPRODUCT(Exposures!$B$8:$K$8,B455:K455)</f>
        <v/>
      </c>
      <c r="R455" s="5">
        <f>SUMPRODUCT(Exposures!$B$9:$K$9,B455:K455)</f>
        <v/>
      </c>
      <c r="S455" s="5">
        <f>SUMPRODUCT(Exposures!$B$10:$K$10,B455:K455)</f>
        <v/>
      </c>
    </row>
    <row r="456">
      <c r="A456" s="1" t="n">
        <v>43119</v>
      </c>
      <c r="B456" s="5" t="n">
        <v>0.001528011475219355</v>
      </c>
      <c r="C456" s="5" t="n">
        <v>0.0009884075713332608</v>
      </c>
      <c r="D456" s="5" t="n">
        <v>-0.0003569570033395048</v>
      </c>
      <c r="E456" s="5" t="n">
        <v>0.0007795465589589998</v>
      </c>
      <c r="F456" s="5" t="n">
        <v>-0.00172055824244928</v>
      </c>
      <c r="G456" s="5" t="n">
        <v>0.008797722821807477</v>
      </c>
      <c r="H456" s="5" t="n">
        <v>0.0005675368618529921</v>
      </c>
      <c r="I456" s="5" t="n">
        <v>0.000972358361844104</v>
      </c>
      <c r="J456" s="5" t="n">
        <v>7.391387155194313e-05</v>
      </c>
      <c r="K456" s="5" t="n">
        <v>-0.003525617972551475</v>
      </c>
      <c r="L456" s="5" t="n">
        <v>-0.0001991243607212741</v>
      </c>
      <c r="M456" s="5">
        <f>SUMPRODUCT(Exposures!$B$6:$K$6,B456:K456)</f>
        <v/>
      </c>
      <c r="N456" s="5">
        <f>IF(AND($A456&gt;=DATE(2020,2,1),$A456&lt;=DATE(2020,5,31)),$M456,"")</f>
        <v/>
      </c>
      <c r="O456" s="5">
        <f>IF(AND($A456&gt;=DATE(2022,1,1),$A456&lt;=DATE(2022,10,31)),$M456,"")</f>
        <v/>
      </c>
      <c r="P456" s="5">
        <f>IF(AND($A456&gt;=DATE(2018,10,1),$A456&lt;=DATE(2018,12,31)),$M456,"")</f>
        <v/>
      </c>
      <c r="Q456" s="5">
        <f>SUMPRODUCT(Exposures!$B$8:$K$8,B456:K456)</f>
        <v/>
      </c>
      <c r="R456" s="5">
        <f>SUMPRODUCT(Exposures!$B$9:$K$9,B456:K456)</f>
        <v/>
      </c>
      <c r="S456" s="5">
        <f>SUMPRODUCT(Exposures!$B$10:$K$10,B456:K456)</f>
        <v/>
      </c>
    </row>
    <row r="457">
      <c r="A457" s="1" t="n">
        <v>43122</v>
      </c>
      <c r="B457" s="5" t="n">
        <v>-0.002609113590441505</v>
      </c>
      <c r="C457" s="5" t="n">
        <v>-0.001454684425838679</v>
      </c>
      <c r="D457" s="5" t="n">
        <v>-0.003039723432550697</v>
      </c>
      <c r="E457" s="5" t="n">
        <v>-4.86381933835333e-05</v>
      </c>
      <c r="F457" s="5" t="n">
        <v>-0.009517200968148008</v>
      </c>
      <c r="G457" s="5" t="n">
        <v>0.008134316749785373</v>
      </c>
      <c r="H457" s="5" t="n">
        <v>0.001170253631677296</v>
      </c>
      <c r="I457" s="5" t="n">
        <v>-0.0006662989971837766</v>
      </c>
      <c r="J457" s="5" t="n">
        <v>0.01239150470583702</v>
      </c>
      <c r="K457" s="5" t="n">
        <v>0.01347829653878856</v>
      </c>
      <c r="L457" s="5" t="n">
        <v>0.00467748270842718</v>
      </c>
      <c r="M457" s="5">
        <f>SUMPRODUCT(Exposures!$B$6:$K$6,B457:K457)</f>
        <v/>
      </c>
      <c r="N457" s="5">
        <f>IF(AND($A457&gt;=DATE(2020,2,1),$A457&lt;=DATE(2020,5,31)),$M457,"")</f>
        <v/>
      </c>
      <c r="O457" s="5">
        <f>IF(AND($A457&gt;=DATE(2022,1,1),$A457&lt;=DATE(2022,10,31)),$M457,"")</f>
        <v/>
      </c>
      <c r="P457" s="5">
        <f>IF(AND($A457&gt;=DATE(2018,10,1),$A457&lt;=DATE(2018,12,31)),$M457,"")</f>
        <v/>
      </c>
      <c r="Q457" s="5">
        <f>SUMPRODUCT(Exposures!$B$8:$K$8,B457:K457)</f>
        <v/>
      </c>
      <c r="R457" s="5">
        <f>SUMPRODUCT(Exposures!$B$9:$K$9,B457:K457)</f>
        <v/>
      </c>
      <c r="S457" s="5">
        <f>SUMPRODUCT(Exposures!$B$10:$K$10,B457:K457)</f>
        <v/>
      </c>
    </row>
    <row r="458">
      <c r="A458" s="1" t="n">
        <v>43123</v>
      </c>
      <c r="B458" s="5" t="n">
        <v>-0.002798695413624964</v>
      </c>
      <c r="C458" s="5" t="n">
        <v>-0.001956519314849611</v>
      </c>
      <c r="D458" s="5" t="n">
        <v>-0.001901320689178495</v>
      </c>
      <c r="E458" s="5" t="n">
        <v>-0.00141581393236746</v>
      </c>
      <c r="F458" s="5" t="n">
        <v>0.008458806409095208</v>
      </c>
      <c r="G458" s="5" t="n">
        <v>0.003901520155539126</v>
      </c>
      <c r="H458" s="5" t="n">
        <v>0.002738515975761449</v>
      </c>
      <c r="I458" s="5" t="n">
        <v>-0.0007194027735795442</v>
      </c>
      <c r="J458" s="5" t="n">
        <v>0.003460715176918358</v>
      </c>
      <c r="K458" s="5" t="n">
        <v>-0.00561328791550516</v>
      </c>
      <c r="L458" s="5" t="n">
        <v>0.001367980164996691</v>
      </c>
      <c r="M458" s="5">
        <f>SUMPRODUCT(Exposures!$B$6:$K$6,B458:K458)</f>
        <v/>
      </c>
      <c r="N458" s="5">
        <f>IF(AND($A458&gt;=DATE(2020,2,1),$A458&lt;=DATE(2020,5,31)),$M458,"")</f>
        <v/>
      </c>
      <c r="O458" s="5">
        <f>IF(AND($A458&gt;=DATE(2022,1,1),$A458&lt;=DATE(2022,10,31)),$M458,"")</f>
        <v/>
      </c>
      <c r="P458" s="5">
        <f>IF(AND($A458&gt;=DATE(2018,10,1),$A458&lt;=DATE(2018,12,31)),$M458,"")</f>
        <v/>
      </c>
      <c r="Q458" s="5">
        <f>SUMPRODUCT(Exposures!$B$8:$K$8,B458:K458)</f>
        <v/>
      </c>
      <c r="R458" s="5">
        <f>SUMPRODUCT(Exposures!$B$9:$K$9,B458:K458)</f>
        <v/>
      </c>
      <c r="S458" s="5">
        <f>SUMPRODUCT(Exposures!$B$10:$K$10,B458:K458)</f>
        <v/>
      </c>
    </row>
    <row r="459">
      <c r="A459" s="1" t="n">
        <v>43124</v>
      </c>
      <c r="B459" s="5" t="n">
        <v>-0.004646167451563055</v>
      </c>
      <c r="C459" s="5" t="n">
        <v>0.002646810696993443</v>
      </c>
      <c r="D459" s="5" t="n">
        <v>0.002411524875261209</v>
      </c>
      <c r="E459" s="5" t="n">
        <v>-0.002325088511608975</v>
      </c>
      <c r="F459" s="5" t="n">
        <v>-0.005183248528282851</v>
      </c>
      <c r="G459" s="5" t="n">
        <v>-0.003765022349463825</v>
      </c>
      <c r="H459" s="5" t="n">
        <v>0.0008152408167288881</v>
      </c>
      <c r="I459" s="5" t="n">
        <v>-0.0002910892144934165</v>
      </c>
      <c r="J459" s="5" t="n">
        <v>0.001475370124323733</v>
      </c>
      <c r="K459" s="5" t="n">
        <v>0.008730252711113426</v>
      </c>
      <c r="L459" s="5" t="n">
        <v>0.002489691757680951</v>
      </c>
      <c r="M459" s="5">
        <f>SUMPRODUCT(Exposures!$B$6:$K$6,B459:K459)</f>
        <v/>
      </c>
      <c r="N459" s="5">
        <f>IF(AND($A459&gt;=DATE(2020,2,1),$A459&lt;=DATE(2020,5,31)),$M459,"")</f>
        <v/>
      </c>
      <c r="O459" s="5">
        <f>IF(AND($A459&gt;=DATE(2022,1,1),$A459&lt;=DATE(2022,10,31)),$M459,"")</f>
        <v/>
      </c>
      <c r="P459" s="5">
        <f>IF(AND($A459&gt;=DATE(2018,10,1),$A459&lt;=DATE(2018,12,31)),$M459,"")</f>
        <v/>
      </c>
      <c r="Q459" s="5">
        <f>SUMPRODUCT(Exposures!$B$8:$K$8,B459:K459)</f>
        <v/>
      </c>
      <c r="R459" s="5">
        <f>SUMPRODUCT(Exposures!$B$9:$K$9,B459:K459)</f>
        <v/>
      </c>
      <c r="S459" s="5">
        <f>SUMPRODUCT(Exposures!$B$10:$K$10,B459:K459)</f>
        <v/>
      </c>
    </row>
    <row r="460">
      <c r="A460" s="1" t="n">
        <v>43125</v>
      </c>
      <c r="B460" s="5" t="n">
        <v>-0.004732797601305025</v>
      </c>
      <c r="C460" s="5" t="n">
        <v>-0.001660200451692777</v>
      </c>
      <c r="D460" s="5" t="n">
        <v>0.003181634437798691</v>
      </c>
      <c r="E460" s="5" t="n">
        <v>-0.000607754296017418</v>
      </c>
      <c r="F460" s="5" t="n">
        <v>-0.0004164394958209219</v>
      </c>
      <c r="G460" s="5" t="n">
        <v>0.0002327941949902806</v>
      </c>
      <c r="H460" s="5" t="n">
        <v>0.004454230428709314</v>
      </c>
      <c r="I460" s="5" t="n">
        <v>0.0005624343730239829</v>
      </c>
      <c r="J460" s="5" t="n">
        <v>-0.00246772771064436</v>
      </c>
      <c r="K460" s="5" t="n">
        <v>-0.001181320842376276</v>
      </c>
      <c r="L460" s="5" t="n">
        <v>0.0004178621891677978</v>
      </c>
      <c r="M460" s="5">
        <f>SUMPRODUCT(Exposures!$B$6:$K$6,B460:K460)</f>
        <v/>
      </c>
      <c r="N460" s="5">
        <f>IF(AND($A460&gt;=DATE(2020,2,1),$A460&lt;=DATE(2020,5,31)),$M460,"")</f>
        <v/>
      </c>
      <c r="O460" s="5">
        <f>IF(AND($A460&gt;=DATE(2022,1,1),$A460&lt;=DATE(2022,10,31)),$M460,"")</f>
        <v/>
      </c>
      <c r="P460" s="5">
        <f>IF(AND($A460&gt;=DATE(2018,10,1),$A460&lt;=DATE(2018,12,31)),$M460,"")</f>
        <v/>
      </c>
      <c r="Q460" s="5">
        <f>SUMPRODUCT(Exposures!$B$8:$K$8,B460:K460)</f>
        <v/>
      </c>
      <c r="R460" s="5">
        <f>SUMPRODUCT(Exposures!$B$9:$K$9,B460:K460)</f>
        <v/>
      </c>
      <c r="S460" s="5">
        <f>SUMPRODUCT(Exposures!$B$10:$K$10,B460:K460)</f>
        <v/>
      </c>
    </row>
    <row r="461">
      <c r="A461" s="1" t="n">
        <v>43126</v>
      </c>
      <c r="B461" s="5" t="n">
        <v>0.0002997107311244469</v>
      </c>
      <c r="C461" s="5" t="n">
        <v>0.00472354716400975</v>
      </c>
      <c r="D461" s="5" t="n">
        <v>-0.0002743166852826208</v>
      </c>
      <c r="E461" s="5" t="n">
        <v>0.001991058711099912</v>
      </c>
      <c r="F461" s="5" t="n">
        <v>0.0004727939726989809</v>
      </c>
      <c r="G461" s="5" t="n">
        <v>0.008397353809839707</v>
      </c>
      <c r="H461" s="5" t="n">
        <v>0.002468216057027151</v>
      </c>
      <c r="I461" s="5" t="n">
        <v>0.0008719205060461441</v>
      </c>
      <c r="J461" s="5" t="n">
        <v>0.006721770001961938</v>
      </c>
      <c r="K461" s="5" t="n">
        <v>0.00477979826829458</v>
      </c>
      <c r="L461" s="5" t="n">
        <v>-0.004492686995157254</v>
      </c>
      <c r="M461" s="5">
        <f>SUMPRODUCT(Exposures!$B$6:$K$6,B461:K461)</f>
        <v/>
      </c>
      <c r="N461" s="5">
        <f>IF(AND($A461&gt;=DATE(2020,2,1),$A461&lt;=DATE(2020,5,31)),$M461,"")</f>
        <v/>
      </c>
      <c r="O461" s="5">
        <f>IF(AND($A461&gt;=DATE(2022,1,1),$A461&lt;=DATE(2022,10,31)),$M461,"")</f>
        <v/>
      </c>
      <c r="P461" s="5">
        <f>IF(AND($A461&gt;=DATE(2018,10,1),$A461&lt;=DATE(2018,12,31)),$M461,"")</f>
        <v/>
      </c>
      <c r="Q461" s="5">
        <f>SUMPRODUCT(Exposures!$B$8:$K$8,B461:K461)</f>
        <v/>
      </c>
      <c r="R461" s="5">
        <f>SUMPRODUCT(Exposures!$B$9:$K$9,B461:K461)</f>
        <v/>
      </c>
      <c r="S461" s="5">
        <f>SUMPRODUCT(Exposures!$B$10:$K$10,B461:K461)</f>
        <v/>
      </c>
    </row>
    <row r="462">
      <c r="A462" s="1" t="n">
        <v>43129</v>
      </c>
      <c r="B462" s="5" t="n">
        <v>0.002431537003650424</v>
      </c>
      <c r="C462" s="5" t="n">
        <v>0.0001143620672957372</v>
      </c>
      <c r="D462" s="5" t="n">
        <v>-0.001831678739310438</v>
      </c>
      <c r="E462" s="5" t="n">
        <v>0.0002916438924116478</v>
      </c>
      <c r="F462" s="5" t="n">
        <v>-0.001548327611477365</v>
      </c>
      <c r="G462" s="5" t="n">
        <v>-0.007821449989971304</v>
      </c>
      <c r="H462" s="5" t="n">
        <v>-0.003041597146717471</v>
      </c>
      <c r="I462" s="5" t="n">
        <v>-0.0007264364035605008</v>
      </c>
      <c r="J462" s="5" t="n">
        <v>0.001830194828502223</v>
      </c>
      <c r="K462" s="5" t="n">
        <v>0.004026930394013039</v>
      </c>
      <c r="L462" s="5" t="n">
        <v>0.001751400750215476</v>
      </c>
      <c r="M462" s="5">
        <f>SUMPRODUCT(Exposures!$B$6:$K$6,B462:K462)</f>
        <v/>
      </c>
      <c r="N462" s="5">
        <f>IF(AND($A462&gt;=DATE(2020,2,1),$A462&lt;=DATE(2020,5,31)),$M462,"")</f>
        <v/>
      </c>
      <c r="O462" s="5">
        <f>IF(AND($A462&gt;=DATE(2022,1,1),$A462&lt;=DATE(2022,10,31)),$M462,"")</f>
        <v/>
      </c>
      <c r="P462" s="5">
        <f>IF(AND($A462&gt;=DATE(2018,10,1),$A462&lt;=DATE(2018,12,31)),$M462,"")</f>
        <v/>
      </c>
      <c r="Q462" s="5">
        <f>SUMPRODUCT(Exposures!$B$8:$K$8,B462:K462)</f>
        <v/>
      </c>
      <c r="R462" s="5">
        <f>SUMPRODUCT(Exposures!$B$9:$K$9,B462:K462)</f>
        <v/>
      </c>
      <c r="S462" s="5">
        <f>SUMPRODUCT(Exposures!$B$10:$K$10,B462:K462)</f>
        <v/>
      </c>
    </row>
    <row r="463">
      <c r="A463" s="1" t="n">
        <v>43130</v>
      </c>
      <c r="B463" s="5" t="n">
        <v>-0.002637435119613088</v>
      </c>
      <c r="C463" s="5" t="n">
        <v>-4.365520439550158e-05</v>
      </c>
      <c r="D463" s="5" t="n">
        <v>0.0003565180371985565</v>
      </c>
      <c r="E463" s="5" t="n">
        <v>0.0003626606117045327</v>
      </c>
      <c r="F463" s="5" t="n">
        <v>-0.001565634584994922</v>
      </c>
      <c r="G463" s="5" t="n">
        <v>-0.01096033627085594</v>
      </c>
      <c r="H463" s="5" t="n">
        <v>9.782350670759703e-05</v>
      </c>
      <c r="I463" s="5" t="n">
        <v>-0.001281385225167036</v>
      </c>
      <c r="J463" s="5" t="n">
        <v>-0.002890592983558163</v>
      </c>
      <c r="K463" s="5" t="n">
        <v>-0.001652482117918658</v>
      </c>
      <c r="L463" s="5" t="n">
        <v>0.001297430750017739</v>
      </c>
      <c r="M463" s="5">
        <f>SUMPRODUCT(Exposures!$B$6:$K$6,B463:K463)</f>
        <v/>
      </c>
      <c r="N463" s="5">
        <f>IF(AND($A463&gt;=DATE(2020,2,1),$A463&lt;=DATE(2020,5,31)),$M463,"")</f>
        <v/>
      </c>
      <c r="O463" s="5">
        <f>IF(AND($A463&gt;=DATE(2022,1,1),$A463&lt;=DATE(2022,10,31)),$M463,"")</f>
        <v/>
      </c>
      <c r="P463" s="5">
        <f>IF(AND($A463&gt;=DATE(2018,10,1),$A463&lt;=DATE(2018,12,31)),$M463,"")</f>
        <v/>
      </c>
      <c r="Q463" s="5">
        <f>SUMPRODUCT(Exposures!$B$8:$K$8,B463:K463)</f>
        <v/>
      </c>
      <c r="R463" s="5">
        <f>SUMPRODUCT(Exposures!$B$9:$K$9,B463:K463)</f>
        <v/>
      </c>
      <c r="S463" s="5">
        <f>SUMPRODUCT(Exposures!$B$10:$K$10,B463:K463)</f>
        <v/>
      </c>
    </row>
    <row r="464">
      <c r="A464" s="1" t="n">
        <v>43131</v>
      </c>
      <c r="B464" s="5" t="n">
        <v>-0.001157531465724613</v>
      </c>
      <c r="C464" s="5" t="n">
        <v>-0.002301319107914411</v>
      </c>
      <c r="D464" s="5" t="n">
        <v>-1.9574084232404e-05</v>
      </c>
      <c r="E464" s="5" t="n">
        <v>0.00356526940989514</v>
      </c>
      <c r="F464" s="5" t="n">
        <v>0.01094787932509708</v>
      </c>
      <c r="G464" s="5" t="n">
        <v>-0.002704718363704537</v>
      </c>
      <c r="H464" s="5" t="n">
        <v>0.0020430129135394</v>
      </c>
      <c r="I464" s="5" t="n">
        <v>0.001481774995872551</v>
      </c>
      <c r="J464" s="5" t="n">
        <v>-0.006509962459211168</v>
      </c>
      <c r="K464" s="5" t="n">
        <v>-0.01035223420090474</v>
      </c>
      <c r="L464" s="5" t="n">
        <v>-0.003987856770815191</v>
      </c>
      <c r="M464" s="5">
        <f>SUMPRODUCT(Exposures!$B$6:$K$6,B464:K464)</f>
        <v/>
      </c>
      <c r="N464" s="5">
        <f>IF(AND($A464&gt;=DATE(2020,2,1),$A464&lt;=DATE(2020,5,31)),$M464,"")</f>
        <v/>
      </c>
      <c r="O464" s="5">
        <f>IF(AND($A464&gt;=DATE(2022,1,1),$A464&lt;=DATE(2022,10,31)),$M464,"")</f>
        <v/>
      </c>
      <c r="P464" s="5">
        <f>IF(AND($A464&gt;=DATE(2018,10,1),$A464&lt;=DATE(2018,12,31)),$M464,"")</f>
        <v/>
      </c>
      <c r="Q464" s="5">
        <f>SUMPRODUCT(Exposures!$B$8:$K$8,B464:K464)</f>
        <v/>
      </c>
      <c r="R464" s="5">
        <f>SUMPRODUCT(Exposures!$B$9:$K$9,B464:K464)</f>
        <v/>
      </c>
      <c r="S464" s="5">
        <f>SUMPRODUCT(Exposures!$B$10:$K$10,B464:K464)</f>
        <v/>
      </c>
    </row>
    <row r="465">
      <c r="A465" s="1" t="n">
        <v>43132</v>
      </c>
      <c r="B465" s="5" t="n">
        <v>0.004126427443070515</v>
      </c>
      <c r="C465" s="5" t="n">
        <v>-0.002548834644462154</v>
      </c>
      <c r="D465" s="5" t="n">
        <v>-0.009323693307328474</v>
      </c>
      <c r="E465" s="5" t="n">
        <v>0.00375761041288554</v>
      </c>
      <c r="F465" s="5" t="n">
        <v>-0.006999766299611316</v>
      </c>
      <c r="G465" s="5" t="n">
        <v>-0.0007632793339120732</v>
      </c>
      <c r="H465" s="5" t="n">
        <v>-0.00271377689312849</v>
      </c>
      <c r="I465" s="5" t="n">
        <v>0.001047322949596892</v>
      </c>
      <c r="J465" s="5" t="n">
        <v>-0.001726167274915629</v>
      </c>
      <c r="K465" s="5" t="n">
        <v>0.003426646102002149</v>
      </c>
      <c r="L465" s="5" t="n">
        <v>0.002560542653977221</v>
      </c>
      <c r="M465" s="5">
        <f>SUMPRODUCT(Exposures!$B$6:$K$6,B465:K465)</f>
        <v/>
      </c>
      <c r="N465" s="5">
        <f>IF(AND($A465&gt;=DATE(2020,2,1),$A465&lt;=DATE(2020,5,31)),$M465,"")</f>
        <v/>
      </c>
      <c r="O465" s="5">
        <f>IF(AND($A465&gt;=DATE(2022,1,1),$A465&lt;=DATE(2022,10,31)),$M465,"")</f>
        <v/>
      </c>
      <c r="P465" s="5">
        <f>IF(AND($A465&gt;=DATE(2018,10,1),$A465&lt;=DATE(2018,12,31)),$M465,"")</f>
        <v/>
      </c>
      <c r="Q465" s="5">
        <f>SUMPRODUCT(Exposures!$B$8:$K$8,B465:K465)</f>
        <v/>
      </c>
      <c r="R465" s="5">
        <f>SUMPRODUCT(Exposures!$B$9:$K$9,B465:K465)</f>
        <v/>
      </c>
      <c r="S465" s="5">
        <f>SUMPRODUCT(Exposures!$B$10:$K$10,B465:K465)</f>
        <v/>
      </c>
    </row>
    <row r="466">
      <c r="A466" s="1" t="n">
        <v>43133</v>
      </c>
      <c r="B466" s="5" t="n">
        <v>-0.005187678842913045</v>
      </c>
      <c r="C466" s="5" t="n">
        <v>-0.001297528112035811</v>
      </c>
      <c r="D466" s="5" t="n">
        <v>0.0002542355382008882</v>
      </c>
      <c r="E466" s="5" t="n">
        <v>-1.5056279983826e-05</v>
      </c>
      <c r="F466" s="5" t="n">
        <v>0.001449075838765881</v>
      </c>
      <c r="G466" s="5" t="n">
        <v>-0.02160013672604913</v>
      </c>
      <c r="H466" s="5" t="n">
        <v>0.0004440824067564147</v>
      </c>
      <c r="I466" s="5" t="n">
        <v>0.002939590509422137</v>
      </c>
      <c r="J466" s="5" t="n">
        <v>-0.003252862208767867</v>
      </c>
      <c r="K466" s="5" t="n">
        <v>-0.003025860839664884</v>
      </c>
      <c r="L466" s="5" t="n">
        <v>-0.0006396076061037122</v>
      </c>
      <c r="M466" s="5">
        <f>SUMPRODUCT(Exposures!$B$6:$K$6,B466:K466)</f>
        <v/>
      </c>
      <c r="N466" s="5">
        <f>IF(AND($A466&gt;=DATE(2020,2,1),$A466&lt;=DATE(2020,5,31)),$M466,"")</f>
        <v/>
      </c>
      <c r="O466" s="5">
        <f>IF(AND($A466&gt;=DATE(2022,1,1),$A466&lt;=DATE(2022,10,31)),$M466,"")</f>
        <v/>
      </c>
      <c r="P466" s="5">
        <f>IF(AND($A466&gt;=DATE(2018,10,1),$A466&lt;=DATE(2018,12,31)),$M466,"")</f>
        <v/>
      </c>
      <c r="Q466" s="5">
        <f>SUMPRODUCT(Exposures!$B$8:$K$8,B466:K466)</f>
        <v/>
      </c>
      <c r="R466" s="5">
        <f>SUMPRODUCT(Exposures!$B$9:$K$9,B466:K466)</f>
        <v/>
      </c>
      <c r="S466" s="5">
        <f>SUMPRODUCT(Exposures!$B$10:$K$10,B466:K466)</f>
        <v/>
      </c>
    </row>
    <row r="467">
      <c r="A467" s="1" t="n">
        <v>43136</v>
      </c>
      <c r="B467" s="5" t="n">
        <v>-0.005921362765274706</v>
      </c>
      <c r="C467" s="5" t="n">
        <v>-0.001121324120572393</v>
      </c>
      <c r="D467" s="5" t="n">
        <v>-7.78970442767687e-05</v>
      </c>
      <c r="E467" s="5" t="n">
        <v>-0.000761296021060348</v>
      </c>
      <c r="F467" s="5" t="n">
        <v>0.005082533366903017</v>
      </c>
      <c r="G467" s="5" t="n">
        <v>-0.03584726579938554</v>
      </c>
      <c r="H467" s="5" t="n">
        <v>0.0006696543989563155</v>
      </c>
      <c r="I467" s="5" t="n">
        <v>-0.000998453280663759</v>
      </c>
      <c r="J467" s="5" t="n">
        <v>0.0002185390578201189</v>
      </c>
      <c r="K467" s="5" t="n">
        <v>-0.008240708069791604</v>
      </c>
      <c r="L467" s="5" t="n">
        <v>-0.0003148579864064703</v>
      </c>
      <c r="M467" s="5">
        <f>SUMPRODUCT(Exposures!$B$6:$K$6,B467:K467)</f>
        <v/>
      </c>
      <c r="N467" s="5">
        <f>IF(AND($A467&gt;=DATE(2020,2,1),$A467&lt;=DATE(2020,5,31)),$M467,"")</f>
        <v/>
      </c>
      <c r="O467" s="5">
        <f>IF(AND($A467&gt;=DATE(2022,1,1),$A467&lt;=DATE(2022,10,31)),$M467,"")</f>
        <v/>
      </c>
      <c r="P467" s="5">
        <f>IF(AND($A467&gt;=DATE(2018,10,1),$A467&lt;=DATE(2018,12,31)),$M467,"")</f>
        <v/>
      </c>
      <c r="Q467" s="5">
        <f>SUMPRODUCT(Exposures!$B$8:$K$8,B467:K467)</f>
        <v/>
      </c>
      <c r="R467" s="5">
        <f>SUMPRODUCT(Exposures!$B$9:$K$9,B467:K467)</f>
        <v/>
      </c>
      <c r="S467" s="5">
        <f>SUMPRODUCT(Exposures!$B$10:$K$10,B467:K467)</f>
        <v/>
      </c>
    </row>
    <row r="468">
      <c r="A468" s="1" t="n">
        <v>43137</v>
      </c>
      <c r="B468" s="5" t="n">
        <v>0.008202241532844257</v>
      </c>
      <c r="C468" s="5" t="n">
        <v>-0.001020483754455376</v>
      </c>
      <c r="D468" s="5" t="n">
        <v>0.0006185447833439597</v>
      </c>
      <c r="E468" s="5" t="n">
        <v>-0.001132119148842989</v>
      </c>
      <c r="F468" s="5" t="n">
        <v>0.003511313190770224</v>
      </c>
      <c r="G468" s="5" t="n">
        <v>0.01362705430726167</v>
      </c>
      <c r="H468" s="5" t="n">
        <v>0.0003036891377548926</v>
      </c>
      <c r="I468" s="5" t="n">
        <v>0.003434126006181606</v>
      </c>
      <c r="J468" s="5" t="n">
        <v>0.002268415499122123</v>
      </c>
      <c r="K468" s="5" t="n">
        <v>-0.001593853880236387</v>
      </c>
      <c r="L468" s="5" t="n">
        <v>0.001927149935513523</v>
      </c>
      <c r="M468" s="5">
        <f>SUMPRODUCT(Exposures!$B$6:$K$6,B468:K468)</f>
        <v/>
      </c>
      <c r="N468" s="5">
        <f>IF(AND($A468&gt;=DATE(2020,2,1),$A468&lt;=DATE(2020,5,31)),$M468,"")</f>
        <v/>
      </c>
      <c r="O468" s="5">
        <f>IF(AND($A468&gt;=DATE(2022,1,1),$A468&lt;=DATE(2022,10,31)),$M468,"")</f>
        <v/>
      </c>
      <c r="P468" s="5">
        <f>IF(AND($A468&gt;=DATE(2018,10,1),$A468&lt;=DATE(2018,12,31)),$M468,"")</f>
        <v/>
      </c>
      <c r="Q468" s="5">
        <f>SUMPRODUCT(Exposures!$B$8:$K$8,B468:K468)</f>
        <v/>
      </c>
      <c r="R468" s="5">
        <f>SUMPRODUCT(Exposures!$B$9:$K$9,B468:K468)</f>
        <v/>
      </c>
      <c r="S468" s="5">
        <f>SUMPRODUCT(Exposures!$B$10:$K$10,B468:K468)</f>
        <v/>
      </c>
    </row>
    <row r="469">
      <c r="A469" s="1" t="n">
        <v>43138</v>
      </c>
      <c r="B469" s="5" t="n">
        <v>-0.003300867458104696</v>
      </c>
      <c r="C469" s="5" t="n">
        <v>-0.001688789146152507</v>
      </c>
      <c r="D469" s="5" t="n">
        <v>-0.001655307918690055</v>
      </c>
      <c r="E469" s="5" t="n">
        <v>0.006663396510989343</v>
      </c>
      <c r="F469" s="5" t="n">
        <v>-0.0002794409508420984</v>
      </c>
      <c r="G469" s="5" t="n">
        <v>-0.0008920550863335242</v>
      </c>
      <c r="H469" s="5" t="n">
        <v>0.0001075828451895629</v>
      </c>
      <c r="I469" s="5" t="n">
        <v>0.0004726896149923429</v>
      </c>
      <c r="J469" s="5" t="n">
        <v>0.002415928496419782</v>
      </c>
      <c r="K469" s="5" t="n">
        <v>-0.002639616451715318</v>
      </c>
      <c r="L469" s="5" t="n">
        <v>-0.001565141196364897</v>
      </c>
      <c r="M469" s="5">
        <f>SUMPRODUCT(Exposures!$B$6:$K$6,B469:K469)</f>
        <v/>
      </c>
      <c r="N469" s="5">
        <f>IF(AND($A469&gt;=DATE(2020,2,1),$A469&lt;=DATE(2020,5,31)),$M469,"")</f>
        <v/>
      </c>
      <c r="O469" s="5">
        <f>IF(AND($A469&gt;=DATE(2022,1,1),$A469&lt;=DATE(2022,10,31)),$M469,"")</f>
        <v/>
      </c>
      <c r="P469" s="5">
        <f>IF(AND($A469&gt;=DATE(2018,10,1),$A469&lt;=DATE(2018,12,31)),$M469,"")</f>
        <v/>
      </c>
      <c r="Q469" s="5">
        <f>SUMPRODUCT(Exposures!$B$8:$K$8,B469:K469)</f>
        <v/>
      </c>
      <c r="R469" s="5">
        <f>SUMPRODUCT(Exposures!$B$9:$K$9,B469:K469)</f>
        <v/>
      </c>
      <c r="S469" s="5">
        <f>SUMPRODUCT(Exposures!$B$10:$K$10,B469:K469)</f>
        <v/>
      </c>
    </row>
    <row r="470">
      <c r="A470" s="1" t="n">
        <v>43139</v>
      </c>
      <c r="B470" s="5" t="n">
        <v>-0.005511140902436162</v>
      </c>
      <c r="C470" s="5" t="n">
        <v>0.003738152685886399</v>
      </c>
      <c r="D470" s="5" t="n">
        <v>-0.001824509195059251</v>
      </c>
      <c r="E470" s="5" t="n">
        <v>-0.002771297774234025</v>
      </c>
      <c r="F470" s="5" t="n">
        <v>-0.003446868478094448</v>
      </c>
      <c r="G470" s="5" t="n">
        <v>-0.02933100021707964</v>
      </c>
      <c r="H470" s="5" t="n">
        <v>-0.005314357881087059</v>
      </c>
      <c r="I470" s="5" t="n">
        <v>9.590050457278408e-05</v>
      </c>
      <c r="J470" s="5" t="n">
        <v>0.00301365417347286</v>
      </c>
      <c r="K470" s="5" t="n">
        <v>-0.002178763177081849</v>
      </c>
      <c r="L470" s="5" t="n">
        <v>-0.00213171327294783</v>
      </c>
      <c r="M470" s="5">
        <f>SUMPRODUCT(Exposures!$B$6:$K$6,B470:K470)</f>
        <v/>
      </c>
      <c r="N470" s="5">
        <f>IF(AND($A470&gt;=DATE(2020,2,1),$A470&lt;=DATE(2020,5,31)),$M470,"")</f>
        <v/>
      </c>
      <c r="O470" s="5">
        <f>IF(AND($A470&gt;=DATE(2022,1,1),$A470&lt;=DATE(2022,10,31)),$M470,"")</f>
        <v/>
      </c>
      <c r="P470" s="5">
        <f>IF(AND($A470&gt;=DATE(2018,10,1),$A470&lt;=DATE(2018,12,31)),$M470,"")</f>
        <v/>
      </c>
      <c r="Q470" s="5">
        <f>SUMPRODUCT(Exposures!$B$8:$K$8,B470:K470)</f>
        <v/>
      </c>
      <c r="R470" s="5">
        <f>SUMPRODUCT(Exposures!$B$9:$K$9,B470:K470)</f>
        <v/>
      </c>
      <c r="S470" s="5">
        <f>SUMPRODUCT(Exposures!$B$10:$K$10,B470:K470)</f>
        <v/>
      </c>
    </row>
    <row r="471">
      <c r="A471" s="1" t="n">
        <v>43140</v>
      </c>
      <c r="B471" s="5" t="n">
        <v>0.004059030251406022</v>
      </c>
      <c r="C471" s="5" t="n">
        <v>-0.001569700785104846</v>
      </c>
      <c r="D471" s="5" t="n">
        <v>-0.001408762808603936</v>
      </c>
      <c r="E471" s="5" t="n">
        <v>-0.002356642718718434</v>
      </c>
      <c r="F471" s="5" t="n">
        <v>-0.002408991499063893</v>
      </c>
      <c r="G471" s="5" t="n">
        <v>0.008565715915039821</v>
      </c>
      <c r="H471" s="5" t="n">
        <v>0.0005817753921207578</v>
      </c>
      <c r="I471" s="5" t="n">
        <v>-0.001768703411123933</v>
      </c>
      <c r="J471" s="5" t="n">
        <v>-0.007334780205648633</v>
      </c>
      <c r="K471" s="5" t="n">
        <v>0.005995061125281263</v>
      </c>
      <c r="L471" s="5" t="n">
        <v>0.003778226713242455</v>
      </c>
      <c r="M471" s="5">
        <f>SUMPRODUCT(Exposures!$B$6:$K$6,B471:K471)</f>
        <v/>
      </c>
      <c r="N471" s="5">
        <f>IF(AND($A471&gt;=DATE(2020,2,1),$A471&lt;=DATE(2020,5,31)),$M471,"")</f>
        <v/>
      </c>
      <c r="O471" s="5">
        <f>IF(AND($A471&gt;=DATE(2022,1,1),$A471&lt;=DATE(2022,10,31)),$M471,"")</f>
        <v/>
      </c>
      <c r="P471" s="5">
        <f>IF(AND($A471&gt;=DATE(2018,10,1),$A471&lt;=DATE(2018,12,31)),$M471,"")</f>
        <v/>
      </c>
      <c r="Q471" s="5">
        <f>SUMPRODUCT(Exposures!$B$8:$K$8,B471:K471)</f>
        <v/>
      </c>
      <c r="R471" s="5">
        <f>SUMPRODUCT(Exposures!$B$9:$K$9,B471:K471)</f>
        <v/>
      </c>
      <c r="S471" s="5">
        <f>SUMPRODUCT(Exposures!$B$10:$K$10,B471:K471)</f>
        <v/>
      </c>
    </row>
    <row r="472">
      <c r="A472" s="1" t="n">
        <v>43143</v>
      </c>
      <c r="B472" s="5" t="n">
        <v>0.00481365528433275</v>
      </c>
      <c r="C472" s="5" t="n">
        <v>-0.001962755182580374</v>
      </c>
      <c r="D472" s="5" t="n">
        <v>0.001380091208408103</v>
      </c>
      <c r="E472" s="5" t="n">
        <v>0.0009268798187467795</v>
      </c>
      <c r="F472" s="5" t="n">
        <v>0.0004497157624715937</v>
      </c>
      <c r="G472" s="5" t="n">
        <v>0.01242981545949521</v>
      </c>
      <c r="H472" s="5" t="n">
        <v>-0.000100580544786983</v>
      </c>
      <c r="I472" s="5" t="n">
        <v>-0.001659798981052087</v>
      </c>
      <c r="J472" s="5" t="n">
        <v>-0.001311894182859936</v>
      </c>
      <c r="K472" s="5" t="n">
        <v>0.003054039804060509</v>
      </c>
      <c r="L472" s="5" t="n">
        <v>-0.0005652833414854562</v>
      </c>
      <c r="M472" s="5">
        <f>SUMPRODUCT(Exposures!$B$6:$K$6,B472:K472)</f>
        <v/>
      </c>
      <c r="N472" s="5">
        <f>IF(AND($A472&gt;=DATE(2020,2,1),$A472&lt;=DATE(2020,5,31)),$M472,"")</f>
        <v/>
      </c>
      <c r="O472" s="5">
        <f>IF(AND($A472&gt;=DATE(2022,1,1),$A472&lt;=DATE(2022,10,31)),$M472,"")</f>
        <v/>
      </c>
      <c r="P472" s="5">
        <f>IF(AND($A472&gt;=DATE(2018,10,1),$A472&lt;=DATE(2018,12,31)),$M472,"")</f>
        <v/>
      </c>
      <c r="Q472" s="5">
        <f>SUMPRODUCT(Exposures!$B$8:$K$8,B472:K472)</f>
        <v/>
      </c>
      <c r="R472" s="5">
        <f>SUMPRODUCT(Exposures!$B$9:$K$9,B472:K472)</f>
        <v/>
      </c>
      <c r="S472" s="5">
        <f>SUMPRODUCT(Exposures!$B$10:$K$10,B472:K472)</f>
        <v/>
      </c>
    </row>
    <row r="473">
      <c r="A473" s="1" t="n">
        <v>43144</v>
      </c>
      <c r="B473" s="5" t="n">
        <v>-0.0006271729331405833</v>
      </c>
      <c r="C473" s="5" t="n">
        <v>0.001586072363467527</v>
      </c>
      <c r="D473" s="5" t="n">
        <v>0.001980362800619636</v>
      </c>
      <c r="E473" s="5" t="n">
        <v>0.0007550391365459274</v>
      </c>
      <c r="F473" s="5" t="n">
        <v>0.001546828694885815</v>
      </c>
      <c r="G473" s="5" t="n">
        <v>0.004955382278733634</v>
      </c>
      <c r="H473" s="5" t="n">
        <v>0.002862536974856063</v>
      </c>
      <c r="I473" s="5" t="n">
        <v>0.0005683136613335915</v>
      </c>
      <c r="J473" s="5" t="n">
        <v>-0.0007381053852964227</v>
      </c>
      <c r="K473" s="5" t="n">
        <v>-0.004711050854216125</v>
      </c>
      <c r="L473" s="5" t="n">
        <v>-0.002815650013604358</v>
      </c>
      <c r="M473" s="5">
        <f>SUMPRODUCT(Exposures!$B$6:$K$6,B473:K473)</f>
        <v/>
      </c>
      <c r="N473" s="5">
        <f>IF(AND($A473&gt;=DATE(2020,2,1),$A473&lt;=DATE(2020,5,31)),$M473,"")</f>
        <v/>
      </c>
      <c r="O473" s="5">
        <f>IF(AND($A473&gt;=DATE(2022,1,1),$A473&lt;=DATE(2022,10,31)),$M473,"")</f>
        <v/>
      </c>
      <c r="P473" s="5">
        <f>IF(AND($A473&gt;=DATE(2018,10,1),$A473&lt;=DATE(2018,12,31)),$M473,"")</f>
        <v/>
      </c>
      <c r="Q473" s="5">
        <f>SUMPRODUCT(Exposures!$B$8:$K$8,B473:K473)</f>
        <v/>
      </c>
      <c r="R473" s="5">
        <f>SUMPRODUCT(Exposures!$B$9:$K$9,B473:K473)</f>
        <v/>
      </c>
      <c r="S473" s="5">
        <f>SUMPRODUCT(Exposures!$B$10:$K$10,B473:K473)</f>
        <v/>
      </c>
    </row>
    <row r="474">
      <c r="A474" s="1" t="n">
        <v>43145</v>
      </c>
      <c r="B474" s="5" t="n">
        <v>0.004394525571798904</v>
      </c>
      <c r="C474" s="5" t="n">
        <v>0.0004152311764474813</v>
      </c>
      <c r="D474" s="5" t="n">
        <v>0.002233818836425343</v>
      </c>
      <c r="E474" s="5" t="n">
        <v>-0.003705943167829737</v>
      </c>
      <c r="F474" s="5" t="n">
        <v>0.005928011659893359</v>
      </c>
      <c r="G474" s="5" t="n">
        <v>0.01601560482813071</v>
      </c>
      <c r="H474" s="5" t="n">
        <v>0.005230087982047913</v>
      </c>
      <c r="I474" s="5" t="n">
        <v>-0.0008758006997473834</v>
      </c>
      <c r="J474" s="5" t="n">
        <v>0.004448650291129792</v>
      </c>
      <c r="K474" s="5" t="n">
        <v>-0.005537333304631326</v>
      </c>
      <c r="L474" s="5" t="n">
        <v>0.002741022433700823</v>
      </c>
      <c r="M474" s="5">
        <f>SUMPRODUCT(Exposures!$B$6:$K$6,B474:K474)</f>
        <v/>
      </c>
      <c r="N474" s="5">
        <f>IF(AND($A474&gt;=DATE(2020,2,1),$A474&lt;=DATE(2020,5,31)),$M474,"")</f>
        <v/>
      </c>
      <c r="O474" s="5">
        <f>IF(AND($A474&gt;=DATE(2022,1,1),$A474&lt;=DATE(2022,10,31)),$M474,"")</f>
        <v/>
      </c>
      <c r="P474" s="5">
        <f>IF(AND($A474&gt;=DATE(2018,10,1),$A474&lt;=DATE(2018,12,31)),$M474,"")</f>
        <v/>
      </c>
      <c r="Q474" s="5">
        <f>SUMPRODUCT(Exposures!$B$8:$K$8,B474:K474)</f>
        <v/>
      </c>
      <c r="R474" s="5">
        <f>SUMPRODUCT(Exposures!$B$9:$K$9,B474:K474)</f>
        <v/>
      </c>
      <c r="S474" s="5">
        <f>SUMPRODUCT(Exposures!$B$10:$K$10,B474:K474)</f>
        <v/>
      </c>
    </row>
    <row r="475">
      <c r="A475" s="1" t="n">
        <v>43146</v>
      </c>
      <c r="B475" s="5" t="n">
        <v>-0.001303051482658605</v>
      </c>
      <c r="C475" s="5" t="n">
        <v>-0.002123308656263523</v>
      </c>
      <c r="D475" s="5" t="n">
        <v>0.0001134640349709587</v>
      </c>
      <c r="E475" s="5" t="n">
        <v>-0.00236098007247481</v>
      </c>
      <c r="F475" s="5" t="n">
        <v>-0.003691258442778962</v>
      </c>
      <c r="G475" s="5" t="n">
        <v>0.0112728260716121</v>
      </c>
      <c r="H475" s="5" t="n">
        <v>0.0003929495210842015</v>
      </c>
      <c r="I475" s="5" t="n">
        <v>0.003388707758796498</v>
      </c>
      <c r="J475" s="5" t="n">
        <v>-0.0008279301781295346</v>
      </c>
      <c r="K475" s="5" t="n">
        <v>0.004142235179630682</v>
      </c>
      <c r="L475" s="5" t="n">
        <v>-6.259342091271592e-07</v>
      </c>
      <c r="M475" s="5">
        <f>SUMPRODUCT(Exposures!$B$6:$K$6,B475:K475)</f>
        <v/>
      </c>
      <c r="N475" s="5">
        <f>IF(AND($A475&gt;=DATE(2020,2,1),$A475&lt;=DATE(2020,5,31)),$M475,"")</f>
        <v/>
      </c>
      <c r="O475" s="5">
        <f>IF(AND($A475&gt;=DATE(2022,1,1),$A475&lt;=DATE(2022,10,31)),$M475,"")</f>
        <v/>
      </c>
      <c r="P475" s="5">
        <f>IF(AND($A475&gt;=DATE(2018,10,1),$A475&lt;=DATE(2018,12,31)),$M475,"")</f>
        <v/>
      </c>
      <c r="Q475" s="5">
        <f>SUMPRODUCT(Exposures!$B$8:$K$8,B475:K475)</f>
        <v/>
      </c>
      <c r="R475" s="5">
        <f>SUMPRODUCT(Exposures!$B$9:$K$9,B475:K475)</f>
        <v/>
      </c>
      <c r="S475" s="5">
        <f>SUMPRODUCT(Exposures!$B$10:$K$10,B475:K475)</f>
        <v/>
      </c>
    </row>
    <row r="476">
      <c r="A476" s="1" t="n">
        <v>43147</v>
      </c>
      <c r="B476" s="5" t="n">
        <v>-0.001190466685062322</v>
      </c>
      <c r="C476" s="5" t="n">
        <v>-0.001464318597247388</v>
      </c>
      <c r="D476" s="5" t="n">
        <v>-0.003172952670204838</v>
      </c>
      <c r="E476" s="5" t="n">
        <v>0.002426676691106001</v>
      </c>
      <c r="F476" s="5" t="n">
        <v>0.002274300077302262</v>
      </c>
      <c r="G476" s="5" t="n">
        <v>0.001181135683009565</v>
      </c>
      <c r="H476" s="5" t="n">
        <v>0.002764920251539878</v>
      </c>
      <c r="I476" s="5" t="n">
        <v>0.002759106366128968</v>
      </c>
      <c r="J476" s="5" t="n">
        <v>-0.004626397111563586</v>
      </c>
      <c r="K476" s="5" t="n">
        <v>-0.007141276617593017</v>
      </c>
      <c r="L476" s="5" t="n">
        <v>-0.0005008656840703832</v>
      </c>
      <c r="M476" s="5">
        <f>SUMPRODUCT(Exposures!$B$6:$K$6,B476:K476)</f>
        <v/>
      </c>
      <c r="N476" s="5">
        <f>IF(AND($A476&gt;=DATE(2020,2,1),$A476&lt;=DATE(2020,5,31)),$M476,"")</f>
        <v/>
      </c>
      <c r="O476" s="5">
        <f>IF(AND($A476&gt;=DATE(2022,1,1),$A476&lt;=DATE(2022,10,31)),$M476,"")</f>
        <v/>
      </c>
      <c r="P476" s="5">
        <f>IF(AND($A476&gt;=DATE(2018,10,1),$A476&lt;=DATE(2018,12,31)),$M476,"")</f>
        <v/>
      </c>
      <c r="Q476" s="5">
        <f>SUMPRODUCT(Exposures!$B$8:$K$8,B476:K476)</f>
        <v/>
      </c>
      <c r="R476" s="5">
        <f>SUMPRODUCT(Exposures!$B$9:$K$9,B476:K476)</f>
        <v/>
      </c>
      <c r="S476" s="5">
        <f>SUMPRODUCT(Exposures!$B$10:$K$10,B476:K476)</f>
        <v/>
      </c>
    </row>
    <row r="477">
      <c r="A477" s="1" t="n">
        <v>43151</v>
      </c>
      <c r="B477" s="5" t="n">
        <v>0.005817462693062036</v>
      </c>
      <c r="C477" s="5" t="n">
        <v>0.003833868935955097</v>
      </c>
      <c r="D477" s="5" t="n">
        <v>-0.0007239714516276584</v>
      </c>
      <c r="E477" s="5" t="n">
        <v>-0.00124507180905472</v>
      </c>
      <c r="F477" s="5" t="n">
        <v>0.0044603312072471</v>
      </c>
      <c r="G477" s="5" t="n">
        <v>-0.005301957568905347</v>
      </c>
      <c r="H477" s="5" t="n">
        <v>0.0008338752711530191</v>
      </c>
      <c r="I477" s="5" t="n">
        <v>0.0002157805556713477</v>
      </c>
      <c r="J477" s="5" t="n">
        <v>0.0004939444537587479</v>
      </c>
      <c r="K477" s="5" t="n">
        <v>-0.004057647841017097</v>
      </c>
      <c r="L477" s="5" t="n">
        <v>-0.0008441973638625344</v>
      </c>
      <c r="M477" s="5">
        <f>SUMPRODUCT(Exposures!$B$6:$K$6,B477:K477)</f>
        <v/>
      </c>
      <c r="N477" s="5">
        <f>IF(AND($A477&gt;=DATE(2020,2,1),$A477&lt;=DATE(2020,5,31)),$M477,"")</f>
        <v/>
      </c>
      <c r="O477" s="5">
        <f>IF(AND($A477&gt;=DATE(2022,1,1),$A477&lt;=DATE(2022,10,31)),$M477,"")</f>
        <v/>
      </c>
      <c r="P477" s="5">
        <f>IF(AND($A477&gt;=DATE(2018,10,1),$A477&lt;=DATE(2018,12,31)),$M477,"")</f>
        <v/>
      </c>
      <c r="Q477" s="5">
        <f>SUMPRODUCT(Exposures!$B$8:$K$8,B477:K477)</f>
        <v/>
      </c>
      <c r="R477" s="5">
        <f>SUMPRODUCT(Exposures!$B$9:$K$9,B477:K477)</f>
        <v/>
      </c>
      <c r="S477" s="5">
        <f>SUMPRODUCT(Exposures!$B$10:$K$10,B477:K477)</f>
        <v/>
      </c>
    </row>
    <row r="478">
      <c r="A478" s="1" t="n">
        <v>43152</v>
      </c>
      <c r="B478" s="5" t="n">
        <v>0.003016780477913325</v>
      </c>
      <c r="C478" s="5" t="n">
        <v>0.004964348693830867</v>
      </c>
      <c r="D478" s="5" t="n">
        <v>-0.0009145197876538115</v>
      </c>
      <c r="E478" s="5" t="n">
        <v>-0.000940802829063122</v>
      </c>
      <c r="F478" s="5" t="n">
        <v>0.001929572508317583</v>
      </c>
      <c r="G478" s="5" t="n">
        <v>-0.002702863066724772</v>
      </c>
      <c r="H478" s="5" t="n">
        <v>0.0001277283130935563</v>
      </c>
      <c r="I478" s="5" t="n">
        <v>0.002651622309751486</v>
      </c>
      <c r="J478" s="5" t="n">
        <v>6.864846994398058e-05</v>
      </c>
      <c r="K478" s="5" t="n">
        <v>-0.006127756117080265</v>
      </c>
      <c r="L478" s="5" t="n">
        <v>-0.0008561097555357358</v>
      </c>
      <c r="M478" s="5">
        <f>SUMPRODUCT(Exposures!$B$6:$K$6,B478:K478)</f>
        <v/>
      </c>
      <c r="N478" s="5">
        <f>IF(AND($A478&gt;=DATE(2020,2,1),$A478&lt;=DATE(2020,5,31)),$M478,"")</f>
        <v/>
      </c>
      <c r="O478" s="5">
        <f>IF(AND($A478&gt;=DATE(2022,1,1),$A478&lt;=DATE(2022,10,31)),$M478,"")</f>
        <v/>
      </c>
      <c r="P478" s="5">
        <f>IF(AND($A478&gt;=DATE(2018,10,1),$A478&lt;=DATE(2018,12,31)),$M478,"")</f>
        <v/>
      </c>
      <c r="Q478" s="5">
        <f>SUMPRODUCT(Exposures!$B$8:$K$8,B478:K478)</f>
        <v/>
      </c>
      <c r="R478" s="5">
        <f>SUMPRODUCT(Exposures!$B$9:$K$9,B478:K478)</f>
        <v/>
      </c>
      <c r="S478" s="5">
        <f>SUMPRODUCT(Exposures!$B$10:$K$10,B478:K478)</f>
        <v/>
      </c>
    </row>
    <row r="479">
      <c r="A479" s="1" t="n">
        <v>43153</v>
      </c>
      <c r="B479" s="5" t="n">
        <v>0.001168381497059545</v>
      </c>
      <c r="C479" s="5" t="n">
        <v>0.001041281673624353</v>
      </c>
      <c r="D479" s="5" t="n">
        <v>0.002795481434767179</v>
      </c>
      <c r="E479" s="5" t="n">
        <v>-0.003495638993298058</v>
      </c>
      <c r="F479" s="5" t="n">
        <v>-0.007908831563241037</v>
      </c>
      <c r="G479" s="5" t="n">
        <v>-0.002499290696829442</v>
      </c>
      <c r="H479" s="5" t="n">
        <v>0.002766772856694331</v>
      </c>
      <c r="I479" s="5" t="n">
        <v>-0.003188868130033513</v>
      </c>
      <c r="J479" s="5" t="n">
        <v>-0.001588233022764974</v>
      </c>
      <c r="K479" s="5" t="n">
        <v>0.009177559844270634</v>
      </c>
      <c r="L479" s="5" t="n">
        <v>-0.001037663506521691</v>
      </c>
      <c r="M479" s="5">
        <f>SUMPRODUCT(Exposures!$B$6:$K$6,B479:K479)</f>
        <v/>
      </c>
      <c r="N479" s="5">
        <f>IF(AND($A479&gt;=DATE(2020,2,1),$A479&lt;=DATE(2020,5,31)),$M479,"")</f>
        <v/>
      </c>
      <c r="O479" s="5">
        <f>IF(AND($A479&gt;=DATE(2022,1,1),$A479&lt;=DATE(2022,10,31)),$M479,"")</f>
        <v/>
      </c>
      <c r="P479" s="5">
        <f>IF(AND($A479&gt;=DATE(2018,10,1),$A479&lt;=DATE(2018,12,31)),$M479,"")</f>
        <v/>
      </c>
      <c r="Q479" s="5">
        <f>SUMPRODUCT(Exposures!$B$8:$K$8,B479:K479)</f>
        <v/>
      </c>
      <c r="R479" s="5">
        <f>SUMPRODUCT(Exposures!$B$9:$K$9,B479:K479)</f>
        <v/>
      </c>
      <c r="S479" s="5">
        <f>SUMPRODUCT(Exposures!$B$10:$K$10,B479:K479)</f>
        <v/>
      </c>
    </row>
    <row r="480">
      <c r="A480" s="1" t="n">
        <v>43154</v>
      </c>
      <c r="B480" s="5" t="n">
        <v>-0.0001001179030531677</v>
      </c>
      <c r="C480" s="5" t="n">
        <v>0.002925862124709086</v>
      </c>
      <c r="D480" s="5" t="n">
        <v>-0.00046526744507714</v>
      </c>
      <c r="E480" s="5" t="n">
        <v>-2.036515272276995e-05</v>
      </c>
      <c r="F480" s="5" t="n">
        <v>-0.0005634170983562718</v>
      </c>
      <c r="G480" s="5" t="n">
        <v>0.01513201605856882</v>
      </c>
      <c r="H480" s="5" t="n">
        <v>-0.000211337918131961</v>
      </c>
      <c r="I480" s="5" t="n">
        <v>0.0002374328469153472</v>
      </c>
      <c r="J480" s="5" t="n">
        <v>0.0006534193802118695</v>
      </c>
      <c r="K480" s="5" t="n">
        <v>0.0009019708453659253</v>
      </c>
      <c r="L480" s="5" t="n">
        <v>-0.002162025163138666</v>
      </c>
      <c r="M480" s="5">
        <f>SUMPRODUCT(Exposures!$B$6:$K$6,B480:K480)</f>
        <v/>
      </c>
      <c r="N480" s="5">
        <f>IF(AND($A480&gt;=DATE(2020,2,1),$A480&lt;=DATE(2020,5,31)),$M480,"")</f>
        <v/>
      </c>
      <c r="O480" s="5">
        <f>IF(AND($A480&gt;=DATE(2022,1,1),$A480&lt;=DATE(2022,10,31)),$M480,"")</f>
        <v/>
      </c>
      <c r="P480" s="5">
        <f>IF(AND($A480&gt;=DATE(2018,10,1),$A480&lt;=DATE(2018,12,31)),$M480,"")</f>
        <v/>
      </c>
      <c r="Q480" s="5">
        <f>SUMPRODUCT(Exposures!$B$8:$K$8,B480:K480)</f>
        <v/>
      </c>
      <c r="R480" s="5">
        <f>SUMPRODUCT(Exposures!$B$9:$K$9,B480:K480)</f>
        <v/>
      </c>
      <c r="S480" s="5">
        <f>SUMPRODUCT(Exposures!$B$10:$K$10,B480:K480)</f>
        <v/>
      </c>
    </row>
    <row r="481">
      <c r="A481" s="1" t="n">
        <v>43157</v>
      </c>
      <c r="B481" s="5" t="n">
        <v>0.001992893056681219</v>
      </c>
      <c r="C481" s="5" t="n">
        <v>0.0007258931137301569</v>
      </c>
      <c r="D481" s="5" t="n">
        <v>-0.002121445228928316</v>
      </c>
      <c r="E481" s="5" t="n">
        <v>0.0002496556376360248</v>
      </c>
      <c r="F481" s="5" t="n">
        <v>-0.001363805357757391</v>
      </c>
      <c r="G481" s="5" t="n">
        <v>0.007204176425144111</v>
      </c>
      <c r="H481" s="5" t="n">
        <v>-0.0008402238750553307</v>
      </c>
      <c r="I481" s="5" t="n">
        <v>0.001266084255753769</v>
      </c>
      <c r="J481" s="5" t="n">
        <v>-1.090532376804774e-05</v>
      </c>
      <c r="K481" s="5" t="n">
        <v>0.0028507289046754</v>
      </c>
      <c r="L481" s="5" t="n">
        <v>-0.002404228964147678</v>
      </c>
      <c r="M481" s="5">
        <f>SUMPRODUCT(Exposures!$B$6:$K$6,B481:K481)</f>
        <v/>
      </c>
      <c r="N481" s="5">
        <f>IF(AND($A481&gt;=DATE(2020,2,1),$A481&lt;=DATE(2020,5,31)),$M481,"")</f>
        <v/>
      </c>
      <c r="O481" s="5">
        <f>IF(AND($A481&gt;=DATE(2022,1,1),$A481&lt;=DATE(2022,10,31)),$M481,"")</f>
        <v/>
      </c>
      <c r="P481" s="5">
        <f>IF(AND($A481&gt;=DATE(2018,10,1),$A481&lt;=DATE(2018,12,31)),$M481,"")</f>
        <v/>
      </c>
      <c r="Q481" s="5">
        <f>SUMPRODUCT(Exposures!$B$8:$K$8,B481:K481)</f>
        <v/>
      </c>
      <c r="R481" s="5">
        <f>SUMPRODUCT(Exposures!$B$9:$K$9,B481:K481)</f>
        <v/>
      </c>
      <c r="S481" s="5">
        <f>SUMPRODUCT(Exposures!$B$10:$K$10,B481:K481)</f>
        <v/>
      </c>
    </row>
    <row r="482">
      <c r="A482" s="1" t="n">
        <v>43158</v>
      </c>
      <c r="B482" s="5" t="n">
        <v>0.00153625491333945</v>
      </c>
      <c r="C482" s="5" t="n">
        <v>-0.006816725666666822</v>
      </c>
      <c r="D482" s="5" t="n">
        <v>0.002711309733274359</v>
      </c>
      <c r="E482" s="5" t="n">
        <v>0.003096173024144348</v>
      </c>
      <c r="F482" s="5" t="n">
        <v>0.001873437027920176</v>
      </c>
      <c r="G482" s="5" t="n">
        <v>-0.01485529032975021</v>
      </c>
      <c r="H482" s="5" t="n">
        <v>0.0007129778376092655</v>
      </c>
      <c r="I482" s="5" t="n">
        <v>9.243700151382496e-05</v>
      </c>
      <c r="J482" s="5" t="n">
        <v>-0.004723335383582142</v>
      </c>
      <c r="K482" s="5" t="n">
        <v>-0.0006538844707225373</v>
      </c>
      <c r="L482" s="5" t="n">
        <v>0.002955011940122379</v>
      </c>
      <c r="M482" s="5">
        <f>SUMPRODUCT(Exposures!$B$6:$K$6,B482:K482)</f>
        <v/>
      </c>
      <c r="N482" s="5">
        <f>IF(AND($A482&gt;=DATE(2020,2,1),$A482&lt;=DATE(2020,5,31)),$M482,"")</f>
        <v/>
      </c>
      <c r="O482" s="5">
        <f>IF(AND($A482&gt;=DATE(2022,1,1),$A482&lt;=DATE(2022,10,31)),$M482,"")</f>
        <v/>
      </c>
      <c r="P482" s="5">
        <f>IF(AND($A482&gt;=DATE(2018,10,1),$A482&lt;=DATE(2018,12,31)),$M482,"")</f>
        <v/>
      </c>
      <c r="Q482" s="5">
        <f>SUMPRODUCT(Exposures!$B$8:$K$8,B482:K482)</f>
        <v/>
      </c>
      <c r="R482" s="5">
        <f>SUMPRODUCT(Exposures!$B$9:$K$9,B482:K482)</f>
        <v/>
      </c>
      <c r="S482" s="5">
        <f>SUMPRODUCT(Exposures!$B$10:$K$10,B482:K482)</f>
        <v/>
      </c>
    </row>
    <row r="483">
      <c r="A483" s="1" t="n">
        <v>43159</v>
      </c>
      <c r="B483" s="5" t="n">
        <v>-0.003022178045570294</v>
      </c>
      <c r="C483" s="5" t="n">
        <v>0.003008617230878928</v>
      </c>
      <c r="D483" s="5" t="n">
        <v>0.0005434081061900705</v>
      </c>
      <c r="E483" s="5" t="n">
        <v>0.0004541895618502207</v>
      </c>
      <c r="F483" s="5" t="n">
        <v>0.002040976004455444</v>
      </c>
      <c r="G483" s="5" t="n">
        <v>-0.01130051107582403</v>
      </c>
      <c r="H483" s="5" t="n">
        <v>0.002177767487213217</v>
      </c>
      <c r="I483" s="5" t="n">
        <v>0.0002641823419880051</v>
      </c>
      <c r="J483" s="5" t="n">
        <v>0.0007721186169203614</v>
      </c>
      <c r="K483" s="5" t="n">
        <v>-0.002977742803533974</v>
      </c>
      <c r="L483" s="5" t="n">
        <v>-0.001580259729761901</v>
      </c>
      <c r="M483" s="5">
        <f>SUMPRODUCT(Exposures!$B$6:$K$6,B483:K483)</f>
        <v/>
      </c>
      <c r="N483" s="5">
        <f>IF(AND($A483&gt;=DATE(2020,2,1),$A483&lt;=DATE(2020,5,31)),$M483,"")</f>
        <v/>
      </c>
      <c r="O483" s="5">
        <f>IF(AND($A483&gt;=DATE(2022,1,1),$A483&lt;=DATE(2022,10,31)),$M483,"")</f>
        <v/>
      </c>
      <c r="P483" s="5">
        <f>IF(AND($A483&gt;=DATE(2018,10,1),$A483&lt;=DATE(2018,12,31)),$M483,"")</f>
        <v/>
      </c>
      <c r="Q483" s="5">
        <f>SUMPRODUCT(Exposures!$B$8:$K$8,B483:K483)</f>
        <v/>
      </c>
      <c r="R483" s="5">
        <f>SUMPRODUCT(Exposures!$B$9:$K$9,B483:K483)</f>
        <v/>
      </c>
      <c r="S483" s="5">
        <f>SUMPRODUCT(Exposures!$B$10:$K$10,B483:K483)</f>
        <v/>
      </c>
    </row>
    <row r="484">
      <c r="A484" s="1" t="n">
        <v>43160</v>
      </c>
      <c r="B484" s="5" t="n">
        <v>-0.003875457257108432</v>
      </c>
      <c r="C484" s="5" t="n">
        <v>0.002225357782321403</v>
      </c>
      <c r="D484" s="5" t="n">
        <v>-0.0003588147664548129</v>
      </c>
      <c r="E484" s="5" t="n">
        <v>-0.001044891146949368</v>
      </c>
      <c r="F484" s="5" t="n">
        <v>0.001348155233871229</v>
      </c>
      <c r="G484" s="5" t="n">
        <v>-0.009440093976802399</v>
      </c>
      <c r="H484" s="5" t="n">
        <v>-0.0001067104797546261</v>
      </c>
      <c r="I484" s="5" t="n">
        <v>-7.406621909046346e-06</v>
      </c>
      <c r="J484" s="5" t="n">
        <v>0.001006933837100369</v>
      </c>
      <c r="K484" s="5" t="n">
        <v>-0.005447720422465871</v>
      </c>
      <c r="L484" s="5" t="n">
        <v>-0.00175343680954906</v>
      </c>
      <c r="M484" s="5">
        <f>SUMPRODUCT(Exposures!$B$6:$K$6,B484:K484)</f>
        <v/>
      </c>
      <c r="N484" s="5">
        <f>IF(AND($A484&gt;=DATE(2020,2,1),$A484&lt;=DATE(2020,5,31)),$M484,"")</f>
        <v/>
      </c>
      <c r="O484" s="5">
        <f>IF(AND($A484&gt;=DATE(2022,1,1),$A484&lt;=DATE(2022,10,31)),$M484,"")</f>
        <v/>
      </c>
      <c r="P484" s="5">
        <f>IF(AND($A484&gt;=DATE(2018,10,1),$A484&lt;=DATE(2018,12,31)),$M484,"")</f>
        <v/>
      </c>
      <c r="Q484" s="5">
        <f>SUMPRODUCT(Exposures!$B$8:$K$8,B484:K484)</f>
        <v/>
      </c>
      <c r="R484" s="5">
        <f>SUMPRODUCT(Exposures!$B$9:$K$9,B484:K484)</f>
        <v/>
      </c>
      <c r="S484" s="5">
        <f>SUMPRODUCT(Exposures!$B$10:$K$10,B484:K484)</f>
        <v/>
      </c>
    </row>
    <row r="485">
      <c r="A485" s="1" t="n">
        <v>43161</v>
      </c>
      <c r="B485" s="5" t="n">
        <v>0.002032688953670324</v>
      </c>
      <c r="C485" s="5" t="n">
        <v>-0.001238965447266999</v>
      </c>
      <c r="D485" s="5" t="n">
        <v>0.001210581430354632</v>
      </c>
      <c r="E485" s="5" t="n">
        <v>-0.001978579080052927</v>
      </c>
      <c r="F485" s="5" t="n">
        <v>-0.004087781884678772</v>
      </c>
      <c r="G485" s="5" t="n">
        <v>0.008456686596808602</v>
      </c>
      <c r="H485" s="5" t="n">
        <v>-0.0004830911411213811</v>
      </c>
      <c r="I485" s="5" t="n">
        <v>0.0006617679606732318</v>
      </c>
      <c r="J485" s="5" t="n">
        <v>0.004311364596956625</v>
      </c>
      <c r="K485" s="5" t="n">
        <v>0.001601934116725592</v>
      </c>
      <c r="L485" s="5" t="n">
        <v>0.001679617734871997</v>
      </c>
      <c r="M485" s="5">
        <f>SUMPRODUCT(Exposures!$B$6:$K$6,B485:K485)</f>
        <v/>
      </c>
      <c r="N485" s="5">
        <f>IF(AND($A485&gt;=DATE(2020,2,1),$A485&lt;=DATE(2020,5,31)),$M485,"")</f>
        <v/>
      </c>
      <c r="O485" s="5">
        <f>IF(AND($A485&gt;=DATE(2022,1,1),$A485&lt;=DATE(2022,10,31)),$M485,"")</f>
        <v/>
      </c>
      <c r="P485" s="5">
        <f>IF(AND($A485&gt;=DATE(2018,10,1),$A485&lt;=DATE(2018,12,31)),$M485,"")</f>
        <v/>
      </c>
      <c r="Q485" s="5">
        <f>SUMPRODUCT(Exposures!$B$8:$K$8,B485:K485)</f>
        <v/>
      </c>
      <c r="R485" s="5">
        <f>SUMPRODUCT(Exposures!$B$9:$K$9,B485:K485)</f>
        <v/>
      </c>
      <c r="S485" s="5">
        <f>SUMPRODUCT(Exposures!$B$10:$K$10,B485:K485)</f>
        <v/>
      </c>
    </row>
    <row r="486">
      <c r="A486" s="1" t="n">
        <v>43164</v>
      </c>
      <c r="B486" s="5" t="n">
        <v>-0.001281072432773324</v>
      </c>
      <c r="C486" s="5" t="n">
        <v>-0.001944866835377192</v>
      </c>
      <c r="D486" s="5" t="n">
        <v>0.001852675996247789</v>
      </c>
      <c r="E486" s="5" t="n">
        <v>0.0008318054326436067</v>
      </c>
      <c r="F486" s="5" t="n">
        <v>-0.004597767299171171</v>
      </c>
      <c r="G486" s="5" t="n">
        <v>0.01082396700456633</v>
      </c>
      <c r="H486" s="5" t="n">
        <v>-0.002457530974225933</v>
      </c>
      <c r="I486" s="5" t="n">
        <v>-0.002169820184761257</v>
      </c>
      <c r="J486" s="5" t="n">
        <v>0.003179840692148564</v>
      </c>
      <c r="K486" s="5" t="n">
        <v>0.009940878848216751</v>
      </c>
      <c r="L486" s="5" t="n">
        <v>0.002284694695087045</v>
      </c>
      <c r="M486" s="5">
        <f>SUMPRODUCT(Exposures!$B$6:$K$6,B486:K486)</f>
        <v/>
      </c>
      <c r="N486" s="5">
        <f>IF(AND($A486&gt;=DATE(2020,2,1),$A486&lt;=DATE(2020,5,31)),$M486,"")</f>
        <v/>
      </c>
      <c r="O486" s="5">
        <f>IF(AND($A486&gt;=DATE(2022,1,1),$A486&lt;=DATE(2022,10,31)),$M486,"")</f>
        <v/>
      </c>
      <c r="P486" s="5">
        <f>IF(AND($A486&gt;=DATE(2018,10,1),$A486&lt;=DATE(2018,12,31)),$M486,"")</f>
        <v/>
      </c>
      <c r="Q486" s="5">
        <f>SUMPRODUCT(Exposures!$B$8:$K$8,B486:K486)</f>
        <v/>
      </c>
      <c r="R486" s="5">
        <f>SUMPRODUCT(Exposures!$B$9:$K$9,B486:K486)</f>
        <v/>
      </c>
      <c r="S486" s="5">
        <f>SUMPRODUCT(Exposures!$B$10:$K$10,B486:K486)</f>
        <v/>
      </c>
    </row>
    <row r="487">
      <c r="A487" s="1" t="n">
        <v>43165</v>
      </c>
      <c r="B487" s="5" t="n">
        <v>0.003726980088016542</v>
      </c>
      <c r="C487" s="5" t="n">
        <v>0.0007490661959188951</v>
      </c>
      <c r="D487" s="5" t="n">
        <v>-0.002881635210959751</v>
      </c>
      <c r="E487" s="5" t="n">
        <v>-0.004058908744083563</v>
      </c>
      <c r="F487" s="5" t="n">
        <v>0.0044414103946625</v>
      </c>
      <c r="G487" s="5" t="n">
        <v>0.005633382709376565</v>
      </c>
      <c r="H487" s="5" t="n">
        <v>0.0007103988499246494</v>
      </c>
      <c r="I487" s="5" t="n">
        <v>-0.002189349999640241</v>
      </c>
      <c r="J487" s="5" t="n">
        <v>-0.0006911270418210155</v>
      </c>
      <c r="K487" s="5" t="n">
        <v>-0.005016228425275289</v>
      </c>
      <c r="L487" s="5" t="n">
        <v>0.001294343980645032</v>
      </c>
      <c r="M487" s="5">
        <f>SUMPRODUCT(Exposures!$B$6:$K$6,B487:K487)</f>
        <v/>
      </c>
      <c r="N487" s="5">
        <f>IF(AND($A487&gt;=DATE(2020,2,1),$A487&lt;=DATE(2020,5,31)),$M487,"")</f>
        <v/>
      </c>
      <c r="O487" s="5">
        <f>IF(AND($A487&gt;=DATE(2022,1,1),$A487&lt;=DATE(2022,10,31)),$M487,"")</f>
        <v/>
      </c>
      <c r="P487" s="5">
        <f>IF(AND($A487&gt;=DATE(2018,10,1),$A487&lt;=DATE(2018,12,31)),$M487,"")</f>
        <v/>
      </c>
      <c r="Q487" s="5">
        <f>SUMPRODUCT(Exposures!$B$8:$K$8,B487:K487)</f>
        <v/>
      </c>
      <c r="R487" s="5">
        <f>SUMPRODUCT(Exposures!$B$9:$K$9,B487:K487)</f>
        <v/>
      </c>
      <c r="S487" s="5">
        <f>SUMPRODUCT(Exposures!$B$10:$K$10,B487:K487)</f>
        <v/>
      </c>
    </row>
    <row r="488">
      <c r="A488" s="1" t="n">
        <v>43166</v>
      </c>
      <c r="B488" s="5" t="n">
        <v>0.002343066657238018</v>
      </c>
      <c r="C488" s="5" t="n">
        <v>-0.006125885662649391</v>
      </c>
      <c r="D488" s="5" t="n">
        <v>0.001629563246214182</v>
      </c>
      <c r="E488" s="5" t="n">
        <v>0.0004606716776097945</v>
      </c>
      <c r="F488" s="5" t="n">
        <v>0.002651549574100071</v>
      </c>
      <c r="G488" s="5" t="n">
        <v>0.004679187866105669</v>
      </c>
      <c r="H488" s="5" t="n">
        <v>0.003020675145731265</v>
      </c>
      <c r="I488" s="5" t="n">
        <v>0.001177700491128306</v>
      </c>
      <c r="J488" s="5" t="n">
        <v>0.001526930149380145</v>
      </c>
      <c r="K488" s="5" t="n">
        <v>-0.004511225874264703</v>
      </c>
      <c r="L488" s="5" t="n">
        <v>0.001015353134809399</v>
      </c>
      <c r="M488" s="5">
        <f>SUMPRODUCT(Exposures!$B$6:$K$6,B488:K488)</f>
        <v/>
      </c>
      <c r="N488" s="5">
        <f>IF(AND($A488&gt;=DATE(2020,2,1),$A488&lt;=DATE(2020,5,31)),$M488,"")</f>
        <v/>
      </c>
      <c r="O488" s="5">
        <f>IF(AND($A488&gt;=DATE(2022,1,1),$A488&lt;=DATE(2022,10,31)),$M488,"")</f>
        <v/>
      </c>
      <c r="P488" s="5">
        <f>IF(AND($A488&gt;=DATE(2018,10,1),$A488&lt;=DATE(2018,12,31)),$M488,"")</f>
        <v/>
      </c>
      <c r="Q488" s="5">
        <f>SUMPRODUCT(Exposures!$B$8:$K$8,B488:K488)</f>
        <v/>
      </c>
      <c r="R488" s="5">
        <f>SUMPRODUCT(Exposures!$B$9:$K$9,B488:K488)</f>
        <v/>
      </c>
      <c r="S488" s="5">
        <f>SUMPRODUCT(Exposures!$B$10:$K$10,B488:K488)</f>
        <v/>
      </c>
    </row>
    <row r="489">
      <c r="A489" s="1" t="n">
        <v>43167</v>
      </c>
      <c r="B489" s="5" t="n">
        <v>-0.001987768513013661</v>
      </c>
      <c r="C489" s="5" t="n">
        <v>0.001831550233199915</v>
      </c>
      <c r="D489" s="5" t="n">
        <v>0.001126623182165126</v>
      </c>
      <c r="E489" s="5" t="n">
        <v>-0.001959783720750775</v>
      </c>
      <c r="F489" s="5" t="n">
        <v>-0.01013426796352419</v>
      </c>
      <c r="G489" s="5" t="n">
        <v>0.003719452405797556</v>
      </c>
      <c r="H489" s="5" t="n">
        <v>-0.001373147204562826</v>
      </c>
      <c r="I489" s="5" t="n">
        <v>-0.0005127056067191786</v>
      </c>
      <c r="J489" s="5" t="n">
        <v>0.003019201609749538</v>
      </c>
      <c r="K489" s="5" t="n">
        <v>0.01247357575102639</v>
      </c>
      <c r="L489" s="5" t="n">
        <v>-0.0007698847089952331</v>
      </c>
      <c r="M489" s="5">
        <f>SUMPRODUCT(Exposures!$B$6:$K$6,B489:K489)</f>
        <v/>
      </c>
      <c r="N489" s="5">
        <f>IF(AND($A489&gt;=DATE(2020,2,1),$A489&lt;=DATE(2020,5,31)),$M489,"")</f>
        <v/>
      </c>
      <c r="O489" s="5">
        <f>IF(AND($A489&gt;=DATE(2022,1,1),$A489&lt;=DATE(2022,10,31)),$M489,"")</f>
        <v/>
      </c>
      <c r="P489" s="5">
        <f>IF(AND($A489&gt;=DATE(2018,10,1),$A489&lt;=DATE(2018,12,31)),$M489,"")</f>
        <v/>
      </c>
      <c r="Q489" s="5">
        <f>SUMPRODUCT(Exposures!$B$8:$K$8,B489:K489)</f>
        <v/>
      </c>
      <c r="R489" s="5">
        <f>SUMPRODUCT(Exposures!$B$9:$K$9,B489:K489)</f>
        <v/>
      </c>
      <c r="S489" s="5">
        <f>SUMPRODUCT(Exposures!$B$10:$K$10,B489:K489)</f>
        <v/>
      </c>
    </row>
    <row r="490">
      <c r="A490" s="1" t="n">
        <v>43168</v>
      </c>
      <c r="B490" s="5" t="n">
        <v>0.004802117612523012</v>
      </c>
      <c r="C490" s="5" t="n">
        <v>0.001819023264727632</v>
      </c>
      <c r="D490" s="5" t="n">
        <v>0.000658923295734786</v>
      </c>
      <c r="E490" s="5" t="n">
        <v>-0.001406842615828867</v>
      </c>
      <c r="F490" s="5" t="n">
        <v>-0.002665510722488861</v>
      </c>
      <c r="G490" s="5" t="n">
        <v>0.01539662857872798</v>
      </c>
      <c r="H490" s="5" t="n">
        <v>0.002894879518701277</v>
      </c>
      <c r="I490" s="5" t="n">
        <v>6.323910434206264e-05</v>
      </c>
      <c r="J490" s="5" t="n">
        <v>-0.002521757969859811</v>
      </c>
      <c r="K490" s="5" t="n">
        <v>0.001952094053487446</v>
      </c>
      <c r="L490" s="5" t="n">
        <v>0.001611794306560795</v>
      </c>
      <c r="M490" s="5">
        <f>SUMPRODUCT(Exposures!$B$6:$K$6,B490:K490)</f>
        <v/>
      </c>
      <c r="N490" s="5">
        <f>IF(AND($A490&gt;=DATE(2020,2,1),$A490&lt;=DATE(2020,5,31)),$M490,"")</f>
        <v/>
      </c>
      <c r="O490" s="5">
        <f>IF(AND($A490&gt;=DATE(2022,1,1),$A490&lt;=DATE(2022,10,31)),$M490,"")</f>
        <v/>
      </c>
      <c r="P490" s="5">
        <f>IF(AND($A490&gt;=DATE(2018,10,1),$A490&lt;=DATE(2018,12,31)),$M490,"")</f>
        <v/>
      </c>
      <c r="Q490" s="5">
        <f>SUMPRODUCT(Exposures!$B$8:$K$8,B490:K490)</f>
        <v/>
      </c>
      <c r="R490" s="5">
        <f>SUMPRODUCT(Exposures!$B$9:$K$9,B490:K490)</f>
        <v/>
      </c>
      <c r="S490" s="5">
        <f>SUMPRODUCT(Exposures!$B$10:$K$10,B490:K490)</f>
        <v/>
      </c>
    </row>
    <row r="491">
      <c r="A491" s="1" t="n">
        <v>43171</v>
      </c>
      <c r="B491" s="5" t="n">
        <v>0.0001450708577412526</v>
      </c>
      <c r="C491" s="5" t="n">
        <v>0.0005592337804397778</v>
      </c>
      <c r="D491" s="5" t="n">
        <v>0.0005376834385602172</v>
      </c>
      <c r="E491" s="5" t="n">
        <v>-0.002620453761652703</v>
      </c>
      <c r="F491" s="5" t="n">
        <v>0.002809823233735865</v>
      </c>
      <c r="G491" s="5" t="n">
        <v>0.0006953032449393986</v>
      </c>
      <c r="H491" s="5" t="n">
        <v>-0.002520843307941111</v>
      </c>
      <c r="I491" s="5" t="n">
        <v>0.0007289572967554811</v>
      </c>
      <c r="J491" s="5" t="n">
        <v>0.002777493065158971</v>
      </c>
      <c r="K491" s="5" t="n">
        <v>-0.002310629067524138</v>
      </c>
      <c r="L491" s="5" t="n">
        <v>0.001237476253824078</v>
      </c>
      <c r="M491" s="5">
        <f>SUMPRODUCT(Exposures!$B$6:$K$6,B491:K491)</f>
        <v/>
      </c>
      <c r="N491" s="5">
        <f>IF(AND($A491&gt;=DATE(2020,2,1),$A491&lt;=DATE(2020,5,31)),$M491,"")</f>
        <v/>
      </c>
      <c r="O491" s="5">
        <f>IF(AND($A491&gt;=DATE(2022,1,1),$A491&lt;=DATE(2022,10,31)),$M491,"")</f>
        <v/>
      </c>
      <c r="P491" s="5">
        <f>IF(AND($A491&gt;=DATE(2018,10,1),$A491&lt;=DATE(2018,12,31)),$M491,"")</f>
        <v/>
      </c>
      <c r="Q491" s="5">
        <f>SUMPRODUCT(Exposures!$B$8:$K$8,B491:K491)</f>
        <v/>
      </c>
      <c r="R491" s="5">
        <f>SUMPRODUCT(Exposures!$B$9:$K$9,B491:K491)</f>
        <v/>
      </c>
      <c r="S491" s="5">
        <f>SUMPRODUCT(Exposures!$B$10:$K$10,B491:K491)</f>
        <v/>
      </c>
    </row>
    <row r="492">
      <c r="A492" s="1" t="n">
        <v>43172</v>
      </c>
      <c r="B492" s="5" t="n">
        <v>-0.002741358385630987</v>
      </c>
      <c r="C492" s="5" t="n">
        <v>0.001754166165785337</v>
      </c>
      <c r="D492" s="5" t="n">
        <v>-0.002289574108748664</v>
      </c>
      <c r="E492" s="5" t="n">
        <v>0.0003697741815187008</v>
      </c>
      <c r="F492" s="5" t="n">
        <v>-0.001356250334190294</v>
      </c>
      <c r="G492" s="5" t="n">
        <v>-0.00595172513639346</v>
      </c>
      <c r="H492" s="5" t="n">
        <v>-0.001351479614076946</v>
      </c>
      <c r="I492" s="5" t="n">
        <v>-0.001978643225954248</v>
      </c>
      <c r="J492" s="5" t="n">
        <v>0.0006869869437096004</v>
      </c>
      <c r="K492" s="5" t="n">
        <v>0.002005168774228314</v>
      </c>
      <c r="L492" s="5" t="n">
        <v>-0.001719087471382121</v>
      </c>
      <c r="M492" s="5">
        <f>SUMPRODUCT(Exposures!$B$6:$K$6,B492:K492)</f>
        <v/>
      </c>
      <c r="N492" s="5">
        <f>IF(AND($A492&gt;=DATE(2020,2,1),$A492&lt;=DATE(2020,5,31)),$M492,"")</f>
        <v/>
      </c>
      <c r="O492" s="5">
        <f>IF(AND($A492&gt;=DATE(2022,1,1),$A492&lt;=DATE(2022,10,31)),$M492,"")</f>
        <v/>
      </c>
      <c r="P492" s="5">
        <f>IF(AND($A492&gt;=DATE(2018,10,1),$A492&lt;=DATE(2018,12,31)),$M492,"")</f>
        <v/>
      </c>
      <c r="Q492" s="5">
        <f>SUMPRODUCT(Exposures!$B$8:$K$8,B492:K492)</f>
        <v/>
      </c>
      <c r="R492" s="5">
        <f>SUMPRODUCT(Exposures!$B$9:$K$9,B492:K492)</f>
        <v/>
      </c>
      <c r="S492" s="5">
        <f>SUMPRODUCT(Exposures!$B$10:$K$10,B492:K492)</f>
        <v/>
      </c>
    </row>
    <row r="493">
      <c r="A493" s="1" t="n">
        <v>43173</v>
      </c>
      <c r="B493" s="5" t="n">
        <v>-0.001263387352303269</v>
      </c>
      <c r="C493" s="5" t="n">
        <v>0.002009083726708572</v>
      </c>
      <c r="D493" s="5" t="n">
        <v>0.0007597489675623982</v>
      </c>
      <c r="E493" s="5" t="n">
        <v>-0.00378005662152691</v>
      </c>
      <c r="F493" s="5" t="n">
        <v>-0.001217689593561901</v>
      </c>
      <c r="G493" s="5" t="n">
        <v>-0.005380332316519013</v>
      </c>
      <c r="H493" s="5" t="n">
        <v>0.002927762004390926</v>
      </c>
      <c r="I493" s="5" t="n">
        <v>0.001361570470310143</v>
      </c>
      <c r="J493" s="5" t="n">
        <v>0.0002848428059295966</v>
      </c>
      <c r="K493" s="5" t="n">
        <v>-0.0007709590285313532</v>
      </c>
      <c r="L493" s="5" t="n">
        <v>-8.642043683301682e-05</v>
      </c>
      <c r="M493" s="5">
        <f>SUMPRODUCT(Exposures!$B$6:$K$6,B493:K493)</f>
        <v/>
      </c>
      <c r="N493" s="5">
        <f>IF(AND($A493&gt;=DATE(2020,2,1),$A493&lt;=DATE(2020,5,31)),$M493,"")</f>
        <v/>
      </c>
      <c r="O493" s="5">
        <f>IF(AND($A493&gt;=DATE(2022,1,1),$A493&lt;=DATE(2022,10,31)),$M493,"")</f>
        <v/>
      </c>
      <c r="P493" s="5">
        <f>IF(AND($A493&gt;=DATE(2018,10,1),$A493&lt;=DATE(2018,12,31)),$M493,"")</f>
        <v/>
      </c>
      <c r="Q493" s="5">
        <f>SUMPRODUCT(Exposures!$B$8:$K$8,B493:K493)</f>
        <v/>
      </c>
      <c r="R493" s="5">
        <f>SUMPRODUCT(Exposures!$B$9:$K$9,B493:K493)</f>
        <v/>
      </c>
      <c r="S493" s="5">
        <f>SUMPRODUCT(Exposures!$B$10:$K$10,B493:K493)</f>
        <v/>
      </c>
    </row>
    <row r="494">
      <c r="A494" s="1" t="n">
        <v>43174</v>
      </c>
      <c r="B494" s="5" t="n">
        <v>0.0005565155337512028</v>
      </c>
      <c r="C494" s="5" t="n">
        <v>0.001437572606653345</v>
      </c>
      <c r="D494" s="5" t="n">
        <v>8.088156215868901e-05</v>
      </c>
      <c r="E494" s="5" t="n">
        <v>-0.00359869969215924</v>
      </c>
      <c r="F494" s="5" t="n">
        <v>-0.006938620789211423</v>
      </c>
      <c r="G494" s="5" t="n">
        <v>-0.001405942487483541</v>
      </c>
      <c r="H494" s="5" t="n">
        <v>-0.0003559227132528172</v>
      </c>
      <c r="I494" s="5" t="n">
        <v>-0.001525672239634551</v>
      </c>
      <c r="J494" s="5" t="n">
        <v>0.002071797227733476</v>
      </c>
      <c r="K494" s="5" t="n">
        <v>0.009872403835980726</v>
      </c>
      <c r="L494" s="5" t="n">
        <v>0.003291055219597004</v>
      </c>
      <c r="M494" s="5">
        <f>SUMPRODUCT(Exposures!$B$6:$K$6,B494:K494)</f>
        <v/>
      </c>
      <c r="N494" s="5">
        <f>IF(AND($A494&gt;=DATE(2020,2,1),$A494&lt;=DATE(2020,5,31)),$M494,"")</f>
        <v/>
      </c>
      <c r="O494" s="5">
        <f>IF(AND($A494&gt;=DATE(2022,1,1),$A494&lt;=DATE(2022,10,31)),$M494,"")</f>
        <v/>
      </c>
      <c r="P494" s="5">
        <f>IF(AND($A494&gt;=DATE(2018,10,1),$A494&lt;=DATE(2018,12,31)),$M494,"")</f>
        <v/>
      </c>
      <c r="Q494" s="5">
        <f>SUMPRODUCT(Exposures!$B$8:$K$8,B494:K494)</f>
        <v/>
      </c>
      <c r="R494" s="5">
        <f>SUMPRODUCT(Exposures!$B$9:$K$9,B494:K494)</f>
        <v/>
      </c>
      <c r="S494" s="5">
        <f>SUMPRODUCT(Exposures!$B$10:$K$10,B494:K494)</f>
        <v/>
      </c>
    </row>
    <row r="495">
      <c r="A495" s="1" t="n">
        <v>43175</v>
      </c>
      <c r="B495" s="5" t="n">
        <v>-0.003558400564355704</v>
      </c>
      <c r="C495" s="5" t="n">
        <v>2.866144342178391e-05</v>
      </c>
      <c r="D495" s="5" t="n">
        <v>0.001146465727602706</v>
      </c>
      <c r="E495" s="5" t="n">
        <v>-0.0006390456839104372</v>
      </c>
      <c r="F495" s="5" t="n">
        <v>-0.01519233269168014</v>
      </c>
      <c r="G495" s="5" t="n">
        <v>0.005880623238893985</v>
      </c>
      <c r="H495" s="5" t="n">
        <v>-0.000180108729415675</v>
      </c>
      <c r="I495" s="5" t="n">
        <v>-0.003004633271173859</v>
      </c>
      <c r="J495" s="5" t="n">
        <v>0.007651436040736973</v>
      </c>
      <c r="K495" s="5" t="n">
        <v>0.01650726708173102</v>
      </c>
      <c r="L495" s="5" t="n">
        <v>0.003512960797072123</v>
      </c>
      <c r="M495" s="5">
        <f>SUMPRODUCT(Exposures!$B$6:$K$6,B495:K495)</f>
        <v/>
      </c>
      <c r="N495" s="5">
        <f>IF(AND($A495&gt;=DATE(2020,2,1),$A495&lt;=DATE(2020,5,31)),$M495,"")</f>
        <v/>
      </c>
      <c r="O495" s="5">
        <f>IF(AND($A495&gt;=DATE(2022,1,1),$A495&lt;=DATE(2022,10,31)),$M495,"")</f>
        <v/>
      </c>
      <c r="P495" s="5">
        <f>IF(AND($A495&gt;=DATE(2018,10,1),$A495&lt;=DATE(2018,12,31)),$M495,"")</f>
        <v/>
      </c>
      <c r="Q495" s="5">
        <f>SUMPRODUCT(Exposures!$B$8:$K$8,B495:K495)</f>
        <v/>
      </c>
      <c r="R495" s="5">
        <f>SUMPRODUCT(Exposures!$B$9:$K$9,B495:K495)</f>
        <v/>
      </c>
      <c r="S495" s="5">
        <f>SUMPRODUCT(Exposures!$B$10:$K$10,B495:K495)</f>
        <v/>
      </c>
    </row>
    <row r="496">
      <c r="A496" s="1" t="n">
        <v>43178</v>
      </c>
      <c r="B496" s="5" t="n">
        <v>-0.002866445465660477</v>
      </c>
      <c r="C496" s="5" t="n">
        <v>-5.652573008032143e-05</v>
      </c>
      <c r="D496" s="5" t="n">
        <v>-0.002275559062538374</v>
      </c>
      <c r="E496" s="5" t="n">
        <v>0.001572140784154167</v>
      </c>
      <c r="F496" s="5" t="n">
        <v>-0.001941222035249722</v>
      </c>
      <c r="G496" s="5" t="n">
        <v>-0.01132447129777889</v>
      </c>
      <c r="H496" s="5" t="n">
        <v>0.001333109741910872</v>
      </c>
      <c r="I496" s="5" t="n">
        <v>-0.001260464461072667</v>
      </c>
      <c r="J496" s="5" t="n">
        <v>-0.001129758609654102</v>
      </c>
      <c r="K496" s="5" t="n">
        <v>-1.343745829066739e-05</v>
      </c>
      <c r="L496" s="5" t="n">
        <v>-0.0004563812325224423</v>
      </c>
      <c r="M496" s="5">
        <f>SUMPRODUCT(Exposures!$B$6:$K$6,B496:K496)</f>
        <v/>
      </c>
      <c r="N496" s="5">
        <f>IF(AND($A496&gt;=DATE(2020,2,1),$A496&lt;=DATE(2020,5,31)),$M496,"")</f>
        <v/>
      </c>
      <c r="O496" s="5">
        <f>IF(AND($A496&gt;=DATE(2022,1,1),$A496&lt;=DATE(2022,10,31)),$M496,"")</f>
        <v/>
      </c>
      <c r="P496" s="5">
        <f>IF(AND($A496&gt;=DATE(2018,10,1),$A496&lt;=DATE(2018,12,31)),$M496,"")</f>
        <v/>
      </c>
      <c r="Q496" s="5">
        <f>SUMPRODUCT(Exposures!$B$8:$K$8,B496:K496)</f>
        <v/>
      </c>
      <c r="R496" s="5">
        <f>SUMPRODUCT(Exposures!$B$9:$K$9,B496:K496)</f>
        <v/>
      </c>
      <c r="S496" s="5">
        <f>SUMPRODUCT(Exposures!$B$10:$K$10,B496:K496)</f>
        <v/>
      </c>
    </row>
    <row r="497">
      <c r="A497" s="1" t="n">
        <v>43179</v>
      </c>
      <c r="B497" s="5" t="n">
        <v>-0.001582631228175841</v>
      </c>
      <c r="C497" s="5" t="n">
        <v>-8.567046236185869e-05</v>
      </c>
      <c r="D497" s="5" t="n">
        <v>-0.002436321939530331</v>
      </c>
      <c r="E497" s="5" t="n">
        <v>-0.0003405516771987411</v>
      </c>
      <c r="F497" s="5" t="n">
        <v>0.003806975972655497</v>
      </c>
      <c r="G497" s="5" t="n">
        <v>-0.0002666958253974741</v>
      </c>
      <c r="H497" s="5" t="n">
        <v>0.006363091655965645</v>
      </c>
      <c r="I497" s="5" t="n">
        <v>0.00151723898974189</v>
      </c>
      <c r="J497" s="5" t="n">
        <v>0.0004351510552249608</v>
      </c>
      <c r="K497" s="5" t="n">
        <v>-0.002697565587508889</v>
      </c>
      <c r="L497" s="5" t="n">
        <v>3.648985013059872e-05</v>
      </c>
      <c r="M497" s="5">
        <f>SUMPRODUCT(Exposures!$B$6:$K$6,B497:K497)</f>
        <v/>
      </c>
      <c r="N497" s="5">
        <f>IF(AND($A497&gt;=DATE(2020,2,1),$A497&lt;=DATE(2020,5,31)),$M497,"")</f>
        <v/>
      </c>
      <c r="O497" s="5">
        <f>IF(AND($A497&gt;=DATE(2022,1,1),$A497&lt;=DATE(2022,10,31)),$M497,"")</f>
        <v/>
      </c>
      <c r="P497" s="5">
        <f>IF(AND($A497&gt;=DATE(2018,10,1),$A497&lt;=DATE(2018,12,31)),$M497,"")</f>
        <v/>
      </c>
      <c r="Q497" s="5">
        <f>SUMPRODUCT(Exposures!$B$8:$K$8,B497:K497)</f>
        <v/>
      </c>
      <c r="R497" s="5">
        <f>SUMPRODUCT(Exposures!$B$9:$K$9,B497:K497)</f>
        <v/>
      </c>
      <c r="S497" s="5">
        <f>SUMPRODUCT(Exposures!$B$10:$K$10,B497:K497)</f>
        <v/>
      </c>
    </row>
    <row r="498">
      <c r="A498" s="1" t="n">
        <v>43180</v>
      </c>
      <c r="B498" s="5" t="n">
        <v>0.004778759681644637</v>
      </c>
      <c r="C498" s="5" t="n">
        <v>-0.001713665322106321</v>
      </c>
      <c r="D498" s="5" t="n">
        <v>-0.001460082909570386</v>
      </c>
      <c r="E498" s="5" t="n">
        <v>0.0004364615290939801</v>
      </c>
      <c r="F498" s="5" t="n">
        <v>-0.005088713899240292</v>
      </c>
      <c r="G498" s="5" t="n">
        <v>0.002142336000490489</v>
      </c>
      <c r="H498" s="5" t="n">
        <v>-0.0009755371564480252</v>
      </c>
      <c r="I498" s="5" t="n">
        <v>-0.001841442493366137</v>
      </c>
      <c r="J498" s="5" t="n">
        <v>0.002339839974698949</v>
      </c>
      <c r="K498" s="5" t="n">
        <v>0.002656849963004955</v>
      </c>
      <c r="L498" s="5" t="n">
        <v>0.002388689951263915</v>
      </c>
      <c r="M498" s="5">
        <f>SUMPRODUCT(Exposures!$B$6:$K$6,B498:K498)</f>
        <v/>
      </c>
      <c r="N498" s="5">
        <f>IF(AND($A498&gt;=DATE(2020,2,1),$A498&lt;=DATE(2020,5,31)),$M498,"")</f>
        <v/>
      </c>
      <c r="O498" s="5">
        <f>IF(AND($A498&gt;=DATE(2022,1,1),$A498&lt;=DATE(2022,10,31)),$M498,"")</f>
        <v/>
      </c>
      <c r="P498" s="5">
        <f>IF(AND($A498&gt;=DATE(2018,10,1),$A498&lt;=DATE(2018,12,31)),$M498,"")</f>
        <v/>
      </c>
      <c r="Q498" s="5">
        <f>SUMPRODUCT(Exposures!$B$8:$K$8,B498:K498)</f>
        <v/>
      </c>
      <c r="R498" s="5">
        <f>SUMPRODUCT(Exposures!$B$9:$K$9,B498:K498)</f>
        <v/>
      </c>
      <c r="S498" s="5">
        <f>SUMPRODUCT(Exposures!$B$10:$K$10,B498:K498)</f>
        <v/>
      </c>
    </row>
    <row r="499">
      <c r="A499" s="1" t="n">
        <v>43181</v>
      </c>
      <c r="B499" s="5" t="n">
        <v>-0.007618789053010127</v>
      </c>
      <c r="C499" s="5" t="n">
        <v>-0.001521994097943004</v>
      </c>
      <c r="D499" s="5" t="n">
        <v>0.0002642727467252359</v>
      </c>
      <c r="E499" s="5" t="n">
        <v>-0.001971911320175702</v>
      </c>
      <c r="F499" s="5" t="n">
        <v>0.001831579624947259</v>
      </c>
      <c r="G499" s="5" t="n">
        <v>-0.02406082447619335</v>
      </c>
      <c r="H499" s="5" t="n">
        <v>-0.005133330977011013</v>
      </c>
      <c r="I499" s="5" t="n">
        <v>0.001650251683673009</v>
      </c>
      <c r="J499" s="5" t="n">
        <v>-0.00279439955136674</v>
      </c>
      <c r="K499" s="5" t="n">
        <v>-0.00554063677576551</v>
      </c>
      <c r="L499" s="5" t="n">
        <v>0.0001203522230132029</v>
      </c>
      <c r="M499" s="5">
        <f>SUMPRODUCT(Exposures!$B$6:$K$6,B499:K499)</f>
        <v/>
      </c>
      <c r="N499" s="5">
        <f>IF(AND($A499&gt;=DATE(2020,2,1),$A499&lt;=DATE(2020,5,31)),$M499,"")</f>
        <v/>
      </c>
      <c r="O499" s="5">
        <f>IF(AND($A499&gt;=DATE(2022,1,1),$A499&lt;=DATE(2022,10,31)),$M499,"")</f>
        <v/>
      </c>
      <c r="P499" s="5">
        <f>IF(AND($A499&gt;=DATE(2018,10,1),$A499&lt;=DATE(2018,12,31)),$M499,"")</f>
        <v/>
      </c>
      <c r="Q499" s="5">
        <f>SUMPRODUCT(Exposures!$B$8:$K$8,B499:K499)</f>
        <v/>
      </c>
      <c r="R499" s="5">
        <f>SUMPRODUCT(Exposures!$B$9:$K$9,B499:K499)</f>
        <v/>
      </c>
      <c r="S499" s="5">
        <f>SUMPRODUCT(Exposures!$B$10:$K$10,B499:K499)</f>
        <v/>
      </c>
    </row>
    <row r="500">
      <c r="A500" s="1" t="n">
        <v>43182</v>
      </c>
      <c r="B500" s="5" t="n">
        <v>-0.009098489129807831</v>
      </c>
      <c r="C500" s="5" t="n">
        <v>-0.001338121039747351</v>
      </c>
      <c r="D500" s="5" t="n">
        <v>0.0005462330970278269</v>
      </c>
      <c r="E500" s="5" t="n">
        <v>0.0002515334288287218</v>
      </c>
      <c r="F500" s="5" t="n">
        <v>0.003171615525527787</v>
      </c>
      <c r="G500" s="5" t="n">
        <v>-0.02129382041320385</v>
      </c>
      <c r="H500" s="5" t="n">
        <v>0.00265202568110049</v>
      </c>
      <c r="I500" s="5" t="n">
        <v>-0.001194756237195625</v>
      </c>
      <c r="J500" s="5" t="n">
        <v>0.00227228313861122</v>
      </c>
      <c r="K500" s="5" t="n">
        <v>-0.001339080452759949</v>
      </c>
      <c r="L500" s="5" t="n">
        <v>-0.001237311012030993</v>
      </c>
      <c r="M500" s="5">
        <f>SUMPRODUCT(Exposures!$B$6:$K$6,B500:K500)</f>
        <v/>
      </c>
      <c r="N500" s="5">
        <f>IF(AND($A500&gt;=DATE(2020,2,1),$A500&lt;=DATE(2020,5,31)),$M500,"")</f>
        <v/>
      </c>
      <c r="O500" s="5">
        <f>IF(AND($A500&gt;=DATE(2022,1,1),$A500&lt;=DATE(2022,10,31)),$M500,"")</f>
        <v/>
      </c>
      <c r="P500" s="5">
        <f>IF(AND($A500&gt;=DATE(2018,10,1),$A500&lt;=DATE(2018,12,31)),$M500,"")</f>
        <v/>
      </c>
      <c r="Q500" s="5">
        <f>SUMPRODUCT(Exposures!$B$8:$K$8,B500:K500)</f>
        <v/>
      </c>
      <c r="R500" s="5">
        <f>SUMPRODUCT(Exposures!$B$9:$K$9,B500:K500)</f>
        <v/>
      </c>
      <c r="S500" s="5">
        <f>SUMPRODUCT(Exposures!$B$10:$K$10,B500:K500)</f>
        <v/>
      </c>
    </row>
    <row r="501">
      <c r="A501" s="1" t="n">
        <v>43185</v>
      </c>
      <c r="B501" s="5" t="n">
        <v>0.008433664888862193</v>
      </c>
      <c r="C501" s="5" t="n">
        <v>0.000683719524081511</v>
      </c>
      <c r="D501" s="5" t="n">
        <v>-0.00175000516342216</v>
      </c>
      <c r="E501" s="5" t="n">
        <v>-0.003724924724238601</v>
      </c>
      <c r="F501" s="5" t="n">
        <v>0.002660228100162464</v>
      </c>
      <c r="G501" s="5" t="n">
        <v>0.0200431376801303</v>
      </c>
      <c r="H501" s="5" t="n">
        <v>0.002392220491148664</v>
      </c>
      <c r="I501" s="5" t="n">
        <v>0.0002306090861745411</v>
      </c>
      <c r="J501" s="5" t="n">
        <v>-0.006829733826912442</v>
      </c>
      <c r="K501" s="5" t="n">
        <v>-0.001551364231874425</v>
      </c>
      <c r="L501" s="5" t="n">
        <v>0.001013546537874246</v>
      </c>
      <c r="M501" s="5">
        <f>SUMPRODUCT(Exposures!$B$6:$K$6,B501:K501)</f>
        <v/>
      </c>
      <c r="N501" s="5">
        <f>IF(AND($A501&gt;=DATE(2020,2,1),$A501&lt;=DATE(2020,5,31)),$M501,"")</f>
        <v/>
      </c>
      <c r="O501" s="5">
        <f>IF(AND($A501&gt;=DATE(2022,1,1),$A501&lt;=DATE(2022,10,31)),$M501,"")</f>
        <v/>
      </c>
      <c r="P501" s="5">
        <f>IF(AND($A501&gt;=DATE(2018,10,1),$A501&lt;=DATE(2018,12,31)),$M501,"")</f>
        <v/>
      </c>
      <c r="Q501" s="5">
        <f>SUMPRODUCT(Exposures!$B$8:$K$8,B501:K501)</f>
        <v/>
      </c>
      <c r="R501" s="5">
        <f>SUMPRODUCT(Exposures!$B$9:$K$9,B501:K501)</f>
        <v/>
      </c>
      <c r="S501" s="5">
        <f>SUMPRODUCT(Exposures!$B$10:$K$10,B501:K501)</f>
        <v/>
      </c>
    </row>
    <row r="502">
      <c r="A502" s="1" t="n">
        <v>43186</v>
      </c>
      <c r="B502" s="5" t="n">
        <v>-0.007601466399855853</v>
      </c>
      <c r="C502" s="5" t="n">
        <v>-0.0003631197657168589</v>
      </c>
      <c r="D502" s="5" t="n">
        <v>-0.001147033542783033</v>
      </c>
      <c r="E502" s="5" t="n">
        <v>0.001495316270172873</v>
      </c>
      <c r="F502" s="5" t="n">
        <v>0.002347084749080369</v>
      </c>
      <c r="G502" s="5" t="n">
        <v>-0.01594179257886266</v>
      </c>
      <c r="H502" s="5" t="n">
        <v>-0.006177025699569482</v>
      </c>
      <c r="I502" s="5" t="n">
        <v>-0.001485350429909794</v>
      </c>
      <c r="J502" s="5" t="n">
        <v>-0.006868332989667788</v>
      </c>
      <c r="K502" s="5" t="n">
        <v>-0.004365933078680846</v>
      </c>
      <c r="L502" s="5" t="n">
        <v>-0.002145068274407609</v>
      </c>
      <c r="M502" s="5">
        <f>SUMPRODUCT(Exposures!$B$6:$K$6,B502:K502)</f>
        <v/>
      </c>
      <c r="N502" s="5">
        <f>IF(AND($A502&gt;=DATE(2020,2,1),$A502&lt;=DATE(2020,5,31)),$M502,"")</f>
        <v/>
      </c>
      <c r="O502" s="5">
        <f>IF(AND($A502&gt;=DATE(2022,1,1),$A502&lt;=DATE(2022,10,31)),$M502,"")</f>
        <v/>
      </c>
      <c r="P502" s="5">
        <f>IF(AND($A502&gt;=DATE(2018,10,1),$A502&lt;=DATE(2018,12,31)),$M502,"")</f>
        <v/>
      </c>
      <c r="Q502" s="5">
        <f>SUMPRODUCT(Exposures!$B$8:$K$8,B502:K502)</f>
        <v/>
      </c>
      <c r="R502" s="5">
        <f>SUMPRODUCT(Exposures!$B$9:$K$9,B502:K502)</f>
        <v/>
      </c>
      <c r="S502" s="5">
        <f>SUMPRODUCT(Exposures!$B$10:$K$10,B502:K502)</f>
        <v/>
      </c>
    </row>
    <row r="503">
      <c r="A503" s="1" t="n">
        <v>43187</v>
      </c>
      <c r="B503" s="5" t="n">
        <v>-0.004854467416106603</v>
      </c>
      <c r="C503" s="5" t="n">
        <v>0.001159024969430207</v>
      </c>
      <c r="D503" s="5" t="n">
        <v>-0.002242663685498649</v>
      </c>
      <c r="E503" s="5" t="n">
        <v>0.003218656918695987</v>
      </c>
      <c r="F503" s="5" t="n">
        <v>-0.002691432413463975</v>
      </c>
      <c r="G503" s="5" t="n">
        <v>-0.001373459634718311</v>
      </c>
      <c r="H503" s="5" t="n">
        <v>-0.001954357696509114</v>
      </c>
      <c r="I503" s="5" t="n">
        <v>-0.0007986836379133333</v>
      </c>
      <c r="J503" s="5" t="n">
        <v>-0.00188393948455778</v>
      </c>
      <c r="K503" s="5" t="n">
        <v>0.002074101416123616</v>
      </c>
      <c r="L503" s="5" t="n">
        <v>-0.0003784684494957187</v>
      </c>
      <c r="M503" s="5">
        <f>SUMPRODUCT(Exposures!$B$6:$K$6,B503:K503)</f>
        <v/>
      </c>
      <c r="N503" s="5">
        <f>IF(AND($A503&gt;=DATE(2020,2,1),$A503&lt;=DATE(2020,5,31)),$M503,"")</f>
        <v/>
      </c>
      <c r="O503" s="5">
        <f>IF(AND($A503&gt;=DATE(2022,1,1),$A503&lt;=DATE(2022,10,31)),$M503,"")</f>
        <v/>
      </c>
      <c r="P503" s="5">
        <f>IF(AND($A503&gt;=DATE(2018,10,1),$A503&lt;=DATE(2018,12,31)),$M503,"")</f>
        <v/>
      </c>
      <c r="Q503" s="5">
        <f>SUMPRODUCT(Exposures!$B$8:$K$8,B503:K503)</f>
        <v/>
      </c>
      <c r="R503" s="5">
        <f>SUMPRODUCT(Exposures!$B$9:$K$9,B503:K503)</f>
        <v/>
      </c>
      <c r="S503" s="5">
        <f>SUMPRODUCT(Exposures!$B$10:$K$10,B503:K503)</f>
        <v/>
      </c>
    </row>
    <row r="504">
      <c r="A504" s="1" t="n">
        <v>43188</v>
      </c>
      <c r="B504" s="5" t="n">
        <v>0.003044350319961226</v>
      </c>
      <c r="C504" s="5" t="n">
        <v>0.001736378808314831</v>
      </c>
      <c r="D504" s="5" t="n">
        <v>0.003463056577510355</v>
      </c>
      <c r="E504" s="5" t="n">
        <v>-0.00242557682795052</v>
      </c>
      <c r="F504" s="5" t="n">
        <v>-0.006011466678321422</v>
      </c>
      <c r="G504" s="5" t="n">
        <v>0.01290265764155698</v>
      </c>
      <c r="H504" s="5" t="n">
        <v>0.0009123335286365121</v>
      </c>
      <c r="I504" s="5" t="n">
        <v>-0.002412531425420877</v>
      </c>
      <c r="J504" s="5" t="n">
        <v>0.001580598149729822</v>
      </c>
      <c r="K504" s="5" t="n">
        <v>0.006852237995162014</v>
      </c>
      <c r="L504" s="5" t="n">
        <v>0.0004471207349580486</v>
      </c>
      <c r="M504" s="5">
        <f>SUMPRODUCT(Exposures!$B$6:$K$6,B504:K504)</f>
        <v/>
      </c>
      <c r="N504" s="5">
        <f>IF(AND($A504&gt;=DATE(2020,2,1),$A504&lt;=DATE(2020,5,31)),$M504,"")</f>
        <v/>
      </c>
      <c r="O504" s="5">
        <f>IF(AND($A504&gt;=DATE(2022,1,1),$A504&lt;=DATE(2022,10,31)),$M504,"")</f>
        <v/>
      </c>
      <c r="P504" s="5">
        <f>IF(AND($A504&gt;=DATE(2018,10,1),$A504&lt;=DATE(2018,12,31)),$M504,"")</f>
        <v/>
      </c>
      <c r="Q504" s="5">
        <f>SUMPRODUCT(Exposures!$B$8:$K$8,B504:K504)</f>
        <v/>
      </c>
      <c r="R504" s="5">
        <f>SUMPRODUCT(Exposures!$B$9:$K$9,B504:K504)</f>
        <v/>
      </c>
      <c r="S504" s="5">
        <f>SUMPRODUCT(Exposures!$B$10:$K$10,B504:K504)</f>
        <v/>
      </c>
    </row>
    <row r="505">
      <c r="A505" s="1" t="n">
        <v>43192</v>
      </c>
      <c r="B505" s="5" t="n">
        <v>-0.005962255929257834</v>
      </c>
      <c r="C505" s="5" t="n">
        <v>-0.001624959321928054</v>
      </c>
      <c r="D505" s="5" t="n">
        <v>-0.002268403802002033</v>
      </c>
      <c r="E505" s="5" t="n">
        <v>0.0007613178883529907</v>
      </c>
      <c r="F505" s="5" t="n">
        <v>-0.0009754670869668298</v>
      </c>
      <c r="G505" s="5" t="n">
        <v>-0.02600230441197115</v>
      </c>
      <c r="H505" s="5" t="n">
        <v>-0.0002634291472975875</v>
      </c>
      <c r="I505" s="5" t="n">
        <v>0.00223099820074643</v>
      </c>
      <c r="J505" s="5" t="n">
        <v>-0.00857785721662151</v>
      </c>
      <c r="K505" s="5" t="n">
        <v>-0.0002949718443595881</v>
      </c>
      <c r="L505" s="5" t="n">
        <v>0.002262517886847152</v>
      </c>
      <c r="M505" s="5">
        <f>SUMPRODUCT(Exposures!$B$6:$K$6,B505:K505)</f>
        <v/>
      </c>
      <c r="N505" s="5">
        <f>IF(AND($A505&gt;=DATE(2020,2,1),$A505&lt;=DATE(2020,5,31)),$M505,"")</f>
        <v/>
      </c>
      <c r="O505" s="5">
        <f>IF(AND($A505&gt;=DATE(2022,1,1),$A505&lt;=DATE(2022,10,31)),$M505,"")</f>
        <v/>
      </c>
      <c r="P505" s="5">
        <f>IF(AND($A505&gt;=DATE(2018,10,1),$A505&lt;=DATE(2018,12,31)),$M505,"")</f>
        <v/>
      </c>
      <c r="Q505" s="5">
        <f>SUMPRODUCT(Exposures!$B$8:$K$8,B505:K505)</f>
        <v/>
      </c>
      <c r="R505" s="5">
        <f>SUMPRODUCT(Exposures!$B$9:$K$9,B505:K505)</f>
        <v/>
      </c>
      <c r="S505" s="5">
        <f>SUMPRODUCT(Exposures!$B$10:$K$10,B505:K505)</f>
        <v/>
      </c>
    </row>
    <row r="506">
      <c r="A506" s="1" t="n">
        <v>43193</v>
      </c>
      <c r="B506" s="5" t="n">
        <v>0.002585788692905867</v>
      </c>
      <c r="C506" s="5" t="n">
        <v>-0.00229028710091825</v>
      </c>
      <c r="D506" s="5" t="n">
        <v>-0.001640185035440633</v>
      </c>
      <c r="E506" s="5" t="n">
        <v>0.0005003470862190952</v>
      </c>
      <c r="F506" s="5" t="n">
        <v>0.001368547779435088</v>
      </c>
      <c r="G506" s="5" t="n">
        <v>0.01122387376697179</v>
      </c>
      <c r="H506" s="5" t="n">
        <v>-0.0009407566637502339</v>
      </c>
      <c r="I506" s="5" t="n">
        <v>0.001789660847292944</v>
      </c>
      <c r="J506" s="5" t="n">
        <v>-0.004747223592178994</v>
      </c>
      <c r="K506" s="5" t="n">
        <v>-0.004454161015558843</v>
      </c>
      <c r="L506" s="5" t="n">
        <v>0.0001359348651270048</v>
      </c>
      <c r="M506" s="5">
        <f>SUMPRODUCT(Exposures!$B$6:$K$6,B506:K506)</f>
        <v/>
      </c>
      <c r="N506" s="5">
        <f>IF(AND($A506&gt;=DATE(2020,2,1),$A506&lt;=DATE(2020,5,31)),$M506,"")</f>
        <v/>
      </c>
      <c r="O506" s="5">
        <f>IF(AND($A506&gt;=DATE(2022,1,1),$A506&lt;=DATE(2022,10,31)),$M506,"")</f>
        <v/>
      </c>
      <c r="P506" s="5">
        <f>IF(AND($A506&gt;=DATE(2018,10,1),$A506&lt;=DATE(2018,12,31)),$M506,"")</f>
        <v/>
      </c>
      <c r="Q506" s="5">
        <f>SUMPRODUCT(Exposures!$B$8:$K$8,B506:K506)</f>
        <v/>
      </c>
      <c r="R506" s="5">
        <f>SUMPRODUCT(Exposures!$B$9:$K$9,B506:K506)</f>
        <v/>
      </c>
      <c r="S506" s="5">
        <f>SUMPRODUCT(Exposures!$B$10:$K$10,B506:K506)</f>
        <v/>
      </c>
    </row>
    <row r="507">
      <c r="A507" s="1" t="n">
        <v>43194</v>
      </c>
      <c r="B507" s="5" t="n">
        <v>0.003179992540567564</v>
      </c>
      <c r="C507" s="5" t="n">
        <v>-0.0006880107071620077</v>
      </c>
      <c r="D507" s="5" t="n">
        <v>-0.0009078812546989495</v>
      </c>
      <c r="E507" s="5" t="n">
        <v>0.0003561594803875644</v>
      </c>
      <c r="F507" s="5" t="n">
        <v>-0.001987281823525248</v>
      </c>
      <c r="G507" s="5" t="n">
        <v>0.01399373748223787</v>
      </c>
      <c r="H507" s="5" t="n">
        <v>-0.001391455598510582</v>
      </c>
      <c r="I507" s="5" t="n">
        <v>0.002192808420360877</v>
      </c>
      <c r="J507" s="5" t="n">
        <v>0.004628280645644587</v>
      </c>
      <c r="K507" s="5" t="n">
        <v>5.357253853733451e-05</v>
      </c>
      <c r="L507" s="5" t="n">
        <v>-0.00213465548133084</v>
      </c>
      <c r="M507" s="5">
        <f>SUMPRODUCT(Exposures!$B$6:$K$6,B507:K507)</f>
        <v/>
      </c>
      <c r="N507" s="5">
        <f>IF(AND($A507&gt;=DATE(2020,2,1),$A507&lt;=DATE(2020,5,31)),$M507,"")</f>
        <v/>
      </c>
      <c r="O507" s="5">
        <f>IF(AND($A507&gt;=DATE(2022,1,1),$A507&lt;=DATE(2022,10,31)),$M507,"")</f>
        <v/>
      </c>
      <c r="P507" s="5">
        <f>IF(AND($A507&gt;=DATE(2018,10,1),$A507&lt;=DATE(2018,12,31)),$M507,"")</f>
        <v/>
      </c>
      <c r="Q507" s="5">
        <f>SUMPRODUCT(Exposures!$B$8:$K$8,B507:K507)</f>
        <v/>
      </c>
      <c r="R507" s="5">
        <f>SUMPRODUCT(Exposures!$B$9:$K$9,B507:K507)</f>
        <v/>
      </c>
      <c r="S507" s="5">
        <f>SUMPRODUCT(Exposures!$B$10:$K$10,B507:K507)</f>
        <v/>
      </c>
    </row>
    <row r="508">
      <c r="A508" s="1" t="n">
        <v>43195</v>
      </c>
      <c r="B508" s="5" t="n">
        <v>0.0005128912466795721</v>
      </c>
      <c r="C508" s="5" t="n">
        <v>-0.002153638786075926</v>
      </c>
      <c r="D508" s="5" t="n">
        <v>0.003554724283074206</v>
      </c>
      <c r="E508" s="5" t="n">
        <v>0.001257451475924804</v>
      </c>
      <c r="F508" s="5" t="n">
        <v>0.005460990579028778</v>
      </c>
      <c r="G508" s="5" t="n">
        <v>0.00608831723775717</v>
      </c>
      <c r="H508" s="5" t="n">
        <v>-0.001194252225879081</v>
      </c>
      <c r="I508" s="5" t="n">
        <v>-0.001223650672363433</v>
      </c>
      <c r="J508" s="5" t="n">
        <v>-0.00339214022773325</v>
      </c>
      <c r="K508" s="5" t="n">
        <v>-0.004511420863012407</v>
      </c>
      <c r="L508" s="5" t="n">
        <v>0.001117370435922097</v>
      </c>
      <c r="M508" s="5">
        <f>SUMPRODUCT(Exposures!$B$6:$K$6,B508:K508)</f>
        <v/>
      </c>
      <c r="N508" s="5">
        <f>IF(AND($A508&gt;=DATE(2020,2,1),$A508&lt;=DATE(2020,5,31)),$M508,"")</f>
        <v/>
      </c>
      <c r="O508" s="5">
        <f>IF(AND($A508&gt;=DATE(2022,1,1),$A508&lt;=DATE(2022,10,31)),$M508,"")</f>
        <v/>
      </c>
      <c r="P508" s="5">
        <f>IF(AND($A508&gt;=DATE(2018,10,1),$A508&lt;=DATE(2018,12,31)),$M508,"")</f>
        <v/>
      </c>
      <c r="Q508" s="5">
        <f>SUMPRODUCT(Exposures!$B$8:$K$8,B508:K508)</f>
        <v/>
      </c>
      <c r="R508" s="5">
        <f>SUMPRODUCT(Exposures!$B$9:$K$9,B508:K508)</f>
        <v/>
      </c>
      <c r="S508" s="5">
        <f>SUMPRODUCT(Exposures!$B$10:$K$10,B508:K508)</f>
        <v/>
      </c>
    </row>
    <row r="509">
      <c r="A509" s="1" t="n">
        <v>43196</v>
      </c>
      <c r="B509" s="5" t="n">
        <v>-0.006656887341337408</v>
      </c>
      <c r="C509" s="5" t="n">
        <v>-0.00150246717423711</v>
      </c>
      <c r="D509" s="5" t="n">
        <v>-0.003771888972679566</v>
      </c>
      <c r="E509" s="5" t="n">
        <v>-0.0005257851097251129</v>
      </c>
      <c r="F509" s="5" t="n">
        <v>0.004987383013912869</v>
      </c>
      <c r="G509" s="5" t="n">
        <v>-0.01991533356958375</v>
      </c>
      <c r="H509" s="5" t="n">
        <v>0.0003908853062491269</v>
      </c>
      <c r="I509" s="5" t="n">
        <v>0.002000935753581897</v>
      </c>
      <c r="J509" s="5" t="n">
        <v>-0.0006615778482742642</v>
      </c>
      <c r="K509" s="5" t="n">
        <v>-0.00694879718112004</v>
      </c>
      <c r="L509" s="5" t="n">
        <v>0.001133822755862825</v>
      </c>
      <c r="M509" s="5">
        <f>SUMPRODUCT(Exposures!$B$6:$K$6,B509:K509)</f>
        <v/>
      </c>
      <c r="N509" s="5">
        <f>IF(AND($A509&gt;=DATE(2020,2,1),$A509&lt;=DATE(2020,5,31)),$M509,"")</f>
        <v/>
      </c>
      <c r="O509" s="5">
        <f>IF(AND($A509&gt;=DATE(2022,1,1),$A509&lt;=DATE(2022,10,31)),$M509,"")</f>
        <v/>
      </c>
      <c r="P509" s="5">
        <f>IF(AND($A509&gt;=DATE(2018,10,1),$A509&lt;=DATE(2018,12,31)),$M509,"")</f>
        <v/>
      </c>
      <c r="Q509" s="5">
        <f>SUMPRODUCT(Exposures!$B$8:$K$8,B509:K509)</f>
        <v/>
      </c>
      <c r="R509" s="5">
        <f>SUMPRODUCT(Exposures!$B$9:$K$9,B509:K509)</f>
        <v/>
      </c>
      <c r="S509" s="5">
        <f>SUMPRODUCT(Exposures!$B$10:$K$10,B509:K509)</f>
        <v/>
      </c>
    </row>
    <row r="510">
      <c r="A510" s="1" t="n">
        <v>43199</v>
      </c>
      <c r="B510" s="5" t="n">
        <v>-0.00236870014824595</v>
      </c>
      <c r="C510" s="5" t="n">
        <v>-0.002108554021925789</v>
      </c>
      <c r="D510" s="5" t="n">
        <v>-0.003115614059031762</v>
      </c>
      <c r="E510" s="5" t="n">
        <v>-0.0002122320132215602</v>
      </c>
      <c r="F510" s="5" t="n">
        <v>0.00498240643855608</v>
      </c>
      <c r="G510" s="5" t="n">
        <v>-0.0003746652246855687</v>
      </c>
      <c r="H510" s="5" t="n">
        <v>0.006867041605317747</v>
      </c>
      <c r="I510" s="5" t="n">
        <v>0.000206305801853798</v>
      </c>
      <c r="J510" s="5" t="n">
        <v>-0.003059567731149364</v>
      </c>
      <c r="K510" s="5" t="n">
        <v>-0.002794526016285079</v>
      </c>
      <c r="L510" s="5" t="n">
        <v>0.001739712603374295</v>
      </c>
      <c r="M510" s="5">
        <f>SUMPRODUCT(Exposures!$B$6:$K$6,B510:K510)</f>
        <v/>
      </c>
      <c r="N510" s="5">
        <f>IF(AND($A510&gt;=DATE(2020,2,1),$A510&lt;=DATE(2020,5,31)),$M510,"")</f>
        <v/>
      </c>
      <c r="O510" s="5">
        <f>IF(AND($A510&gt;=DATE(2022,1,1),$A510&lt;=DATE(2022,10,31)),$M510,"")</f>
        <v/>
      </c>
      <c r="P510" s="5">
        <f>IF(AND($A510&gt;=DATE(2018,10,1),$A510&lt;=DATE(2018,12,31)),$M510,"")</f>
        <v/>
      </c>
      <c r="Q510" s="5">
        <f>SUMPRODUCT(Exposures!$B$8:$K$8,B510:K510)</f>
        <v/>
      </c>
      <c r="R510" s="5">
        <f>SUMPRODUCT(Exposures!$B$9:$K$9,B510:K510)</f>
        <v/>
      </c>
      <c r="S510" s="5">
        <f>SUMPRODUCT(Exposures!$B$10:$K$10,B510:K510)</f>
        <v/>
      </c>
    </row>
    <row r="511">
      <c r="A511" s="1" t="n">
        <v>43200</v>
      </c>
      <c r="B511" s="5" t="n">
        <v>0.008574621969577081</v>
      </c>
      <c r="C511" s="5" t="n">
        <v>-0.0008531080520028883</v>
      </c>
      <c r="D511" s="5" t="n">
        <v>0.001436481274213001</v>
      </c>
      <c r="E511" s="5" t="n">
        <v>-0.001306048531768895</v>
      </c>
      <c r="F511" s="5" t="n">
        <v>-0.005022587876293616</v>
      </c>
      <c r="G511" s="5" t="n">
        <v>0.01622125469712812</v>
      </c>
      <c r="H511" s="5" t="n">
        <v>0.001812634665321565</v>
      </c>
      <c r="I511" s="5" t="n">
        <v>-0.001137595979504765</v>
      </c>
      <c r="J511" s="5" t="n">
        <v>0.003310092058318933</v>
      </c>
      <c r="K511" s="5" t="n">
        <v>0.005368220361558224</v>
      </c>
      <c r="L511" s="5" t="n">
        <v>0.0003627298287901371</v>
      </c>
      <c r="M511" s="5">
        <f>SUMPRODUCT(Exposures!$B$6:$K$6,B511:K511)</f>
        <v/>
      </c>
      <c r="N511" s="5">
        <f>IF(AND($A511&gt;=DATE(2020,2,1),$A511&lt;=DATE(2020,5,31)),$M511,"")</f>
        <v/>
      </c>
      <c r="O511" s="5">
        <f>IF(AND($A511&gt;=DATE(2022,1,1),$A511&lt;=DATE(2022,10,31)),$M511,"")</f>
        <v/>
      </c>
      <c r="P511" s="5">
        <f>IF(AND($A511&gt;=DATE(2018,10,1),$A511&lt;=DATE(2018,12,31)),$M511,"")</f>
        <v/>
      </c>
      <c r="Q511" s="5">
        <f>SUMPRODUCT(Exposures!$B$8:$K$8,B511:K511)</f>
        <v/>
      </c>
      <c r="R511" s="5">
        <f>SUMPRODUCT(Exposures!$B$9:$K$9,B511:K511)</f>
        <v/>
      </c>
      <c r="S511" s="5">
        <f>SUMPRODUCT(Exposures!$B$10:$K$10,B511:K511)</f>
        <v/>
      </c>
    </row>
    <row r="512">
      <c r="A512" s="1" t="n">
        <v>43201</v>
      </c>
      <c r="B512" s="5" t="n">
        <v>-0.0004728156831771595</v>
      </c>
      <c r="C512" s="5" t="n">
        <v>-0.0003980165000489649</v>
      </c>
      <c r="D512" s="5" t="n">
        <v>0.0006020852949071016</v>
      </c>
      <c r="E512" s="5" t="n">
        <v>-0.00227081929451222</v>
      </c>
      <c r="F512" s="5" t="n">
        <v>-0.003096632879435977</v>
      </c>
      <c r="G512" s="5" t="n">
        <v>-0.0007494980099236128</v>
      </c>
      <c r="H512" s="5" t="n">
        <v>-0.00429061336835116</v>
      </c>
      <c r="I512" s="5" t="n">
        <v>0.001878838969188584</v>
      </c>
      <c r="J512" s="5" t="n">
        <v>0.005249191486688063</v>
      </c>
      <c r="K512" s="5" t="n">
        <v>0.0005642227190139995</v>
      </c>
      <c r="L512" s="5" t="n">
        <v>2.254724170551534e-05</v>
      </c>
      <c r="M512" s="5">
        <f>SUMPRODUCT(Exposures!$B$6:$K$6,B512:K512)</f>
        <v/>
      </c>
      <c r="N512" s="5">
        <f>IF(AND($A512&gt;=DATE(2020,2,1),$A512&lt;=DATE(2020,5,31)),$M512,"")</f>
        <v/>
      </c>
      <c r="O512" s="5">
        <f>IF(AND($A512&gt;=DATE(2022,1,1),$A512&lt;=DATE(2022,10,31)),$M512,"")</f>
        <v/>
      </c>
      <c r="P512" s="5">
        <f>IF(AND($A512&gt;=DATE(2018,10,1),$A512&lt;=DATE(2018,12,31)),$M512,"")</f>
        <v/>
      </c>
      <c r="Q512" s="5">
        <f>SUMPRODUCT(Exposures!$B$8:$K$8,B512:K512)</f>
        <v/>
      </c>
      <c r="R512" s="5">
        <f>SUMPRODUCT(Exposures!$B$9:$K$9,B512:K512)</f>
        <v/>
      </c>
      <c r="S512" s="5">
        <f>SUMPRODUCT(Exposures!$B$10:$K$10,B512:K512)</f>
        <v/>
      </c>
    </row>
    <row r="513">
      <c r="A513" s="1" t="n">
        <v>43202</v>
      </c>
      <c r="B513" s="5" t="n">
        <v>0.007484987548511906</v>
      </c>
      <c r="C513" s="5" t="n">
        <v>-0.002299481914620115</v>
      </c>
      <c r="D513" s="5" t="n">
        <v>-0.002415565374604981</v>
      </c>
      <c r="E513" s="5" t="n">
        <v>0.0009601493899225771</v>
      </c>
      <c r="F513" s="5" t="n">
        <v>-0.003836076281805655</v>
      </c>
      <c r="G513" s="5" t="n">
        <v>0.006619569160752743</v>
      </c>
      <c r="H513" s="5" t="n">
        <v>0.001529278982505715</v>
      </c>
      <c r="I513" s="5" t="n">
        <v>-0.001804706793100472</v>
      </c>
      <c r="J513" s="5" t="n">
        <v>0.001774458014572985</v>
      </c>
      <c r="K513" s="5" t="n">
        <v>0.005579545932390038</v>
      </c>
      <c r="L513" s="5" t="n">
        <v>0.00219677040718972</v>
      </c>
      <c r="M513" s="5">
        <f>SUMPRODUCT(Exposures!$B$6:$K$6,B513:K513)</f>
        <v/>
      </c>
      <c r="N513" s="5">
        <f>IF(AND($A513&gt;=DATE(2020,2,1),$A513&lt;=DATE(2020,5,31)),$M513,"")</f>
        <v/>
      </c>
      <c r="O513" s="5">
        <f>IF(AND($A513&gt;=DATE(2022,1,1),$A513&lt;=DATE(2022,10,31)),$M513,"")</f>
        <v/>
      </c>
      <c r="P513" s="5">
        <f>IF(AND($A513&gt;=DATE(2018,10,1),$A513&lt;=DATE(2018,12,31)),$M513,"")</f>
        <v/>
      </c>
      <c r="Q513" s="5">
        <f>SUMPRODUCT(Exposures!$B$8:$K$8,B513:K513)</f>
        <v/>
      </c>
      <c r="R513" s="5">
        <f>SUMPRODUCT(Exposures!$B$9:$K$9,B513:K513)</f>
        <v/>
      </c>
      <c r="S513" s="5">
        <f>SUMPRODUCT(Exposures!$B$10:$K$10,B513:K513)</f>
        <v/>
      </c>
    </row>
    <row r="514">
      <c r="A514" s="1" t="n">
        <v>43203</v>
      </c>
      <c r="B514" s="5" t="n">
        <v>-0.002950721423621351</v>
      </c>
      <c r="C514" s="5" t="n">
        <v>-0.0005131139019901405</v>
      </c>
      <c r="D514" s="5" t="n">
        <v>0.0005417961584306069</v>
      </c>
      <c r="E514" s="5" t="n">
        <v>-8.922169321108582e-05</v>
      </c>
      <c r="F514" s="5" t="n">
        <v>0.006049967179338244</v>
      </c>
      <c r="G514" s="5" t="n">
        <v>-0.003995312471192158</v>
      </c>
      <c r="H514" s="5" t="n">
        <v>-0.001767206189029314</v>
      </c>
      <c r="I514" s="5" t="n">
        <v>0.0001814761973554708</v>
      </c>
      <c r="J514" s="5" t="n">
        <v>-0.004223770173652867</v>
      </c>
      <c r="K514" s="5" t="n">
        <v>-0.007135472427232468</v>
      </c>
      <c r="L514" s="5" t="n">
        <v>-0.001248821106342844</v>
      </c>
      <c r="M514" s="5">
        <f>SUMPRODUCT(Exposures!$B$6:$K$6,B514:K514)</f>
        <v/>
      </c>
      <c r="N514" s="5">
        <f>IF(AND($A514&gt;=DATE(2020,2,1),$A514&lt;=DATE(2020,5,31)),$M514,"")</f>
        <v/>
      </c>
      <c r="O514" s="5">
        <f>IF(AND($A514&gt;=DATE(2022,1,1),$A514&lt;=DATE(2022,10,31)),$M514,"")</f>
        <v/>
      </c>
      <c r="P514" s="5">
        <f>IF(AND($A514&gt;=DATE(2018,10,1),$A514&lt;=DATE(2018,12,31)),$M514,"")</f>
        <v/>
      </c>
      <c r="Q514" s="5">
        <f>SUMPRODUCT(Exposures!$B$8:$K$8,B514:K514)</f>
        <v/>
      </c>
      <c r="R514" s="5">
        <f>SUMPRODUCT(Exposures!$B$9:$K$9,B514:K514)</f>
        <v/>
      </c>
      <c r="S514" s="5">
        <f>SUMPRODUCT(Exposures!$B$10:$K$10,B514:K514)</f>
        <v/>
      </c>
    </row>
    <row r="515">
      <c r="A515" s="1" t="n">
        <v>43206</v>
      </c>
      <c r="B515" s="5" t="n">
        <v>0.0004362562598094184</v>
      </c>
      <c r="C515" s="5" t="n">
        <v>-0.001531209227476475</v>
      </c>
      <c r="D515" s="5" t="n">
        <v>-0.002984099240714743</v>
      </c>
      <c r="E515" s="5" t="n">
        <v>0.001989227019028148</v>
      </c>
      <c r="F515" s="5" t="n">
        <v>0.007978147806852322</v>
      </c>
      <c r="G515" s="5" t="n">
        <v>0.008329521186893951</v>
      </c>
      <c r="H515" s="5" t="n">
        <v>0.002229549542061663</v>
      </c>
      <c r="I515" s="5" t="n">
        <v>-0.0009527564094301303</v>
      </c>
      <c r="J515" s="5" t="n">
        <v>-0.007143474061434266</v>
      </c>
      <c r="K515" s="5" t="n">
        <v>-0.01195291449365196</v>
      </c>
      <c r="L515" s="5" t="n">
        <v>-0.002617006005098382</v>
      </c>
      <c r="M515" s="5">
        <f>SUMPRODUCT(Exposures!$B$6:$K$6,B515:K515)</f>
        <v/>
      </c>
      <c r="N515" s="5">
        <f>IF(AND($A515&gt;=DATE(2020,2,1),$A515&lt;=DATE(2020,5,31)),$M515,"")</f>
        <v/>
      </c>
      <c r="O515" s="5">
        <f>IF(AND($A515&gt;=DATE(2022,1,1),$A515&lt;=DATE(2022,10,31)),$M515,"")</f>
        <v/>
      </c>
      <c r="P515" s="5">
        <f>IF(AND($A515&gt;=DATE(2018,10,1),$A515&lt;=DATE(2018,12,31)),$M515,"")</f>
        <v/>
      </c>
      <c r="Q515" s="5">
        <f>SUMPRODUCT(Exposures!$B$8:$K$8,B515:K515)</f>
        <v/>
      </c>
      <c r="R515" s="5">
        <f>SUMPRODUCT(Exposures!$B$9:$K$9,B515:K515)</f>
        <v/>
      </c>
      <c r="S515" s="5">
        <f>SUMPRODUCT(Exposures!$B$10:$K$10,B515:K515)</f>
        <v/>
      </c>
    </row>
    <row r="516">
      <c r="A516" s="1" t="n">
        <v>43207</v>
      </c>
      <c r="B516" s="5" t="n">
        <v>0.00192265550491459</v>
      </c>
      <c r="C516" s="5" t="n">
        <v>-0.001540696265646564</v>
      </c>
      <c r="D516" s="5" t="n">
        <v>0.001999284834231789</v>
      </c>
      <c r="E516" s="5" t="n">
        <v>-0.003093429176968376</v>
      </c>
      <c r="F516" s="5" t="n">
        <v>0.003970524188973248</v>
      </c>
      <c r="G516" s="5" t="n">
        <v>0.01030582419938715</v>
      </c>
      <c r="H516" s="5" t="n">
        <v>0.002151909005609419</v>
      </c>
      <c r="I516" s="5" t="n">
        <v>-0.0001346669833435899</v>
      </c>
      <c r="J516" s="5" t="n">
        <v>0.002462775530835071</v>
      </c>
      <c r="K516" s="5" t="n">
        <v>-0.002297505935949148</v>
      </c>
      <c r="L516" s="5" t="n">
        <v>0.0002868797615659392</v>
      </c>
      <c r="M516" s="5">
        <f>SUMPRODUCT(Exposures!$B$6:$K$6,B516:K516)</f>
        <v/>
      </c>
      <c r="N516" s="5">
        <f>IF(AND($A516&gt;=DATE(2020,2,1),$A516&lt;=DATE(2020,5,31)),$M516,"")</f>
        <v/>
      </c>
      <c r="O516" s="5">
        <f>IF(AND($A516&gt;=DATE(2022,1,1),$A516&lt;=DATE(2022,10,31)),$M516,"")</f>
        <v/>
      </c>
      <c r="P516" s="5">
        <f>IF(AND($A516&gt;=DATE(2018,10,1),$A516&lt;=DATE(2018,12,31)),$M516,"")</f>
        <v/>
      </c>
      <c r="Q516" s="5">
        <f>SUMPRODUCT(Exposures!$B$8:$K$8,B516:K516)</f>
        <v/>
      </c>
      <c r="R516" s="5">
        <f>SUMPRODUCT(Exposures!$B$9:$K$9,B516:K516)</f>
        <v/>
      </c>
      <c r="S516" s="5">
        <f>SUMPRODUCT(Exposures!$B$10:$K$10,B516:K516)</f>
        <v/>
      </c>
    </row>
    <row r="517">
      <c r="A517" s="1" t="n">
        <v>43208</v>
      </c>
      <c r="B517" s="5" t="n">
        <v>-0.0004182280730623749</v>
      </c>
      <c r="C517" s="5" t="n">
        <v>0.0006350376318182894</v>
      </c>
      <c r="D517" s="5" t="n">
        <v>0.00192023739377337</v>
      </c>
      <c r="E517" s="5" t="n">
        <v>0.0002115223633583324</v>
      </c>
      <c r="F517" s="5" t="n">
        <v>0.009560581663119875</v>
      </c>
      <c r="G517" s="5" t="n">
        <v>0.001698277007326469</v>
      </c>
      <c r="H517" s="5" t="n">
        <v>0.003625639801626957</v>
      </c>
      <c r="I517" s="5" t="n">
        <v>-0.0008177727462743819</v>
      </c>
      <c r="J517" s="5" t="n">
        <v>-0.000626102415639682</v>
      </c>
      <c r="K517" s="5" t="n">
        <v>-0.009761247882012542</v>
      </c>
      <c r="L517" s="5" t="n">
        <v>-0.0006906409024246225</v>
      </c>
      <c r="M517" s="5">
        <f>SUMPRODUCT(Exposures!$B$6:$K$6,B517:K517)</f>
        <v/>
      </c>
      <c r="N517" s="5">
        <f>IF(AND($A517&gt;=DATE(2020,2,1),$A517&lt;=DATE(2020,5,31)),$M517,"")</f>
        <v/>
      </c>
      <c r="O517" s="5">
        <f>IF(AND($A517&gt;=DATE(2022,1,1),$A517&lt;=DATE(2022,10,31)),$M517,"")</f>
        <v/>
      </c>
      <c r="P517" s="5">
        <f>IF(AND($A517&gt;=DATE(2018,10,1),$A517&lt;=DATE(2018,12,31)),$M517,"")</f>
        <v/>
      </c>
      <c r="Q517" s="5">
        <f>SUMPRODUCT(Exposures!$B$8:$K$8,B517:K517)</f>
        <v/>
      </c>
      <c r="R517" s="5">
        <f>SUMPRODUCT(Exposures!$B$9:$K$9,B517:K517)</f>
        <v/>
      </c>
      <c r="S517" s="5">
        <f>SUMPRODUCT(Exposures!$B$10:$K$10,B517:K517)</f>
        <v/>
      </c>
    </row>
    <row r="518">
      <c r="A518" s="1" t="n">
        <v>43209</v>
      </c>
      <c r="B518" s="5" t="n">
        <v>-8.4438295890584e-05</v>
      </c>
      <c r="C518" s="5" t="n">
        <v>-0.0001268706012826131</v>
      </c>
      <c r="D518" s="5" t="n">
        <v>0.004904186233098826</v>
      </c>
      <c r="E518" s="5" t="n">
        <v>0.005106498130615571</v>
      </c>
      <c r="F518" s="5" t="n">
        <v>0.002905649374016955</v>
      </c>
      <c r="G518" s="5" t="n">
        <v>-0.00705216523987456</v>
      </c>
      <c r="H518" s="5" t="n">
        <v>-0.000422583777280942</v>
      </c>
      <c r="I518" s="5" t="n">
        <v>0.002622217715890209</v>
      </c>
      <c r="J518" s="5" t="n">
        <v>-0.004401859503944719</v>
      </c>
      <c r="K518" s="5" t="n">
        <v>-0.005670812153678097</v>
      </c>
      <c r="L518" s="5" t="n">
        <v>0.005252706320188947</v>
      </c>
      <c r="M518" s="5">
        <f>SUMPRODUCT(Exposures!$B$6:$K$6,B518:K518)</f>
        <v/>
      </c>
      <c r="N518" s="5">
        <f>IF(AND($A518&gt;=DATE(2020,2,1),$A518&lt;=DATE(2020,5,31)),$M518,"")</f>
        <v/>
      </c>
      <c r="O518" s="5">
        <f>IF(AND($A518&gt;=DATE(2022,1,1),$A518&lt;=DATE(2022,10,31)),$M518,"")</f>
        <v/>
      </c>
      <c r="P518" s="5">
        <f>IF(AND($A518&gt;=DATE(2018,10,1),$A518&lt;=DATE(2018,12,31)),$M518,"")</f>
        <v/>
      </c>
      <c r="Q518" s="5">
        <f>SUMPRODUCT(Exposures!$B$8:$K$8,B518:K518)</f>
        <v/>
      </c>
      <c r="R518" s="5">
        <f>SUMPRODUCT(Exposures!$B$9:$K$9,B518:K518)</f>
        <v/>
      </c>
      <c r="S518" s="5">
        <f>SUMPRODUCT(Exposures!$B$10:$K$10,B518:K518)</f>
        <v/>
      </c>
    </row>
    <row r="519">
      <c r="A519" s="1" t="n">
        <v>43210</v>
      </c>
      <c r="B519" s="5" t="n">
        <v>0.0009713257812501558</v>
      </c>
      <c r="C519" s="5" t="n">
        <v>-0.001228334776109587</v>
      </c>
      <c r="D519" s="5" t="n">
        <v>-0.0009277904757409493</v>
      </c>
      <c r="E519" s="5" t="n">
        <v>0.0015463174100683</v>
      </c>
      <c r="F519" s="5" t="n">
        <v>-0.006931545023017028</v>
      </c>
      <c r="G519" s="5" t="n">
        <v>-0.006002843333622424</v>
      </c>
      <c r="H519" s="5" t="n">
        <v>0.0004430276586801019</v>
      </c>
      <c r="I519" s="5" t="n">
        <v>0.0007476964324614036</v>
      </c>
      <c r="J519" s="5" t="n">
        <v>-0.0001651797123666669</v>
      </c>
      <c r="K519" s="5" t="n">
        <v>0.002850932135056849</v>
      </c>
      <c r="L519" s="5" t="n">
        <v>0.001971164566463595</v>
      </c>
      <c r="M519" s="5">
        <f>SUMPRODUCT(Exposures!$B$6:$K$6,B519:K519)</f>
        <v/>
      </c>
      <c r="N519" s="5">
        <f>IF(AND($A519&gt;=DATE(2020,2,1),$A519&lt;=DATE(2020,5,31)),$M519,"")</f>
        <v/>
      </c>
      <c r="O519" s="5">
        <f>IF(AND($A519&gt;=DATE(2022,1,1),$A519&lt;=DATE(2022,10,31)),$M519,"")</f>
        <v/>
      </c>
      <c r="P519" s="5">
        <f>IF(AND($A519&gt;=DATE(2018,10,1),$A519&lt;=DATE(2018,12,31)),$M519,"")</f>
        <v/>
      </c>
      <c r="Q519" s="5">
        <f>SUMPRODUCT(Exposures!$B$8:$K$8,B519:K519)</f>
        <v/>
      </c>
      <c r="R519" s="5">
        <f>SUMPRODUCT(Exposures!$B$9:$K$9,B519:K519)</f>
        <v/>
      </c>
      <c r="S519" s="5">
        <f>SUMPRODUCT(Exposures!$B$10:$K$10,B519:K519)</f>
        <v/>
      </c>
    </row>
    <row r="520">
      <c r="A520" s="1" t="n">
        <v>43213</v>
      </c>
      <c r="B520" s="5" t="n">
        <v>-0.0008938441580581203</v>
      </c>
      <c r="C520" s="5" t="n">
        <v>0.002665955616375441</v>
      </c>
      <c r="D520" s="5" t="n">
        <v>-0.0005754011471498061</v>
      </c>
      <c r="E520" s="5" t="n">
        <v>0.001651835157276637</v>
      </c>
      <c r="F520" s="5" t="n">
        <v>-0.0006647918087001651</v>
      </c>
      <c r="G520" s="5" t="n">
        <v>-0.0008930039554250949</v>
      </c>
      <c r="H520" s="5" t="n">
        <v>-0.001705855552563649</v>
      </c>
      <c r="I520" s="5" t="n">
        <v>-0.0001346659101453644</v>
      </c>
      <c r="J520" s="5" t="n">
        <v>-0.0008079152803536025</v>
      </c>
      <c r="K520" s="5" t="n">
        <v>-0.0002906454818364144</v>
      </c>
      <c r="L520" s="5" t="n">
        <v>-0.002208359508724059</v>
      </c>
      <c r="M520" s="5">
        <f>SUMPRODUCT(Exposures!$B$6:$K$6,B520:K520)</f>
        <v/>
      </c>
      <c r="N520" s="5">
        <f>IF(AND($A520&gt;=DATE(2020,2,1),$A520&lt;=DATE(2020,5,31)),$M520,"")</f>
        <v/>
      </c>
      <c r="O520" s="5">
        <f>IF(AND($A520&gt;=DATE(2022,1,1),$A520&lt;=DATE(2022,10,31)),$M520,"")</f>
        <v/>
      </c>
      <c r="P520" s="5">
        <f>IF(AND($A520&gt;=DATE(2018,10,1),$A520&lt;=DATE(2018,12,31)),$M520,"")</f>
        <v/>
      </c>
      <c r="Q520" s="5">
        <f>SUMPRODUCT(Exposures!$B$8:$K$8,B520:K520)</f>
        <v/>
      </c>
      <c r="R520" s="5">
        <f>SUMPRODUCT(Exposures!$B$9:$K$9,B520:K520)</f>
        <v/>
      </c>
      <c r="S520" s="5">
        <f>SUMPRODUCT(Exposures!$B$10:$K$10,B520:K520)</f>
        <v/>
      </c>
    </row>
    <row r="521">
      <c r="A521" s="1" t="n">
        <v>43214</v>
      </c>
      <c r="B521" s="5" t="n">
        <v>-0.002850103328953345</v>
      </c>
      <c r="C521" s="5" t="n">
        <v>-0.0004342738325428941</v>
      </c>
      <c r="D521" s="5" t="n">
        <v>-0.0015729693841055</v>
      </c>
      <c r="E521" s="5" t="n">
        <v>0.001930134451702551</v>
      </c>
      <c r="F521" s="5" t="n">
        <v>-0.008640958380090678</v>
      </c>
      <c r="G521" s="5" t="n">
        <v>-0.007783550304917948</v>
      </c>
      <c r="H521" s="5" t="n">
        <v>-0.00367974313721778</v>
      </c>
      <c r="I521" s="5" t="n">
        <v>-0.0008972978016202866</v>
      </c>
      <c r="J521" s="5" t="n">
        <v>0.002848557223682026</v>
      </c>
      <c r="K521" s="5" t="n">
        <v>0.007676244509598288</v>
      </c>
      <c r="L521" s="5" t="n">
        <v>0.002305742248675906</v>
      </c>
      <c r="M521" s="5">
        <f>SUMPRODUCT(Exposures!$B$6:$K$6,B521:K521)</f>
        <v/>
      </c>
      <c r="N521" s="5">
        <f>IF(AND($A521&gt;=DATE(2020,2,1),$A521&lt;=DATE(2020,5,31)),$M521,"")</f>
        <v/>
      </c>
      <c r="O521" s="5">
        <f>IF(AND($A521&gt;=DATE(2022,1,1),$A521&lt;=DATE(2022,10,31)),$M521,"")</f>
        <v/>
      </c>
      <c r="P521" s="5">
        <f>IF(AND($A521&gt;=DATE(2018,10,1),$A521&lt;=DATE(2018,12,31)),$M521,"")</f>
        <v/>
      </c>
      <c r="Q521" s="5">
        <f>SUMPRODUCT(Exposures!$B$8:$K$8,B521:K521)</f>
        <v/>
      </c>
      <c r="R521" s="5">
        <f>SUMPRODUCT(Exposures!$B$9:$K$9,B521:K521)</f>
        <v/>
      </c>
      <c r="S521" s="5">
        <f>SUMPRODUCT(Exposures!$B$10:$K$10,B521:K521)</f>
        <v/>
      </c>
    </row>
    <row r="522">
      <c r="A522" s="1" t="n">
        <v>43215</v>
      </c>
      <c r="B522" s="5" t="n">
        <v>-0.005861074460278271</v>
      </c>
      <c r="C522" s="5" t="n">
        <v>-5.176020302807805e-05</v>
      </c>
      <c r="D522" s="5" t="n">
        <v>-0.0006668071690306969</v>
      </c>
      <c r="E522" s="5" t="n">
        <v>-0.001281560017679413</v>
      </c>
      <c r="F522" s="5" t="n">
        <v>0.006229266185504856</v>
      </c>
      <c r="G522" s="5" t="n">
        <v>-0.0004695561168380911</v>
      </c>
      <c r="H522" s="5" t="n">
        <v>0.005435748005830516</v>
      </c>
      <c r="I522" s="5" t="n">
        <v>0.0006731879440514405</v>
      </c>
      <c r="J522" s="5" t="n">
        <v>-0.002841049470107566</v>
      </c>
      <c r="K522" s="5" t="n">
        <v>-0.004554127684717725</v>
      </c>
      <c r="L522" s="5" t="n">
        <v>-0.001440212226880845</v>
      </c>
      <c r="M522" s="5">
        <f>SUMPRODUCT(Exposures!$B$6:$K$6,B522:K522)</f>
        <v/>
      </c>
      <c r="N522" s="5">
        <f>IF(AND($A522&gt;=DATE(2020,2,1),$A522&lt;=DATE(2020,5,31)),$M522,"")</f>
        <v/>
      </c>
      <c r="O522" s="5">
        <f>IF(AND($A522&gt;=DATE(2022,1,1),$A522&lt;=DATE(2022,10,31)),$M522,"")</f>
        <v/>
      </c>
      <c r="P522" s="5">
        <f>IF(AND($A522&gt;=DATE(2018,10,1),$A522&lt;=DATE(2018,12,31)),$M522,"")</f>
        <v/>
      </c>
      <c r="Q522" s="5">
        <f>SUMPRODUCT(Exposures!$B$8:$K$8,B522:K522)</f>
        <v/>
      </c>
      <c r="R522" s="5">
        <f>SUMPRODUCT(Exposures!$B$9:$K$9,B522:K522)</f>
        <v/>
      </c>
      <c r="S522" s="5">
        <f>SUMPRODUCT(Exposures!$B$10:$K$10,B522:K522)</f>
        <v/>
      </c>
    </row>
    <row r="523">
      <c r="A523" s="1" t="n">
        <v>43216</v>
      </c>
      <c r="B523" s="5" t="n">
        <v>-0.001481599990035841</v>
      </c>
      <c r="C523" s="5" t="n">
        <v>0.001388727503269679</v>
      </c>
      <c r="D523" s="5" t="n">
        <v>0.009138071158792218</v>
      </c>
      <c r="E523" s="5" t="n">
        <v>-0.0002765165330581185</v>
      </c>
      <c r="F523" s="5" t="n">
        <v>0.01890010302023903</v>
      </c>
      <c r="G523" s="5" t="n">
        <v>0.009312364946009646</v>
      </c>
      <c r="H523" s="5" t="n">
        <v>0.001914142409359758</v>
      </c>
      <c r="I523" s="5" t="n">
        <v>0.00380201932703009</v>
      </c>
      <c r="J523" s="5" t="n">
        <v>0.005461063284613099</v>
      </c>
      <c r="K523" s="5" t="n">
        <v>-0.01790235404487136</v>
      </c>
      <c r="L523" s="5" t="n">
        <v>-0.00438147855128711</v>
      </c>
      <c r="M523" s="5">
        <f>SUMPRODUCT(Exposures!$B$6:$K$6,B523:K523)</f>
        <v/>
      </c>
      <c r="N523" s="5">
        <f>IF(AND($A523&gt;=DATE(2020,2,1),$A523&lt;=DATE(2020,5,31)),$M523,"")</f>
        <v/>
      </c>
      <c r="O523" s="5">
        <f>IF(AND($A523&gt;=DATE(2022,1,1),$A523&lt;=DATE(2022,10,31)),$M523,"")</f>
        <v/>
      </c>
      <c r="P523" s="5">
        <f>IF(AND($A523&gt;=DATE(2018,10,1),$A523&lt;=DATE(2018,12,31)),$M523,"")</f>
        <v/>
      </c>
      <c r="Q523" s="5">
        <f>SUMPRODUCT(Exposures!$B$8:$K$8,B523:K523)</f>
        <v/>
      </c>
      <c r="R523" s="5">
        <f>SUMPRODUCT(Exposures!$B$9:$K$9,B523:K523)</f>
        <v/>
      </c>
      <c r="S523" s="5">
        <f>SUMPRODUCT(Exposures!$B$10:$K$10,B523:K523)</f>
        <v/>
      </c>
    </row>
    <row r="524">
      <c r="A524" s="1" t="n">
        <v>43217</v>
      </c>
      <c r="B524" s="5" t="n">
        <v>-0.002281971776735373</v>
      </c>
      <c r="C524" s="5" t="n">
        <v>0.002706396797491174</v>
      </c>
      <c r="D524" s="5" t="n">
        <v>0.00244781925165608</v>
      </c>
      <c r="E524" s="5" t="n">
        <v>-0.000906223652505437</v>
      </c>
      <c r="F524" s="5" t="n">
        <v>-0.0006685772859514557</v>
      </c>
      <c r="G524" s="5" t="n">
        <v>0.003111333656483601</v>
      </c>
      <c r="H524" s="5" t="n">
        <v>-0.003120188290321649</v>
      </c>
      <c r="I524" s="5" t="n">
        <v>-0.001110972662211755</v>
      </c>
      <c r="J524" s="5" t="n">
        <v>0.004296990318069532</v>
      </c>
      <c r="K524" s="5" t="n">
        <v>0.003049125945916485</v>
      </c>
      <c r="L524" s="5" t="n">
        <v>0.0005648504705484623</v>
      </c>
      <c r="M524" s="5">
        <f>SUMPRODUCT(Exposures!$B$6:$K$6,B524:K524)</f>
        <v/>
      </c>
      <c r="N524" s="5">
        <f>IF(AND($A524&gt;=DATE(2020,2,1),$A524&lt;=DATE(2020,5,31)),$M524,"")</f>
        <v/>
      </c>
      <c r="O524" s="5">
        <f>IF(AND($A524&gt;=DATE(2022,1,1),$A524&lt;=DATE(2022,10,31)),$M524,"")</f>
        <v/>
      </c>
      <c r="P524" s="5">
        <f>IF(AND($A524&gt;=DATE(2018,10,1),$A524&lt;=DATE(2018,12,31)),$M524,"")</f>
        <v/>
      </c>
      <c r="Q524" s="5">
        <f>SUMPRODUCT(Exposures!$B$8:$K$8,B524:K524)</f>
        <v/>
      </c>
      <c r="R524" s="5">
        <f>SUMPRODUCT(Exposures!$B$9:$K$9,B524:K524)</f>
        <v/>
      </c>
      <c r="S524" s="5">
        <f>SUMPRODUCT(Exposures!$B$10:$K$10,B524:K524)</f>
        <v/>
      </c>
    </row>
    <row r="525">
      <c r="A525" s="1" t="n">
        <v>43220</v>
      </c>
      <c r="B525" s="5" t="n">
        <v>-0.003985354773890316</v>
      </c>
      <c r="C525" s="5" t="n">
        <v>0.001926978778936449</v>
      </c>
      <c r="D525" s="5" t="n">
        <v>-0.0002193707133852663</v>
      </c>
      <c r="E525" s="5" t="n">
        <v>-0.002606538312808613</v>
      </c>
      <c r="F525" s="5" t="n">
        <v>-0.004576763849758008</v>
      </c>
      <c r="G525" s="5" t="n">
        <v>-0.008809305336067432</v>
      </c>
      <c r="H525" s="5" t="n">
        <v>0.0009218555255585086</v>
      </c>
      <c r="I525" s="5" t="n">
        <v>-7.473321145307858e-06</v>
      </c>
      <c r="J525" s="5" t="n">
        <v>0.003337594637238991</v>
      </c>
      <c r="K525" s="5" t="n">
        <v>0.008426283269984253</v>
      </c>
      <c r="L525" s="5" t="n">
        <v>0.002001954359923057</v>
      </c>
      <c r="M525" s="5">
        <f>SUMPRODUCT(Exposures!$B$6:$K$6,B525:K525)</f>
        <v/>
      </c>
      <c r="N525" s="5">
        <f>IF(AND($A525&gt;=DATE(2020,2,1),$A525&lt;=DATE(2020,5,31)),$M525,"")</f>
        <v/>
      </c>
      <c r="O525" s="5">
        <f>IF(AND($A525&gt;=DATE(2022,1,1),$A525&lt;=DATE(2022,10,31)),$M525,"")</f>
        <v/>
      </c>
      <c r="P525" s="5">
        <f>IF(AND($A525&gt;=DATE(2018,10,1),$A525&lt;=DATE(2018,12,31)),$M525,"")</f>
        <v/>
      </c>
      <c r="Q525" s="5">
        <f>SUMPRODUCT(Exposures!$B$8:$K$8,B525:K525)</f>
        <v/>
      </c>
      <c r="R525" s="5">
        <f>SUMPRODUCT(Exposures!$B$9:$K$9,B525:K525)</f>
        <v/>
      </c>
      <c r="S525" s="5">
        <f>SUMPRODUCT(Exposures!$B$10:$K$10,B525:K525)</f>
        <v/>
      </c>
    </row>
    <row r="526">
      <c r="A526" s="1" t="n">
        <v>43221</v>
      </c>
      <c r="B526" s="5" t="n">
        <v>0.003642235759093913</v>
      </c>
      <c r="C526" s="5" t="n">
        <v>0.001026788104455476</v>
      </c>
      <c r="D526" s="5" t="n">
        <v>-0.001817831492045401</v>
      </c>
      <c r="E526" s="5" t="n">
        <v>-0.0002694680366339557</v>
      </c>
      <c r="F526" s="5" t="n">
        <v>0.003486055430337253</v>
      </c>
      <c r="G526" s="5" t="n">
        <v>0.002945806738428042</v>
      </c>
      <c r="H526" s="5" t="n">
        <v>-0.001501585995054689</v>
      </c>
      <c r="I526" s="5" t="n">
        <v>0.002192507116281094</v>
      </c>
      <c r="J526" s="5" t="n">
        <v>6.03948340802947e-05</v>
      </c>
      <c r="K526" s="5" t="n">
        <v>-0.004414697776923288</v>
      </c>
      <c r="L526" s="5" t="n">
        <v>-0.001818991668252055</v>
      </c>
      <c r="M526" s="5">
        <f>SUMPRODUCT(Exposures!$B$6:$K$6,B526:K526)</f>
        <v/>
      </c>
      <c r="N526" s="5">
        <f>IF(AND($A526&gt;=DATE(2020,2,1),$A526&lt;=DATE(2020,5,31)),$M526,"")</f>
        <v/>
      </c>
      <c r="O526" s="5">
        <f>IF(AND($A526&gt;=DATE(2022,1,1),$A526&lt;=DATE(2022,10,31)),$M526,"")</f>
        <v/>
      </c>
      <c r="P526" s="5">
        <f>IF(AND($A526&gt;=DATE(2018,10,1),$A526&lt;=DATE(2018,12,31)),$M526,"")</f>
        <v/>
      </c>
      <c r="Q526" s="5">
        <f>SUMPRODUCT(Exposures!$B$8:$K$8,B526:K526)</f>
        <v/>
      </c>
      <c r="R526" s="5">
        <f>SUMPRODUCT(Exposures!$B$9:$K$9,B526:K526)</f>
        <v/>
      </c>
      <c r="S526" s="5">
        <f>SUMPRODUCT(Exposures!$B$10:$K$10,B526:K526)</f>
        <v/>
      </c>
    </row>
    <row r="527">
      <c r="A527" s="1" t="n">
        <v>43222</v>
      </c>
      <c r="B527" s="5" t="n">
        <v>0.0009037146715947858</v>
      </c>
      <c r="C527" s="5" t="n">
        <v>0.001888284187785704</v>
      </c>
      <c r="D527" s="5" t="n">
        <v>-0.002513557182651137</v>
      </c>
      <c r="E527" s="5" t="n">
        <v>-0.001811049121385896</v>
      </c>
      <c r="F527" s="5" t="n">
        <v>-0.001975464867462842</v>
      </c>
      <c r="G527" s="5" t="n">
        <v>-0.002307805700174976</v>
      </c>
      <c r="H527" s="5" t="n">
        <v>0.0006289229778020996</v>
      </c>
      <c r="I527" s="5" t="n">
        <v>0.001043931207656569</v>
      </c>
      <c r="J527" s="5" t="n">
        <v>0.002460709413228088</v>
      </c>
      <c r="K527" s="5" t="n">
        <v>-0.001750518801189575</v>
      </c>
      <c r="L527" s="5" t="n">
        <v>-0.0001331400848778412</v>
      </c>
      <c r="M527" s="5">
        <f>SUMPRODUCT(Exposures!$B$6:$K$6,B527:K527)</f>
        <v/>
      </c>
      <c r="N527" s="5">
        <f>IF(AND($A527&gt;=DATE(2020,2,1),$A527&lt;=DATE(2020,5,31)),$M527,"")</f>
        <v/>
      </c>
      <c r="O527" s="5">
        <f>IF(AND($A527&gt;=DATE(2022,1,1),$A527&lt;=DATE(2022,10,31)),$M527,"")</f>
        <v/>
      </c>
      <c r="P527" s="5">
        <f>IF(AND($A527&gt;=DATE(2018,10,1),$A527&lt;=DATE(2018,12,31)),$M527,"")</f>
        <v/>
      </c>
      <c r="Q527" s="5">
        <f>SUMPRODUCT(Exposures!$B$8:$K$8,B527:K527)</f>
        <v/>
      </c>
      <c r="R527" s="5">
        <f>SUMPRODUCT(Exposures!$B$9:$K$9,B527:K527)</f>
        <v/>
      </c>
      <c r="S527" s="5">
        <f>SUMPRODUCT(Exposures!$B$10:$K$10,B527:K527)</f>
        <v/>
      </c>
    </row>
    <row r="528">
      <c r="A528" s="1" t="n">
        <v>43223</v>
      </c>
      <c r="B528" s="5" t="n">
        <v>-0.003426046744077577</v>
      </c>
      <c r="C528" s="5" t="n">
        <v>0.001473325564541389</v>
      </c>
      <c r="D528" s="5" t="n">
        <v>-0.001135434628361053</v>
      </c>
      <c r="E528" s="5" t="n">
        <v>-0.001578822198283547</v>
      </c>
      <c r="F528" s="5" t="n">
        <v>0.007054590481228189</v>
      </c>
      <c r="G528" s="5" t="n">
        <v>-0.004027670487774709</v>
      </c>
      <c r="H528" s="5" t="n">
        <v>0.005683777641227876</v>
      </c>
      <c r="I528" s="5" t="n">
        <v>0.00159509676354015</v>
      </c>
      <c r="J528" s="5" t="n">
        <v>-0.001377363884751024</v>
      </c>
      <c r="K528" s="5" t="n">
        <v>-0.007394919127372716</v>
      </c>
      <c r="L528" s="5" t="n">
        <v>-0.003761487692483768</v>
      </c>
      <c r="M528" s="5">
        <f>SUMPRODUCT(Exposures!$B$6:$K$6,B528:K528)</f>
        <v/>
      </c>
      <c r="N528" s="5">
        <f>IF(AND($A528&gt;=DATE(2020,2,1),$A528&lt;=DATE(2020,5,31)),$M528,"")</f>
        <v/>
      </c>
      <c r="O528" s="5">
        <f>IF(AND($A528&gt;=DATE(2022,1,1),$A528&lt;=DATE(2022,10,31)),$M528,"")</f>
        <v/>
      </c>
      <c r="P528" s="5">
        <f>IF(AND($A528&gt;=DATE(2018,10,1),$A528&lt;=DATE(2018,12,31)),$M528,"")</f>
        <v/>
      </c>
      <c r="Q528" s="5">
        <f>SUMPRODUCT(Exposures!$B$8:$K$8,B528:K528)</f>
        <v/>
      </c>
      <c r="R528" s="5">
        <f>SUMPRODUCT(Exposures!$B$9:$K$9,B528:K528)</f>
        <v/>
      </c>
      <c r="S528" s="5">
        <f>SUMPRODUCT(Exposures!$B$10:$K$10,B528:K528)</f>
        <v/>
      </c>
    </row>
    <row r="529">
      <c r="A529" s="1" t="n">
        <v>43224</v>
      </c>
      <c r="B529" s="5" t="n">
        <v>0.00744812815836446</v>
      </c>
      <c r="C529" s="5" t="n">
        <v>-2.393075724389944e-05</v>
      </c>
      <c r="D529" s="5" t="n">
        <v>-0.001008407519165418</v>
      </c>
      <c r="E529" s="5" t="n">
        <v>-0.001414007208920818</v>
      </c>
      <c r="F529" s="5" t="n">
        <v>0.0007478628692800292</v>
      </c>
      <c r="G529" s="5" t="n">
        <v>0.01073220366201545</v>
      </c>
      <c r="H529" s="5" t="n">
        <v>-0.004422683705513143</v>
      </c>
      <c r="I529" s="5" t="n">
        <v>-0.003134858017811244</v>
      </c>
      <c r="J529" s="5" t="n">
        <v>-0.002686062581005683</v>
      </c>
      <c r="K529" s="5" t="n">
        <v>0.001996124961504393</v>
      </c>
      <c r="L529" s="5" t="n">
        <v>0.0004386231728579607</v>
      </c>
      <c r="M529" s="5">
        <f>SUMPRODUCT(Exposures!$B$6:$K$6,B529:K529)</f>
        <v/>
      </c>
      <c r="N529" s="5">
        <f>IF(AND($A529&gt;=DATE(2020,2,1),$A529&lt;=DATE(2020,5,31)),$M529,"")</f>
        <v/>
      </c>
      <c r="O529" s="5">
        <f>IF(AND($A529&gt;=DATE(2022,1,1),$A529&lt;=DATE(2022,10,31)),$M529,"")</f>
        <v/>
      </c>
      <c r="P529" s="5">
        <f>IF(AND($A529&gt;=DATE(2018,10,1),$A529&lt;=DATE(2018,12,31)),$M529,"")</f>
        <v/>
      </c>
      <c r="Q529" s="5">
        <f>SUMPRODUCT(Exposures!$B$8:$K$8,B529:K529)</f>
        <v/>
      </c>
      <c r="R529" s="5">
        <f>SUMPRODUCT(Exposures!$B$9:$K$9,B529:K529)</f>
        <v/>
      </c>
      <c r="S529" s="5">
        <f>SUMPRODUCT(Exposures!$B$10:$K$10,B529:K529)</f>
        <v/>
      </c>
    </row>
    <row r="530">
      <c r="A530" s="1" t="n">
        <v>43227</v>
      </c>
      <c r="B530" s="5" t="n">
        <v>0.003078666762552083</v>
      </c>
      <c r="C530" s="5" t="n">
        <v>-0.0001668420967327155</v>
      </c>
      <c r="D530" s="5" t="n">
        <v>0.0001861390470182297</v>
      </c>
      <c r="E530" s="5" t="n">
        <v>-0.0002636576170596943</v>
      </c>
      <c r="F530" s="5" t="n">
        <v>0.0006453129170723174</v>
      </c>
      <c r="G530" s="5" t="n">
        <v>0.004592055080050732</v>
      </c>
      <c r="H530" s="5" t="n">
        <v>0.001159905430995643</v>
      </c>
      <c r="I530" s="5" t="n">
        <v>0.0008672753898495839</v>
      </c>
      <c r="J530" s="5" t="n">
        <v>0.001664467781198786</v>
      </c>
      <c r="K530" s="5" t="n">
        <v>-0.001231387590251934</v>
      </c>
      <c r="L530" s="5" t="n">
        <v>0.001293960397305094</v>
      </c>
      <c r="M530" s="5">
        <f>SUMPRODUCT(Exposures!$B$6:$K$6,B530:K530)</f>
        <v/>
      </c>
      <c r="N530" s="5">
        <f>IF(AND($A530&gt;=DATE(2020,2,1),$A530&lt;=DATE(2020,5,31)),$M530,"")</f>
        <v/>
      </c>
      <c r="O530" s="5">
        <f>IF(AND($A530&gt;=DATE(2022,1,1),$A530&lt;=DATE(2022,10,31)),$M530,"")</f>
        <v/>
      </c>
      <c r="P530" s="5">
        <f>IF(AND($A530&gt;=DATE(2018,10,1),$A530&lt;=DATE(2018,12,31)),$M530,"")</f>
        <v/>
      </c>
      <c r="Q530" s="5">
        <f>SUMPRODUCT(Exposures!$B$8:$K$8,B530:K530)</f>
        <v/>
      </c>
      <c r="R530" s="5">
        <f>SUMPRODUCT(Exposures!$B$9:$K$9,B530:K530)</f>
        <v/>
      </c>
      <c r="S530" s="5">
        <f>SUMPRODUCT(Exposures!$B$10:$K$10,B530:K530)</f>
        <v/>
      </c>
    </row>
    <row r="531">
      <c r="A531" s="1" t="n">
        <v>43228</v>
      </c>
      <c r="B531" s="5" t="n">
        <v>0.005299608176883317</v>
      </c>
      <c r="C531" s="5" t="n">
        <v>0.0005447336771101021</v>
      </c>
      <c r="D531" s="5" t="n">
        <v>0.001640473245533395</v>
      </c>
      <c r="E531" s="5" t="n">
        <v>-0.0006765079630688335</v>
      </c>
      <c r="F531" s="5" t="n">
        <v>-0.0008106551438191315</v>
      </c>
      <c r="G531" s="5" t="n">
        <v>0.0008857099314337574</v>
      </c>
      <c r="H531" s="5" t="n">
        <v>0.0001799136878487873</v>
      </c>
      <c r="I531" s="5" t="n">
        <v>0.002409707502245055</v>
      </c>
      <c r="J531" s="5" t="n">
        <v>-0.0008513119153516306</v>
      </c>
      <c r="K531" s="5" t="n">
        <v>-0.002887451337684524</v>
      </c>
      <c r="L531" s="5" t="n">
        <v>0.002135098431121107</v>
      </c>
      <c r="M531" s="5">
        <f>SUMPRODUCT(Exposures!$B$6:$K$6,B531:K531)</f>
        <v/>
      </c>
      <c r="N531" s="5">
        <f>IF(AND($A531&gt;=DATE(2020,2,1),$A531&lt;=DATE(2020,5,31)),$M531,"")</f>
        <v/>
      </c>
      <c r="O531" s="5">
        <f>IF(AND($A531&gt;=DATE(2022,1,1),$A531&lt;=DATE(2022,10,31)),$M531,"")</f>
        <v/>
      </c>
      <c r="P531" s="5">
        <f>IF(AND($A531&gt;=DATE(2018,10,1),$A531&lt;=DATE(2018,12,31)),$M531,"")</f>
        <v/>
      </c>
      <c r="Q531" s="5">
        <f>SUMPRODUCT(Exposures!$B$8:$K$8,B531:K531)</f>
        <v/>
      </c>
      <c r="R531" s="5">
        <f>SUMPRODUCT(Exposures!$B$9:$K$9,B531:K531)</f>
        <v/>
      </c>
      <c r="S531" s="5">
        <f>SUMPRODUCT(Exposures!$B$10:$K$10,B531:K531)</f>
        <v/>
      </c>
    </row>
    <row r="532">
      <c r="A532" s="1" t="n">
        <v>43229</v>
      </c>
      <c r="B532" s="5" t="n">
        <v>0.003143019452490004</v>
      </c>
      <c r="C532" s="5" t="n">
        <v>-0.00270146961337297</v>
      </c>
      <c r="D532" s="5" t="n">
        <v>0.0008063250790666602</v>
      </c>
      <c r="E532" s="5" t="n">
        <v>0.0008773729080829132</v>
      </c>
      <c r="F532" s="5" t="n">
        <v>-0.00186908519130436</v>
      </c>
      <c r="G532" s="5" t="n">
        <v>0.006340518683465097</v>
      </c>
      <c r="H532" s="5" t="n">
        <v>-0.0002355898787733359</v>
      </c>
      <c r="I532" s="5" t="n">
        <v>-0.001018333842191552</v>
      </c>
      <c r="J532" s="5" t="n">
        <v>-0.000439838549794587</v>
      </c>
      <c r="K532" s="5" t="n">
        <v>0.004152664507375329</v>
      </c>
      <c r="L532" s="5" t="n">
        <v>0.001402532949027645</v>
      </c>
      <c r="M532" s="5">
        <f>SUMPRODUCT(Exposures!$B$6:$K$6,B532:K532)</f>
        <v/>
      </c>
      <c r="N532" s="5">
        <f>IF(AND($A532&gt;=DATE(2020,2,1),$A532&lt;=DATE(2020,5,31)),$M532,"")</f>
        <v/>
      </c>
      <c r="O532" s="5">
        <f>IF(AND($A532&gt;=DATE(2022,1,1),$A532&lt;=DATE(2022,10,31)),$M532,"")</f>
        <v/>
      </c>
      <c r="P532" s="5">
        <f>IF(AND($A532&gt;=DATE(2018,10,1),$A532&lt;=DATE(2018,12,31)),$M532,"")</f>
        <v/>
      </c>
      <c r="Q532" s="5">
        <f>SUMPRODUCT(Exposures!$B$8:$K$8,B532:K532)</f>
        <v/>
      </c>
      <c r="R532" s="5">
        <f>SUMPRODUCT(Exposures!$B$9:$K$9,B532:K532)</f>
        <v/>
      </c>
      <c r="S532" s="5">
        <f>SUMPRODUCT(Exposures!$B$10:$K$10,B532:K532)</f>
        <v/>
      </c>
    </row>
    <row r="533">
      <c r="A533" s="1" t="n">
        <v>43230</v>
      </c>
      <c r="B533" s="5" t="n">
        <v>-0.001048931351472691</v>
      </c>
      <c r="C533" s="5" t="n">
        <v>-0.000163696357995575</v>
      </c>
      <c r="D533" s="5" t="n">
        <v>0.000708902929391602</v>
      </c>
      <c r="E533" s="5" t="n">
        <v>0.00120516383031054</v>
      </c>
      <c r="F533" s="5" t="n">
        <v>-0.00479722351346768</v>
      </c>
      <c r="G533" s="5" t="n">
        <v>0.006875126023516145</v>
      </c>
      <c r="H533" s="5" t="n">
        <v>0.002198869298215794</v>
      </c>
      <c r="I533" s="5" t="n">
        <v>-0.001420613362962397</v>
      </c>
      <c r="J533" s="5" t="n">
        <v>0.003152782435471718</v>
      </c>
      <c r="K533" s="5" t="n">
        <v>0.00771374317990802</v>
      </c>
      <c r="L533" s="5" t="n">
        <v>-1.223240709415713e-05</v>
      </c>
      <c r="M533" s="5">
        <f>SUMPRODUCT(Exposures!$B$6:$K$6,B533:K533)</f>
        <v/>
      </c>
      <c r="N533" s="5">
        <f>IF(AND($A533&gt;=DATE(2020,2,1),$A533&lt;=DATE(2020,5,31)),$M533,"")</f>
        <v/>
      </c>
      <c r="O533" s="5">
        <f>IF(AND($A533&gt;=DATE(2022,1,1),$A533&lt;=DATE(2022,10,31)),$M533,"")</f>
        <v/>
      </c>
      <c r="P533" s="5">
        <f>IF(AND($A533&gt;=DATE(2018,10,1),$A533&lt;=DATE(2018,12,31)),$M533,"")</f>
        <v/>
      </c>
      <c r="Q533" s="5">
        <f>SUMPRODUCT(Exposures!$B$8:$K$8,B533:K533)</f>
        <v/>
      </c>
      <c r="R533" s="5">
        <f>SUMPRODUCT(Exposures!$B$9:$K$9,B533:K533)</f>
        <v/>
      </c>
      <c r="S533" s="5">
        <f>SUMPRODUCT(Exposures!$B$10:$K$10,B533:K533)</f>
        <v/>
      </c>
    </row>
    <row r="534">
      <c r="A534" s="1" t="n">
        <v>43231</v>
      </c>
      <c r="B534" s="5" t="n">
        <v>-0.0002311601942508049</v>
      </c>
      <c r="C534" s="5" t="n">
        <v>-0.0009708579019385024</v>
      </c>
      <c r="D534" s="5" t="n">
        <v>-0.0005373348000580942</v>
      </c>
      <c r="E534" s="5" t="n">
        <v>-0.0003945132831594321</v>
      </c>
      <c r="F534" s="5" t="n">
        <v>-6.484922866239074e-05</v>
      </c>
      <c r="G534" s="5" t="n">
        <v>0.0008537150134087537</v>
      </c>
      <c r="H534" s="5" t="n">
        <v>0.0005162485652415966</v>
      </c>
      <c r="I534" s="5" t="n">
        <v>-5.387241469294512e-05</v>
      </c>
      <c r="J534" s="5" t="n">
        <v>0.001507773957649932</v>
      </c>
      <c r="K534" s="5" t="n">
        <v>0.002296334460998459</v>
      </c>
      <c r="L534" s="5" t="n">
        <v>-0.0003358538052987468</v>
      </c>
      <c r="M534" s="5">
        <f>SUMPRODUCT(Exposures!$B$6:$K$6,B534:K534)</f>
        <v/>
      </c>
      <c r="N534" s="5">
        <f>IF(AND($A534&gt;=DATE(2020,2,1),$A534&lt;=DATE(2020,5,31)),$M534,"")</f>
        <v/>
      </c>
      <c r="O534" s="5">
        <f>IF(AND($A534&gt;=DATE(2022,1,1),$A534&lt;=DATE(2022,10,31)),$M534,"")</f>
        <v/>
      </c>
      <c r="P534" s="5">
        <f>IF(AND($A534&gt;=DATE(2018,10,1),$A534&lt;=DATE(2018,12,31)),$M534,"")</f>
        <v/>
      </c>
      <c r="Q534" s="5">
        <f>SUMPRODUCT(Exposures!$B$8:$K$8,B534:K534)</f>
        <v/>
      </c>
      <c r="R534" s="5">
        <f>SUMPRODUCT(Exposures!$B$9:$K$9,B534:K534)</f>
        <v/>
      </c>
      <c r="S534" s="5">
        <f>SUMPRODUCT(Exposures!$B$10:$K$10,B534:K534)</f>
        <v/>
      </c>
    </row>
    <row r="535">
      <c r="A535" s="1" t="n">
        <v>43234</v>
      </c>
      <c r="B535" s="5" t="n">
        <v>0.002183860805395584</v>
      </c>
      <c r="C535" s="5" t="n">
        <v>0.001551537517588662</v>
      </c>
      <c r="D535" s="5" t="n">
        <v>0.0003687384643539209</v>
      </c>
      <c r="E535" s="5" t="n">
        <v>0.0006317859424731682</v>
      </c>
      <c r="F535" s="5" t="n">
        <v>-0.002863431063311546</v>
      </c>
      <c r="G535" s="5" t="n">
        <v>0.002169344671600328</v>
      </c>
      <c r="H535" s="5" t="n">
        <v>-0.001555518658540203</v>
      </c>
      <c r="I535" s="5" t="n">
        <v>0.0007143820257341875</v>
      </c>
      <c r="J535" s="5" t="n">
        <v>0.005161886748786411</v>
      </c>
      <c r="K535" s="5" t="n">
        <v>0.004647338204645908</v>
      </c>
      <c r="L535" s="5" t="n">
        <v>0.000935533850459178</v>
      </c>
      <c r="M535" s="5">
        <f>SUMPRODUCT(Exposures!$B$6:$K$6,B535:K535)</f>
        <v/>
      </c>
      <c r="N535" s="5">
        <f>IF(AND($A535&gt;=DATE(2020,2,1),$A535&lt;=DATE(2020,5,31)),$M535,"")</f>
        <v/>
      </c>
      <c r="O535" s="5">
        <f>IF(AND($A535&gt;=DATE(2022,1,1),$A535&lt;=DATE(2022,10,31)),$M535,"")</f>
        <v/>
      </c>
      <c r="P535" s="5">
        <f>IF(AND($A535&gt;=DATE(2018,10,1),$A535&lt;=DATE(2018,12,31)),$M535,"")</f>
        <v/>
      </c>
      <c r="Q535" s="5">
        <f>SUMPRODUCT(Exposures!$B$8:$K$8,B535:K535)</f>
        <v/>
      </c>
      <c r="R535" s="5">
        <f>SUMPRODUCT(Exposures!$B$9:$K$9,B535:K535)</f>
        <v/>
      </c>
      <c r="S535" s="5">
        <f>SUMPRODUCT(Exposures!$B$10:$K$10,B535:K535)</f>
        <v/>
      </c>
    </row>
    <row r="536">
      <c r="A536" s="1" t="n">
        <v>43235</v>
      </c>
      <c r="B536" s="5" t="n">
        <v>-0.0003320489378998339</v>
      </c>
      <c r="C536" s="5" t="n">
        <v>0.0006190658046855884</v>
      </c>
      <c r="D536" s="5" t="n">
        <v>-0.001649072833668077</v>
      </c>
      <c r="E536" s="5" t="n">
        <v>0.0009442851913908496</v>
      </c>
      <c r="F536" s="5" t="n">
        <v>-0.003451134688804715</v>
      </c>
      <c r="G536" s="5" t="n">
        <v>-0.00428176246354307</v>
      </c>
      <c r="H536" s="5" t="n">
        <v>0.001598079699980863</v>
      </c>
      <c r="I536" s="5" t="n">
        <v>0.0002039559517324319</v>
      </c>
      <c r="J536" s="5" t="n">
        <v>0.004571807305286878</v>
      </c>
      <c r="K536" s="5" t="n">
        <v>0.001276266334545591</v>
      </c>
      <c r="L536" s="5" t="n">
        <v>0.002873012850393432</v>
      </c>
      <c r="M536" s="5">
        <f>SUMPRODUCT(Exposures!$B$6:$K$6,B536:K536)</f>
        <v/>
      </c>
      <c r="N536" s="5">
        <f>IF(AND($A536&gt;=DATE(2020,2,1),$A536&lt;=DATE(2020,5,31)),$M536,"")</f>
        <v/>
      </c>
      <c r="O536" s="5">
        <f>IF(AND($A536&gt;=DATE(2022,1,1),$A536&lt;=DATE(2022,10,31)),$M536,"")</f>
        <v/>
      </c>
      <c r="P536" s="5">
        <f>IF(AND($A536&gt;=DATE(2018,10,1),$A536&lt;=DATE(2018,12,31)),$M536,"")</f>
        <v/>
      </c>
      <c r="Q536" s="5">
        <f>SUMPRODUCT(Exposures!$B$8:$K$8,B536:K536)</f>
        <v/>
      </c>
      <c r="R536" s="5">
        <f>SUMPRODUCT(Exposures!$B$9:$K$9,B536:K536)</f>
        <v/>
      </c>
      <c r="S536" s="5">
        <f>SUMPRODUCT(Exposures!$B$10:$K$10,B536:K536)</f>
        <v/>
      </c>
    </row>
    <row r="537">
      <c r="A537" s="1" t="n">
        <v>43236</v>
      </c>
      <c r="B537" s="5" t="n">
        <v>0.003177174066999398</v>
      </c>
      <c r="C537" s="5" t="n">
        <v>-0.0004415465287182937</v>
      </c>
      <c r="D537" s="5" t="n">
        <v>-0.0008372476888654669</v>
      </c>
      <c r="E537" s="5" t="n">
        <v>0.001055526344741978</v>
      </c>
      <c r="F537" s="5" t="n">
        <v>0.003739841418150246</v>
      </c>
      <c r="G537" s="5" t="n">
        <v>0.006180455429311617</v>
      </c>
      <c r="H537" s="5" t="n">
        <v>-0.0007769539868924692</v>
      </c>
      <c r="I537" s="5" t="n">
        <v>0.001978280263781177</v>
      </c>
      <c r="J537" s="5" t="n">
        <v>0.0004880356283621809</v>
      </c>
      <c r="K537" s="5" t="n">
        <v>-0.007564765400234077</v>
      </c>
      <c r="L537" s="5" t="n">
        <v>-0.002486906038176058</v>
      </c>
      <c r="M537" s="5">
        <f>SUMPRODUCT(Exposures!$B$6:$K$6,B537:K537)</f>
        <v/>
      </c>
      <c r="N537" s="5">
        <f>IF(AND($A537&gt;=DATE(2020,2,1),$A537&lt;=DATE(2020,5,31)),$M537,"")</f>
        <v/>
      </c>
      <c r="O537" s="5">
        <f>IF(AND($A537&gt;=DATE(2022,1,1),$A537&lt;=DATE(2022,10,31)),$M537,"")</f>
        <v/>
      </c>
      <c r="P537" s="5">
        <f>IF(AND($A537&gt;=DATE(2018,10,1),$A537&lt;=DATE(2018,12,31)),$M537,"")</f>
        <v/>
      </c>
      <c r="Q537" s="5">
        <f>SUMPRODUCT(Exposures!$B$8:$K$8,B537:K537)</f>
        <v/>
      </c>
      <c r="R537" s="5">
        <f>SUMPRODUCT(Exposures!$B$9:$K$9,B537:K537)</f>
        <v/>
      </c>
      <c r="S537" s="5">
        <f>SUMPRODUCT(Exposures!$B$10:$K$10,B537:K537)</f>
        <v/>
      </c>
    </row>
    <row r="538">
      <c r="A538" s="1" t="n">
        <v>43237</v>
      </c>
      <c r="B538" s="5" t="n">
        <v>-0.0001772080291551957</v>
      </c>
      <c r="C538" s="5" t="n">
        <v>-0.001330218032917634</v>
      </c>
      <c r="D538" s="5" t="n">
        <v>0.0005165534829174833</v>
      </c>
      <c r="E538" s="5" t="n">
        <v>0.002379308893068802</v>
      </c>
      <c r="F538" s="5" t="n">
        <v>-0.001491002611134361</v>
      </c>
      <c r="G538" s="5" t="n">
        <v>0.002217217871554389</v>
      </c>
      <c r="H538" s="5" t="n">
        <v>0.00137636640780895</v>
      </c>
      <c r="I538" s="5" t="n">
        <v>-0.00131294552463277</v>
      </c>
      <c r="J538" s="5" t="n">
        <v>-0.0009908293561917165</v>
      </c>
      <c r="K538" s="5" t="n">
        <v>-0.0009647273789627442</v>
      </c>
      <c r="L538" s="5" t="n">
        <v>-0.0004684017463788984</v>
      </c>
      <c r="M538" s="5">
        <f>SUMPRODUCT(Exposures!$B$6:$K$6,B538:K538)</f>
        <v/>
      </c>
      <c r="N538" s="5">
        <f>IF(AND($A538&gt;=DATE(2020,2,1),$A538&lt;=DATE(2020,5,31)),$M538,"")</f>
        <v/>
      </c>
      <c r="O538" s="5">
        <f>IF(AND($A538&gt;=DATE(2022,1,1),$A538&lt;=DATE(2022,10,31)),$M538,"")</f>
        <v/>
      </c>
      <c r="P538" s="5">
        <f>IF(AND($A538&gt;=DATE(2018,10,1),$A538&lt;=DATE(2018,12,31)),$M538,"")</f>
        <v/>
      </c>
      <c r="Q538" s="5">
        <f>SUMPRODUCT(Exposures!$B$8:$K$8,B538:K538)</f>
        <v/>
      </c>
      <c r="R538" s="5">
        <f>SUMPRODUCT(Exposures!$B$9:$K$9,B538:K538)</f>
        <v/>
      </c>
      <c r="S538" s="5">
        <f>SUMPRODUCT(Exposures!$B$10:$K$10,B538:K538)</f>
        <v/>
      </c>
    </row>
    <row r="539">
      <c r="A539" s="1" t="n">
        <v>43238</v>
      </c>
      <c r="B539" s="5" t="n">
        <v>-0.001681527609848499</v>
      </c>
      <c r="C539" s="5" t="n">
        <v>-0.00205070037134613</v>
      </c>
      <c r="D539" s="5" t="n">
        <v>-0.002674017479285718</v>
      </c>
      <c r="E539" s="5" t="n">
        <v>-0.0004825393021812604</v>
      </c>
      <c r="F539" s="5" t="n">
        <v>-0.003936047710751903</v>
      </c>
      <c r="G539" s="5" t="n">
        <v>-0.002963197876698371</v>
      </c>
      <c r="H539" s="5" t="n">
        <v>0.004523232956777764</v>
      </c>
      <c r="I539" s="5" t="n">
        <v>0.001248214584581118</v>
      </c>
      <c r="J539" s="5" t="n">
        <v>-0.001886703401313235</v>
      </c>
      <c r="K539" s="5" t="n">
        <v>0.001150527311855585</v>
      </c>
      <c r="L539" s="5" t="n">
        <v>-0.001267115776423062</v>
      </c>
      <c r="M539" s="5">
        <f>SUMPRODUCT(Exposures!$B$6:$K$6,B539:K539)</f>
        <v/>
      </c>
      <c r="N539" s="5">
        <f>IF(AND($A539&gt;=DATE(2020,2,1),$A539&lt;=DATE(2020,5,31)),$M539,"")</f>
        <v/>
      </c>
      <c r="O539" s="5">
        <f>IF(AND($A539&gt;=DATE(2022,1,1),$A539&lt;=DATE(2022,10,31)),$M539,"")</f>
        <v/>
      </c>
      <c r="P539" s="5">
        <f>IF(AND($A539&gt;=DATE(2018,10,1),$A539&lt;=DATE(2018,12,31)),$M539,"")</f>
        <v/>
      </c>
      <c r="Q539" s="5">
        <f>SUMPRODUCT(Exposures!$B$8:$K$8,B539:K539)</f>
        <v/>
      </c>
      <c r="R539" s="5">
        <f>SUMPRODUCT(Exposures!$B$9:$K$9,B539:K539)</f>
        <v/>
      </c>
      <c r="S539" s="5">
        <f>SUMPRODUCT(Exposures!$B$10:$K$10,B539:K539)</f>
        <v/>
      </c>
    </row>
    <row r="540">
      <c r="A540" s="1" t="n">
        <v>43241</v>
      </c>
      <c r="B540" s="5" t="n">
        <v>0.003157273690553978</v>
      </c>
      <c r="C540" s="5" t="n">
        <v>0.001565319529905836</v>
      </c>
      <c r="D540" s="5" t="n">
        <v>0.0001423907154372845</v>
      </c>
      <c r="E540" s="5" t="n">
        <v>3.919709503245167e-05</v>
      </c>
      <c r="F540" s="5" t="n">
        <v>0.0002750297294082087</v>
      </c>
      <c r="G540" s="5" t="n">
        <v>0.003841230207403622</v>
      </c>
      <c r="H540" s="5" t="n">
        <v>-0.0001418195323667287</v>
      </c>
      <c r="I540" s="5" t="n">
        <v>0.000981894007158436</v>
      </c>
      <c r="J540" s="5" t="n">
        <v>-0.00636229440240803</v>
      </c>
      <c r="K540" s="5" t="n">
        <v>-0.002476038469303529</v>
      </c>
      <c r="L540" s="5" t="n">
        <v>-0.001002179076359032</v>
      </c>
      <c r="M540" s="5">
        <f>SUMPRODUCT(Exposures!$B$6:$K$6,B540:K540)</f>
        <v/>
      </c>
      <c r="N540" s="5">
        <f>IF(AND($A540&gt;=DATE(2020,2,1),$A540&lt;=DATE(2020,5,31)),$M540,"")</f>
        <v/>
      </c>
      <c r="O540" s="5">
        <f>IF(AND($A540&gt;=DATE(2022,1,1),$A540&lt;=DATE(2022,10,31)),$M540,"")</f>
        <v/>
      </c>
      <c r="P540" s="5">
        <f>IF(AND($A540&gt;=DATE(2018,10,1),$A540&lt;=DATE(2018,12,31)),$M540,"")</f>
        <v/>
      </c>
      <c r="Q540" s="5">
        <f>SUMPRODUCT(Exposures!$B$8:$K$8,B540:K540)</f>
        <v/>
      </c>
      <c r="R540" s="5">
        <f>SUMPRODUCT(Exposures!$B$9:$K$9,B540:K540)</f>
        <v/>
      </c>
      <c r="S540" s="5">
        <f>SUMPRODUCT(Exposures!$B$10:$K$10,B540:K540)</f>
        <v/>
      </c>
    </row>
    <row r="541">
      <c r="A541" s="1" t="n">
        <v>43242</v>
      </c>
      <c r="B541" s="5" t="n">
        <v>0.001706602330266575</v>
      </c>
      <c r="C541" s="5" t="n">
        <v>-0.00120139694648655</v>
      </c>
      <c r="D541" s="5" t="n">
        <v>0.0009020334375144181</v>
      </c>
      <c r="E541" s="5" t="n">
        <v>0.003765204107394114</v>
      </c>
      <c r="F541" s="5" t="n">
        <v>-0.001438866416848455</v>
      </c>
      <c r="G541" s="5" t="n">
        <v>-0.005597634686449754</v>
      </c>
      <c r="H541" s="5" t="n">
        <v>-0.001735255935072712</v>
      </c>
      <c r="I541" s="5" t="n">
        <v>0.0008475394636443651</v>
      </c>
      <c r="J541" s="5" t="n">
        <v>-0.005095755253339911</v>
      </c>
      <c r="K541" s="5" t="n">
        <v>0.0002553710588626885</v>
      </c>
      <c r="L541" s="5" t="n">
        <v>0.001933204412305042</v>
      </c>
      <c r="M541" s="5">
        <f>SUMPRODUCT(Exposures!$B$6:$K$6,B541:K541)</f>
        <v/>
      </c>
      <c r="N541" s="5">
        <f>IF(AND($A541&gt;=DATE(2020,2,1),$A541&lt;=DATE(2020,5,31)),$M541,"")</f>
        <v/>
      </c>
      <c r="O541" s="5">
        <f>IF(AND($A541&gt;=DATE(2022,1,1),$A541&lt;=DATE(2022,10,31)),$M541,"")</f>
        <v/>
      </c>
      <c r="P541" s="5">
        <f>IF(AND($A541&gt;=DATE(2018,10,1),$A541&lt;=DATE(2018,12,31)),$M541,"")</f>
        <v/>
      </c>
      <c r="Q541" s="5">
        <f>SUMPRODUCT(Exposures!$B$8:$K$8,B541:K541)</f>
        <v/>
      </c>
      <c r="R541" s="5">
        <f>SUMPRODUCT(Exposures!$B$9:$K$9,B541:K541)</f>
        <v/>
      </c>
      <c r="S541" s="5">
        <f>SUMPRODUCT(Exposures!$B$10:$K$10,B541:K541)</f>
        <v/>
      </c>
    </row>
    <row r="542">
      <c r="A542" s="1" t="n">
        <v>43243</v>
      </c>
      <c r="B542" s="5" t="n">
        <v>-0.002399574505852083</v>
      </c>
      <c r="C542" s="5" t="n">
        <v>0.001871309040657562</v>
      </c>
      <c r="D542" s="5" t="n">
        <v>-0.003476507164365868</v>
      </c>
      <c r="E542" s="5" t="n">
        <v>-0.00312859990525018</v>
      </c>
      <c r="F542" s="5" t="n">
        <v>0.004232011642765614</v>
      </c>
      <c r="G542" s="5" t="n">
        <v>0.002158675879278179</v>
      </c>
      <c r="H542" s="5" t="n">
        <v>-0.001052685768005012</v>
      </c>
      <c r="I542" s="5" t="n">
        <v>0.001353197856222762</v>
      </c>
      <c r="J542" s="5" t="n">
        <v>0.001690929269705097</v>
      </c>
      <c r="K542" s="5" t="n">
        <v>-0.002504088487683762</v>
      </c>
      <c r="L542" s="5" t="n">
        <v>-0.002246845215818167</v>
      </c>
      <c r="M542" s="5">
        <f>SUMPRODUCT(Exposures!$B$6:$K$6,B542:K542)</f>
        <v/>
      </c>
      <c r="N542" s="5">
        <f>IF(AND($A542&gt;=DATE(2020,2,1),$A542&lt;=DATE(2020,5,31)),$M542,"")</f>
        <v/>
      </c>
      <c r="O542" s="5">
        <f>IF(AND($A542&gt;=DATE(2022,1,1),$A542&lt;=DATE(2022,10,31)),$M542,"")</f>
        <v/>
      </c>
      <c r="P542" s="5">
        <f>IF(AND($A542&gt;=DATE(2018,10,1),$A542&lt;=DATE(2018,12,31)),$M542,"")</f>
        <v/>
      </c>
      <c r="Q542" s="5">
        <f>SUMPRODUCT(Exposures!$B$8:$K$8,B542:K542)</f>
        <v/>
      </c>
      <c r="R542" s="5">
        <f>SUMPRODUCT(Exposures!$B$9:$K$9,B542:K542)</f>
        <v/>
      </c>
      <c r="S542" s="5">
        <f>SUMPRODUCT(Exposures!$B$10:$K$10,B542:K542)</f>
        <v/>
      </c>
    </row>
    <row r="543">
      <c r="A543" s="1" t="n">
        <v>43244</v>
      </c>
      <c r="B543" s="5" t="n">
        <v>-0.0001410038147856863</v>
      </c>
      <c r="C543" s="5" t="n">
        <v>-0.0002450732286902213</v>
      </c>
      <c r="D543" s="5" t="n">
        <v>-0.003272031278060219</v>
      </c>
      <c r="E543" s="5" t="n">
        <v>0.0004256435926683964</v>
      </c>
      <c r="F543" s="5" t="n">
        <v>0.006889094329806888</v>
      </c>
      <c r="G543" s="5" t="n">
        <v>-0.0009193484037528939</v>
      </c>
      <c r="H543" s="5" t="n">
        <v>0.0007123127692196088</v>
      </c>
      <c r="I543" s="5" t="n">
        <v>-0.0009026741029228869</v>
      </c>
      <c r="J543" s="5" t="n">
        <v>-0.001045357373284476</v>
      </c>
      <c r="K543" s="5" t="n">
        <v>-0.00772084968210422</v>
      </c>
      <c r="L543" s="5" t="n">
        <v>-0.002931946636362971</v>
      </c>
      <c r="M543" s="5">
        <f>SUMPRODUCT(Exposures!$B$6:$K$6,B543:K543)</f>
        <v/>
      </c>
      <c r="N543" s="5">
        <f>IF(AND($A543&gt;=DATE(2020,2,1),$A543&lt;=DATE(2020,5,31)),$M543,"")</f>
        <v/>
      </c>
      <c r="O543" s="5">
        <f>IF(AND($A543&gt;=DATE(2022,1,1),$A543&lt;=DATE(2022,10,31)),$M543,"")</f>
        <v/>
      </c>
      <c r="P543" s="5">
        <f>IF(AND($A543&gt;=DATE(2018,10,1),$A543&lt;=DATE(2018,12,31)),$M543,"")</f>
        <v/>
      </c>
      <c r="Q543" s="5">
        <f>SUMPRODUCT(Exposures!$B$8:$K$8,B543:K543)</f>
        <v/>
      </c>
      <c r="R543" s="5">
        <f>SUMPRODUCT(Exposures!$B$9:$K$9,B543:K543)</f>
        <v/>
      </c>
      <c r="S543" s="5">
        <f>SUMPRODUCT(Exposures!$B$10:$K$10,B543:K543)</f>
        <v/>
      </c>
    </row>
    <row r="544">
      <c r="A544" s="1" t="n">
        <v>43245</v>
      </c>
      <c r="B544" s="5" t="n">
        <v>-0.001816760255506722</v>
      </c>
      <c r="C544" s="5" t="n">
        <v>0.001816531299116919</v>
      </c>
      <c r="D544" s="5" t="n">
        <v>0.0007682889137863865</v>
      </c>
      <c r="E544" s="5" t="n">
        <v>0.0002816930621091645</v>
      </c>
      <c r="F544" s="5" t="n">
        <v>-0.001767659154004434</v>
      </c>
      <c r="G544" s="5" t="n">
        <v>0.0003796394916970141</v>
      </c>
      <c r="H544" s="5" t="n">
        <v>-0.002356620735644846</v>
      </c>
      <c r="I544" s="5" t="n">
        <v>-0.001232073767051103</v>
      </c>
      <c r="J544" s="5" t="n">
        <v>0.002008178160933061</v>
      </c>
      <c r="K544" s="5" t="n">
        <v>0.002258738705599637</v>
      </c>
      <c r="L544" s="5" t="n">
        <v>-0.001550877693242337</v>
      </c>
      <c r="M544" s="5">
        <f>SUMPRODUCT(Exposures!$B$6:$K$6,B544:K544)</f>
        <v/>
      </c>
      <c r="N544" s="5">
        <f>IF(AND($A544&gt;=DATE(2020,2,1),$A544&lt;=DATE(2020,5,31)),$M544,"")</f>
        <v/>
      </c>
      <c r="O544" s="5">
        <f>IF(AND($A544&gt;=DATE(2022,1,1),$A544&lt;=DATE(2022,10,31)),$M544,"")</f>
        <v/>
      </c>
      <c r="P544" s="5">
        <f>IF(AND($A544&gt;=DATE(2018,10,1),$A544&lt;=DATE(2018,12,31)),$M544,"")</f>
        <v/>
      </c>
      <c r="Q544" s="5">
        <f>SUMPRODUCT(Exposures!$B$8:$K$8,B544:K544)</f>
        <v/>
      </c>
      <c r="R544" s="5">
        <f>SUMPRODUCT(Exposures!$B$9:$K$9,B544:K544)</f>
        <v/>
      </c>
      <c r="S544" s="5">
        <f>SUMPRODUCT(Exposures!$B$10:$K$10,B544:K544)</f>
        <v/>
      </c>
    </row>
    <row r="545">
      <c r="A545" s="1" t="n">
        <v>43249</v>
      </c>
      <c r="B545" s="5" t="n">
        <v>-0.006074287449116972</v>
      </c>
      <c r="C545" s="5" t="n">
        <v>0.001432128205978548</v>
      </c>
      <c r="D545" s="5" t="n">
        <v>-3.234815658782839e-05</v>
      </c>
      <c r="E545" s="5" t="n">
        <v>-0.004081572004272949</v>
      </c>
      <c r="F545" s="5" t="n">
        <v>0.002221537250686501</v>
      </c>
      <c r="G545" s="5" t="n">
        <v>-0.006384401341100011</v>
      </c>
      <c r="H545" s="5" t="n">
        <v>0.002632048060813854</v>
      </c>
      <c r="I545" s="5" t="n">
        <v>0.002782872102946829</v>
      </c>
      <c r="J545" s="5" t="n">
        <v>0.005949545795102447</v>
      </c>
      <c r="K545" s="5" t="n">
        <v>-0.004361043770377475</v>
      </c>
      <c r="L545" s="5" t="n">
        <v>-0.003389962333294878</v>
      </c>
      <c r="M545" s="5">
        <f>SUMPRODUCT(Exposures!$B$6:$K$6,B545:K545)</f>
        <v/>
      </c>
      <c r="N545" s="5">
        <f>IF(AND($A545&gt;=DATE(2020,2,1),$A545&lt;=DATE(2020,5,31)),$M545,"")</f>
        <v/>
      </c>
      <c r="O545" s="5">
        <f>IF(AND($A545&gt;=DATE(2022,1,1),$A545&lt;=DATE(2022,10,31)),$M545,"")</f>
        <v/>
      </c>
      <c r="P545" s="5">
        <f>IF(AND($A545&gt;=DATE(2018,10,1),$A545&lt;=DATE(2018,12,31)),$M545,"")</f>
        <v/>
      </c>
      <c r="Q545" s="5">
        <f>SUMPRODUCT(Exposures!$B$8:$K$8,B545:K545)</f>
        <v/>
      </c>
      <c r="R545" s="5">
        <f>SUMPRODUCT(Exposures!$B$9:$K$9,B545:K545)</f>
        <v/>
      </c>
      <c r="S545" s="5">
        <f>SUMPRODUCT(Exposures!$B$10:$K$10,B545:K545)</f>
        <v/>
      </c>
    </row>
    <row r="546">
      <c r="A546" s="1" t="n">
        <v>43250</v>
      </c>
      <c r="B546" s="5" t="n">
        <v>-0.0008982159411479724</v>
      </c>
      <c r="C546" s="5" t="n">
        <v>-0.0004018235044455937</v>
      </c>
      <c r="D546" s="5" t="n">
        <v>0.001399928997316078</v>
      </c>
      <c r="E546" s="5" t="n">
        <v>0.001095021249045357</v>
      </c>
      <c r="F546" s="5" t="n">
        <v>-0.0004878552660700845</v>
      </c>
      <c r="G546" s="5" t="n">
        <v>0.01525623602311694</v>
      </c>
      <c r="H546" s="5" t="n">
        <v>-0.000986022176315675</v>
      </c>
      <c r="I546" s="5" t="n">
        <v>0.0008415531638546227</v>
      </c>
      <c r="J546" s="5" t="n">
        <v>0.003735127383141538</v>
      </c>
      <c r="K546" s="5" t="n">
        <v>-9.826361504821995e-05</v>
      </c>
      <c r="L546" s="5" t="n">
        <v>0.001289871425466264</v>
      </c>
      <c r="M546" s="5">
        <f>SUMPRODUCT(Exposures!$B$6:$K$6,B546:K546)</f>
        <v/>
      </c>
      <c r="N546" s="5">
        <f>IF(AND($A546&gt;=DATE(2020,2,1),$A546&lt;=DATE(2020,5,31)),$M546,"")</f>
        <v/>
      </c>
      <c r="O546" s="5">
        <f>IF(AND($A546&gt;=DATE(2022,1,1),$A546&lt;=DATE(2022,10,31)),$M546,"")</f>
        <v/>
      </c>
      <c r="P546" s="5">
        <f>IF(AND($A546&gt;=DATE(2018,10,1),$A546&lt;=DATE(2018,12,31)),$M546,"")</f>
        <v/>
      </c>
      <c r="Q546" s="5">
        <f>SUMPRODUCT(Exposures!$B$8:$K$8,B546:K546)</f>
        <v/>
      </c>
      <c r="R546" s="5">
        <f>SUMPRODUCT(Exposures!$B$9:$K$9,B546:K546)</f>
        <v/>
      </c>
      <c r="S546" s="5">
        <f>SUMPRODUCT(Exposures!$B$10:$K$10,B546:K546)</f>
        <v/>
      </c>
    </row>
    <row r="547">
      <c r="A547" s="1" t="n">
        <v>43251</v>
      </c>
      <c r="B547" s="5" t="n">
        <v>0.0009715816518556043</v>
      </c>
      <c r="C547" s="5" t="n">
        <v>0.00228222112196574</v>
      </c>
      <c r="D547" s="5" t="n">
        <v>-0.0006809302828155109</v>
      </c>
      <c r="E547" s="5" t="n">
        <v>-0.002687206566915179</v>
      </c>
      <c r="F547" s="5" t="n">
        <v>-0.003554324732808312</v>
      </c>
      <c r="G547" s="5" t="n">
        <v>-0.00612872338682279</v>
      </c>
      <c r="H547" s="5" t="n">
        <v>0.0005207354287269009</v>
      </c>
      <c r="I547" s="5" t="n">
        <v>-0.0001705465223763805</v>
      </c>
      <c r="J547" s="5" t="n">
        <v>0.003776658212931459</v>
      </c>
      <c r="K547" s="5" t="n">
        <v>0.003430930119536073</v>
      </c>
      <c r="L547" s="5" t="n">
        <v>0.002035563794348938</v>
      </c>
      <c r="M547" s="5">
        <f>SUMPRODUCT(Exposures!$B$6:$K$6,B547:K547)</f>
        <v/>
      </c>
      <c r="N547" s="5">
        <f>IF(AND($A547&gt;=DATE(2020,2,1),$A547&lt;=DATE(2020,5,31)),$M547,"")</f>
        <v/>
      </c>
      <c r="O547" s="5">
        <f>IF(AND($A547&gt;=DATE(2022,1,1),$A547&lt;=DATE(2022,10,31)),$M547,"")</f>
        <v/>
      </c>
      <c r="P547" s="5">
        <f>IF(AND($A547&gt;=DATE(2018,10,1),$A547&lt;=DATE(2018,12,31)),$M547,"")</f>
        <v/>
      </c>
      <c r="Q547" s="5">
        <f>SUMPRODUCT(Exposures!$B$8:$K$8,B547:K547)</f>
        <v/>
      </c>
      <c r="R547" s="5">
        <f>SUMPRODUCT(Exposures!$B$9:$K$9,B547:K547)</f>
        <v/>
      </c>
      <c r="S547" s="5">
        <f>SUMPRODUCT(Exposures!$B$10:$K$10,B547:K547)</f>
        <v/>
      </c>
    </row>
    <row r="548">
      <c r="A548" s="1" t="n">
        <v>43252</v>
      </c>
      <c r="B548" s="5" t="n">
        <v>0.007930378426175898</v>
      </c>
      <c r="C548" s="5" t="n">
        <v>0.0006131083759341317</v>
      </c>
      <c r="D548" s="5" t="n">
        <v>-0.003177322226783295</v>
      </c>
      <c r="E548" s="5" t="n">
        <v>-0.001534133764436335</v>
      </c>
      <c r="F548" s="5" t="n">
        <v>0.002863591207689715</v>
      </c>
      <c r="G548" s="5" t="n">
        <v>0.005333387896147988</v>
      </c>
      <c r="H548" s="5" t="n">
        <v>-0.002445038745163307</v>
      </c>
      <c r="I548" s="5" t="n">
        <v>0.001412581153086772</v>
      </c>
      <c r="J548" s="5" t="n">
        <v>-0.004405687798400507</v>
      </c>
      <c r="K548" s="5" t="n">
        <v>-0.002896786910867516</v>
      </c>
      <c r="L548" s="5" t="n">
        <v>0.0002858354421756291</v>
      </c>
      <c r="M548" s="5">
        <f>SUMPRODUCT(Exposures!$B$6:$K$6,B548:K548)</f>
        <v/>
      </c>
      <c r="N548" s="5">
        <f>IF(AND($A548&gt;=DATE(2020,2,1),$A548&lt;=DATE(2020,5,31)),$M548,"")</f>
        <v/>
      </c>
      <c r="O548" s="5">
        <f>IF(AND($A548&gt;=DATE(2022,1,1),$A548&lt;=DATE(2022,10,31)),$M548,"")</f>
        <v/>
      </c>
      <c r="P548" s="5">
        <f>IF(AND($A548&gt;=DATE(2018,10,1),$A548&lt;=DATE(2018,12,31)),$M548,"")</f>
        <v/>
      </c>
      <c r="Q548" s="5">
        <f>SUMPRODUCT(Exposures!$B$8:$K$8,B548:K548)</f>
        <v/>
      </c>
      <c r="R548" s="5">
        <f>SUMPRODUCT(Exposures!$B$9:$K$9,B548:K548)</f>
        <v/>
      </c>
      <c r="S548" s="5">
        <f>SUMPRODUCT(Exposures!$B$10:$K$10,B548:K548)</f>
        <v/>
      </c>
    </row>
    <row r="549">
      <c r="A549" s="1" t="n">
        <v>43255</v>
      </c>
      <c r="B549" s="5" t="n">
        <v>-0.0009324426327774783</v>
      </c>
      <c r="C549" s="5" t="n">
        <v>-6.973346169878812e-05</v>
      </c>
      <c r="D549" s="5" t="n">
        <v>0.00385035446025079</v>
      </c>
      <c r="E549" s="5" t="n">
        <v>2.066161588219095e-05</v>
      </c>
      <c r="F549" s="5" t="n">
        <v>0.008195794119422985</v>
      </c>
      <c r="G549" s="5" t="n">
        <v>0.005823063301736062</v>
      </c>
      <c r="H549" s="5" t="n">
        <v>0.002587987947571085</v>
      </c>
      <c r="I549" s="5" t="n">
        <v>0.0002460609322294756</v>
      </c>
      <c r="J549" s="5" t="n">
        <v>0.001995965497230345</v>
      </c>
      <c r="K549" s="5" t="n">
        <v>-0.005889841127663553</v>
      </c>
      <c r="L549" s="5" t="n">
        <v>-0.0009764503741606255</v>
      </c>
      <c r="M549" s="5">
        <f>SUMPRODUCT(Exposures!$B$6:$K$6,B549:K549)</f>
        <v/>
      </c>
      <c r="N549" s="5">
        <f>IF(AND($A549&gt;=DATE(2020,2,1),$A549&lt;=DATE(2020,5,31)),$M549,"")</f>
        <v/>
      </c>
      <c r="O549" s="5">
        <f>IF(AND($A549&gt;=DATE(2022,1,1),$A549&lt;=DATE(2022,10,31)),$M549,"")</f>
        <v/>
      </c>
      <c r="P549" s="5">
        <f>IF(AND($A549&gt;=DATE(2018,10,1),$A549&lt;=DATE(2018,12,31)),$M549,"")</f>
        <v/>
      </c>
      <c r="Q549" s="5">
        <f>SUMPRODUCT(Exposures!$B$8:$K$8,B549:K549)</f>
        <v/>
      </c>
      <c r="R549" s="5">
        <f>SUMPRODUCT(Exposures!$B$9:$K$9,B549:K549)</f>
        <v/>
      </c>
      <c r="S549" s="5">
        <f>SUMPRODUCT(Exposures!$B$10:$K$10,B549:K549)</f>
        <v/>
      </c>
    </row>
    <row r="550">
      <c r="A550" s="1" t="n">
        <v>43256</v>
      </c>
      <c r="B550" s="5" t="n">
        <v>0.0009891418440022043</v>
      </c>
      <c r="C550" s="5" t="n">
        <v>-0.000396757116578446</v>
      </c>
      <c r="D550" s="5" t="n">
        <v>8.794198647225178e-05</v>
      </c>
      <c r="E550" s="5" t="n">
        <v>-0.0009748447513581403</v>
      </c>
      <c r="F550" s="5" t="n">
        <v>0.008427200566512154</v>
      </c>
      <c r="G550" s="5" t="n">
        <v>0.00196307953040082</v>
      </c>
      <c r="H550" s="5" t="n">
        <v>0.001685094406393442</v>
      </c>
      <c r="I550" s="5" t="n">
        <v>0.0005384269775459488</v>
      </c>
      <c r="J550" s="5" t="n">
        <v>-0.0003681690475202077</v>
      </c>
      <c r="K550" s="5" t="n">
        <v>-0.01070283759079436</v>
      </c>
      <c r="L550" s="5" t="n">
        <v>-0.00204333326072536</v>
      </c>
      <c r="M550" s="5">
        <f>SUMPRODUCT(Exposures!$B$6:$K$6,B550:K550)</f>
        <v/>
      </c>
      <c r="N550" s="5">
        <f>IF(AND($A550&gt;=DATE(2020,2,1),$A550&lt;=DATE(2020,5,31)),$M550,"")</f>
        <v/>
      </c>
      <c r="O550" s="5">
        <f>IF(AND($A550&gt;=DATE(2022,1,1),$A550&lt;=DATE(2022,10,31)),$M550,"")</f>
        <v/>
      </c>
      <c r="P550" s="5">
        <f>IF(AND($A550&gt;=DATE(2018,10,1),$A550&lt;=DATE(2018,12,31)),$M550,"")</f>
        <v/>
      </c>
      <c r="Q550" s="5">
        <f>SUMPRODUCT(Exposures!$B$8:$K$8,B550:K550)</f>
        <v/>
      </c>
      <c r="R550" s="5">
        <f>SUMPRODUCT(Exposures!$B$9:$K$9,B550:K550)</f>
        <v/>
      </c>
      <c r="S550" s="5">
        <f>SUMPRODUCT(Exposures!$B$10:$K$10,B550:K550)</f>
        <v/>
      </c>
    </row>
    <row r="551">
      <c r="A551" s="1" t="n">
        <v>43257</v>
      </c>
      <c r="B551" s="5" t="n">
        <v>0.005367726724353056</v>
      </c>
      <c r="C551" s="5" t="n">
        <v>-0.0008385984941067105</v>
      </c>
      <c r="D551" s="5" t="n">
        <v>-0.0005798498466488618</v>
      </c>
      <c r="E551" s="5" t="n">
        <v>0.004932381172807669</v>
      </c>
      <c r="F551" s="5" t="n">
        <v>-0.006409931854308478</v>
      </c>
      <c r="G551" s="5" t="n">
        <v>0.008985764366597119</v>
      </c>
      <c r="H551" s="5" t="n">
        <v>-0.001357080921138163</v>
      </c>
      <c r="I551" s="5" t="n">
        <v>-7.333597732250602e-05</v>
      </c>
      <c r="J551" s="5" t="n">
        <v>0.003739994731350827</v>
      </c>
      <c r="K551" s="5" t="n">
        <v>0.006484954624115056</v>
      </c>
      <c r="L551" s="5" t="n">
        <v>0.000913200344033015</v>
      </c>
      <c r="M551" s="5">
        <f>SUMPRODUCT(Exposures!$B$6:$K$6,B551:K551)</f>
        <v/>
      </c>
      <c r="N551" s="5">
        <f>IF(AND($A551&gt;=DATE(2020,2,1),$A551&lt;=DATE(2020,5,31)),$M551,"")</f>
        <v/>
      </c>
      <c r="O551" s="5">
        <f>IF(AND($A551&gt;=DATE(2022,1,1),$A551&lt;=DATE(2022,10,31)),$M551,"")</f>
        <v/>
      </c>
      <c r="P551" s="5">
        <f>IF(AND($A551&gt;=DATE(2018,10,1),$A551&lt;=DATE(2018,12,31)),$M551,"")</f>
        <v/>
      </c>
      <c r="Q551" s="5">
        <f>SUMPRODUCT(Exposures!$B$8:$K$8,B551:K551)</f>
        <v/>
      </c>
      <c r="R551" s="5">
        <f>SUMPRODUCT(Exposures!$B$9:$K$9,B551:K551)</f>
        <v/>
      </c>
      <c r="S551" s="5">
        <f>SUMPRODUCT(Exposures!$B$10:$K$10,B551:K551)</f>
        <v/>
      </c>
    </row>
    <row r="552">
      <c r="A552" s="1" t="n">
        <v>43258</v>
      </c>
      <c r="B552" s="5" t="n">
        <v>-0.00286593584274644</v>
      </c>
      <c r="C552" s="5" t="n">
        <v>-0.0009013685078575899</v>
      </c>
      <c r="D552" s="5" t="n">
        <v>-0.005105370381206065</v>
      </c>
      <c r="E552" s="5" t="n">
        <v>0.001621371021736361</v>
      </c>
      <c r="F552" s="5" t="n">
        <v>-0.004251756698319077</v>
      </c>
      <c r="G552" s="5" t="n">
        <v>-0.001158343606390648</v>
      </c>
      <c r="H552" s="5" t="n">
        <v>-0.002595244363535642</v>
      </c>
      <c r="I552" s="5" t="n">
        <v>0.0005770766976476722</v>
      </c>
      <c r="J552" s="5" t="n">
        <v>-0.001782356998588115</v>
      </c>
      <c r="K552" s="5" t="n">
        <v>0.002983637940509349</v>
      </c>
      <c r="L552" s="5" t="n">
        <v>0.001368526856419354</v>
      </c>
      <c r="M552" s="5">
        <f>SUMPRODUCT(Exposures!$B$6:$K$6,B552:K552)</f>
        <v/>
      </c>
      <c r="N552" s="5">
        <f>IF(AND($A552&gt;=DATE(2020,2,1),$A552&lt;=DATE(2020,5,31)),$M552,"")</f>
        <v/>
      </c>
      <c r="O552" s="5">
        <f>IF(AND($A552&gt;=DATE(2022,1,1),$A552&lt;=DATE(2022,10,31)),$M552,"")</f>
        <v/>
      </c>
      <c r="P552" s="5">
        <f>IF(AND($A552&gt;=DATE(2018,10,1),$A552&lt;=DATE(2018,12,31)),$M552,"")</f>
        <v/>
      </c>
      <c r="Q552" s="5">
        <f>SUMPRODUCT(Exposures!$B$8:$K$8,B552:K552)</f>
        <v/>
      </c>
      <c r="R552" s="5">
        <f>SUMPRODUCT(Exposures!$B$9:$K$9,B552:K552)</f>
        <v/>
      </c>
      <c r="S552" s="5">
        <f>SUMPRODUCT(Exposures!$B$10:$K$10,B552:K552)</f>
        <v/>
      </c>
    </row>
    <row r="553">
      <c r="A553" s="1" t="n">
        <v>43259</v>
      </c>
      <c r="B553" s="5" t="n">
        <v>-0.001759970549525322</v>
      </c>
      <c r="C553" s="5" t="n">
        <v>-0.0008893642741301699</v>
      </c>
      <c r="D553" s="5" t="n">
        <v>0.001021054708543497</v>
      </c>
      <c r="E553" s="5" t="n">
        <v>0.002111918210230407</v>
      </c>
      <c r="F553" s="5" t="n">
        <v>-0.0005457982489763453</v>
      </c>
      <c r="G553" s="5" t="n">
        <v>0.00472311596483741</v>
      </c>
      <c r="H553" s="5" t="n">
        <v>0.0002233647971675568</v>
      </c>
      <c r="I553" s="5" t="n">
        <v>-0.001218089525600355</v>
      </c>
      <c r="J553" s="5" t="n">
        <v>0.004133054411133942</v>
      </c>
      <c r="K553" s="5" t="n">
        <v>0.002303047828562933</v>
      </c>
      <c r="L553" s="5" t="n">
        <v>0.0002325408662657493</v>
      </c>
      <c r="M553" s="5">
        <f>SUMPRODUCT(Exposures!$B$6:$K$6,B553:K553)</f>
        <v/>
      </c>
      <c r="N553" s="5">
        <f>IF(AND($A553&gt;=DATE(2020,2,1),$A553&lt;=DATE(2020,5,31)),$M553,"")</f>
        <v/>
      </c>
      <c r="O553" s="5">
        <f>IF(AND($A553&gt;=DATE(2022,1,1),$A553&lt;=DATE(2022,10,31)),$M553,"")</f>
        <v/>
      </c>
      <c r="P553" s="5">
        <f>IF(AND($A553&gt;=DATE(2018,10,1),$A553&lt;=DATE(2018,12,31)),$M553,"")</f>
        <v/>
      </c>
      <c r="Q553" s="5">
        <f>SUMPRODUCT(Exposures!$B$8:$K$8,B553:K553)</f>
        <v/>
      </c>
      <c r="R553" s="5">
        <f>SUMPRODUCT(Exposures!$B$9:$K$9,B553:K553)</f>
        <v/>
      </c>
      <c r="S553" s="5">
        <f>SUMPRODUCT(Exposures!$B$10:$K$10,B553:K553)</f>
        <v/>
      </c>
    </row>
    <row r="554">
      <c r="A554" s="1" t="n">
        <v>43262</v>
      </c>
      <c r="B554" s="5" t="n">
        <v>0.0002416014111052847</v>
      </c>
      <c r="C554" s="5" t="n">
        <v>-0.0008983340515633143</v>
      </c>
      <c r="D554" s="5" t="n">
        <v>-0.002252672575157476</v>
      </c>
      <c r="E554" s="5" t="n">
        <v>0.0001408586475199734</v>
      </c>
      <c r="F554" s="5" t="n">
        <v>0.00450920031874161</v>
      </c>
      <c r="G554" s="5" t="n">
        <v>0.003509704567613238</v>
      </c>
      <c r="H554" s="5" t="n">
        <v>-0.001592197248296055</v>
      </c>
      <c r="I554" s="5" t="n">
        <v>0.0007100026421994807</v>
      </c>
      <c r="J554" s="5" t="n">
        <v>0.001655398079665092</v>
      </c>
      <c r="K554" s="5" t="n">
        <v>-0.003832578100602528</v>
      </c>
      <c r="L554" s="5" t="n">
        <v>-0.0005908477888622798</v>
      </c>
      <c r="M554" s="5">
        <f>SUMPRODUCT(Exposures!$B$6:$K$6,B554:K554)</f>
        <v/>
      </c>
      <c r="N554" s="5">
        <f>IF(AND($A554&gt;=DATE(2020,2,1),$A554&lt;=DATE(2020,5,31)),$M554,"")</f>
        <v/>
      </c>
      <c r="O554" s="5">
        <f>IF(AND($A554&gt;=DATE(2022,1,1),$A554&lt;=DATE(2022,10,31)),$M554,"")</f>
        <v/>
      </c>
      <c r="P554" s="5">
        <f>IF(AND($A554&gt;=DATE(2018,10,1),$A554&lt;=DATE(2018,12,31)),$M554,"")</f>
        <v/>
      </c>
      <c r="Q554" s="5">
        <f>SUMPRODUCT(Exposures!$B$8:$K$8,B554:K554)</f>
        <v/>
      </c>
      <c r="R554" s="5">
        <f>SUMPRODUCT(Exposures!$B$9:$K$9,B554:K554)</f>
        <v/>
      </c>
      <c r="S554" s="5">
        <f>SUMPRODUCT(Exposures!$B$10:$K$10,B554:K554)</f>
        <v/>
      </c>
    </row>
    <row r="555">
      <c r="A555" s="1" t="n">
        <v>43263</v>
      </c>
      <c r="B555" s="5" t="n">
        <v>-0.003395069481758188</v>
      </c>
      <c r="C555" s="5" t="n">
        <v>0.001101287684279763</v>
      </c>
      <c r="D555" s="5" t="n">
        <v>0.002189817528695914</v>
      </c>
      <c r="E555" s="5" t="n">
        <v>-0.001375170528234093</v>
      </c>
      <c r="F555" s="5" t="n">
        <v>0.004237264447994897</v>
      </c>
      <c r="G555" s="5" t="n">
        <v>0.004553229948594053</v>
      </c>
      <c r="H555" s="5" t="n">
        <v>0.00144367228146043</v>
      </c>
      <c r="I555" s="5" t="n">
        <v>-0.0005728249093633416</v>
      </c>
      <c r="J555" s="5" t="n">
        <v>0.003550638224104511</v>
      </c>
      <c r="K555" s="5" t="n">
        <v>-0.002027207444385101</v>
      </c>
      <c r="L555" s="5" t="n">
        <v>-0.001397525919712069</v>
      </c>
      <c r="M555" s="5">
        <f>SUMPRODUCT(Exposures!$B$6:$K$6,B555:K555)</f>
        <v/>
      </c>
      <c r="N555" s="5">
        <f>IF(AND($A555&gt;=DATE(2020,2,1),$A555&lt;=DATE(2020,5,31)),$M555,"")</f>
        <v/>
      </c>
      <c r="O555" s="5">
        <f>IF(AND($A555&gt;=DATE(2022,1,1),$A555&lt;=DATE(2022,10,31)),$M555,"")</f>
        <v/>
      </c>
      <c r="P555" s="5">
        <f>IF(AND($A555&gt;=DATE(2018,10,1),$A555&lt;=DATE(2018,12,31)),$M555,"")</f>
        <v/>
      </c>
      <c r="Q555" s="5">
        <f>SUMPRODUCT(Exposures!$B$8:$K$8,B555:K555)</f>
        <v/>
      </c>
      <c r="R555" s="5">
        <f>SUMPRODUCT(Exposures!$B$9:$K$9,B555:K555)</f>
        <v/>
      </c>
      <c r="S555" s="5">
        <f>SUMPRODUCT(Exposures!$B$10:$K$10,B555:K555)</f>
        <v/>
      </c>
    </row>
    <row r="556">
      <c r="A556" s="1" t="n">
        <v>43264</v>
      </c>
      <c r="B556" s="5" t="n">
        <v>-0.0002076990178244927</v>
      </c>
      <c r="C556" s="5" t="n">
        <v>0.00380245659805052</v>
      </c>
      <c r="D556" s="5" t="n">
        <v>-0.0007282073199788041</v>
      </c>
      <c r="E556" s="5" t="n">
        <v>0.001044479563514537</v>
      </c>
      <c r="F556" s="5" t="n">
        <v>-0.002142537391474777</v>
      </c>
      <c r="G556" s="5" t="n">
        <v>-0.006485386963444794</v>
      </c>
      <c r="H556" s="5" t="n">
        <v>-0.0002960753782279013</v>
      </c>
      <c r="I556" s="5" t="n">
        <v>0.001238630413606978</v>
      </c>
      <c r="J556" s="5" t="n">
        <v>0.0002858303906381067</v>
      </c>
      <c r="K556" s="5" t="n">
        <v>0.002320534074494386</v>
      </c>
      <c r="L556" s="5" t="n">
        <v>0.0005576114950166653</v>
      </c>
      <c r="M556" s="5">
        <f>SUMPRODUCT(Exposures!$B$6:$K$6,B556:K556)</f>
        <v/>
      </c>
      <c r="N556" s="5">
        <f>IF(AND($A556&gt;=DATE(2020,2,1),$A556&lt;=DATE(2020,5,31)),$M556,"")</f>
        <v/>
      </c>
      <c r="O556" s="5">
        <f>IF(AND($A556&gt;=DATE(2022,1,1),$A556&lt;=DATE(2022,10,31)),$M556,"")</f>
        <v/>
      </c>
      <c r="P556" s="5">
        <f>IF(AND($A556&gt;=DATE(2018,10,1),$A556&lt;=DATE(2018,12,31)),$M556,"")</f>
        <v/>
      </c>
      <c r="Q556" s="5">
        <f>SUMPRODUCT(Exposures!$B$8:$K$8,B556:K556)</f>
        <v/>
      </c>
      <c r="R556" s="5">
        <f>SUMPRODUCT(Exposures!$B$9:$K$9,B556:K556)</f>
        <v/>
      </c>
      <c r="S556" s="5">
        <f>SUMPRODUCT(Exposures!$B$10:$K$10,B556:K556)</f>
        <v/>
      </c>
    </row>
    <row r="557">
      <c r="A557" s="1" t="n">
        <v>43265</v>
      </c>
      <c r="B557" s="5" t="n">
        <v>-0.003628534591954773</v>
      </c>
      <c r="C557" s="5" t="n">
        <v>0.002300807125587426</v>
      </c>
      <c r="D557" s="5" t="n">
        <v>0.00191269351378433</v>
      </c>
      <c r="E557" s="5" t="n">
        <v>-0.001755771923328606</v>
      </c>
      <c r="F557" s="5" t="n">
        <v>-0.003321551231571975</v>
      </c>
      <c r="G557" s="5" t="n">
        <v>0.006104858767147881</v>
      </c>
      <c r="H557" s="5" t="n">
        <v>-0.0003653780094630937</v>
      </c>
      <c r="I557" s="5" t="n">
        <v>0.001109712490091125</v>
      </c>
      <c r="J557" s="5" t="n">
        <v>0.004231799439880821</v>
      </c>
      <c r="K557" s="5" t="n">
        <v>0.003636031025957275</v>
      </c>
      <c r="L557" s="5" t="n">
        <v>-0.0004635995811183761</v>
      </c>
      <c r="M557" s="5">
        <f>SUMPRODUCT(Exposures!$B$6:$K$6,B557:K557)</f>
        <v/>
      </c>
      <c r="N557" s="5">
        <f>IF(AND($A557&gt;=DATE(2020,2,1),$A557&lt;=DATE(2020,5,31)),$M557,"")</f>
        <v/>
      </c>
      <c r="O557" s="5">
        <f>IF(AND($A557&gt;=DATE(2022,1,1),$A557&lt;=DATE(2022,10,31)),$M557,"")</f>
        <v/>
      </c>
      <c r="P557" s="5">
        <f>IF(AND($A557&gt;=DATE(2018,10,1),$A557&lt;=DATE(2018,12,31)),$M557,"")</f>
        <v/>
      </c>
      <c r="Q557" s="5">
        <f>SUMPRODUCT(Exposures!$B$8:$K$8,B557:K557)</f>
        <v/>
      </c>
      <c r="R557" s="5">
        <f>SUMPRODUCT(Exposures!$B$9:$K$9,B557:K557)</f>
        <v/>
      </c>
      <c r="S557" s="5">
        <f>SUMPRODUCT(Exposures!$B$10:$K$10,B557:K557)</f>
        <v/>
      </c>
    </row>
    <row r="558">
      <c r="A558" s="1" t="n">
        <v>43266</v>
      </c>
      <c r="B558" s="5" t="n">
        <v>0.000109039503028145</v>
      </c>
      <c r="C558" s="5" t="n">
        <v>0.0008505672962802566</v>
      </c>
      <c r="D558" s="5" t="n">
        <v>-0.0009074590018722853</v>
      </c>
      <c r="E558" s="5" t="n">
        <v>0.001016548623000232</v>
      </c>
      <c r="F558" s="5" t="n">
        <v>-0.002403169694159256</v>
      </c>
      <c r="G558" s="5" t="n">
        <v>0.002774010873005034</v>
      </c>
      <c r="H558" s="5" t="n">
        <v>-0.005932401487338255</v>
      </c>
      <c r="I558" s="5" t="n">
        <v>-0.0009963788701169707</v>
      </c>
      <c r="J558" s="5" t="n">
        <v>0.002313956535185153</v>
      </c>
      <c r="K558" s="5" t="n">
        <v>0.001669592238924862</v>
      </c>
      <c r="L558" s="5" t="n">
        <v>-0.0005898042157855377</v>
      </c>
      <c r="M558" s="5">
        <f>SUMPRODUCT(Exposures!$B$6:$K$6,B558:K558)</f>
        <v/>
      </c>
      <c r="N558" s="5">
        <f>IF(AND($A558&gt;=DATE(2020,2,1),$A558&lt;=DATE(2020,5,31)),$M558,"")</f>
        <v/>
      </c>
      <c r="O558" s="5">
        <f>IF(AND($A558&gt;=DATE(2022,1,1),$A558&lt;=DATE(2022,10,31)),$M558,"")</f>
        <v/>
      </c>
      <c r="P558" s="5">
        <f>IF(AND($A558&gt;=DATE(2018,10,1),$A558&lt;=DATE(2018,12,31)),$M558,"")</f>
        <v/>
      </c>
      <c r="Q558" s="5">
        <f>SUMPRODUCT(Exposures!$B$8:$K$8,B558:K558)</f>
        <v/>
      </c>
      <c r="R558" s="5">
        <f>SUMPRODUCT(Exposures!$B$9:$K$9,B558:K558)</f>
        <v/>
      </c>
      <c r="S558" s="5">
        <f>SUMPRODUCT(Exposures!$B$10:$K$10,B558:K558)</f>
        <v/>
      </c>
    </row>
    <row r="559">
      <c r="A559" s="1" t="n">
        <v>43269</v>
      </c>
      <c r="B559" s="5" t="n">
        <v>-0.001017337634450369</v>
      </c>
      <c r="C559" s="5" t="n">
        <v>-0.001286206187986187</v>
      </c>
      <c r="D559" s="5" t="n">
        <v>0.003011221657762752</v>
      </c>
      <c r="E559" s="5" t="n">
        <v>-0.001773177884044124</v>
      </c>
      <c r="F559" s="5" t="n">
        <v>0.003642575518197305</v>
      </c>
      <c r="G559" s="5" t="n">
        <v>0.001370744050549665</v>
      </c>
      <c r="H559" s="5" t="n">
        <v>0.005812264222645236</v>
      </c>
      <c r="I559" s="5" t="n">
        <v>-0.001353582478128124</v>
      </c>
      <c r="J559" s="5" t="n">
        <v>0.00269200764732497</v>
      </c>
      <c r="K559" s="5" t="n">
        <v>-0.00437509837641433</v>
      </c>
      <c r="L559" s="5" t="n">
        <v>0.004293817145647875</v>
      </c>
      <c r="M559" s="5">
        <f>SUMPRODUCT(Exposures!$B$6:$K$6,B559:K559)</f>
        <v/>
      </c>
      <c r="N559" s="5">
        <f>IF(AND($A559&gt;=DATE(2020,2,1),$A559&lt;=DATE(2020,5,31)),$M559,"")</f>
        <v/>
      </c>
      <c r="O559" s="5">
        <f>IF(AND($A559&gt;=DATE(2022,1,1),$A559&lt;=DATE(2022,10,31)),$M559,"")</f>
        <v/>
      </c>
      <c r="P559" s="5">
        <f>IF(AND($A559&gt;=DATE(2018,10,1),$A559&lt;=DATE(2018,12,31)),$M559,"")</f>
        <v/>
      </c>
      <c r="Q559" s="5">
        <f>SUMPRODUCT(Exposures!$B$8:$K$8,B559:K559)</f>
        <v/>
      </c>
      <c r="R559" s="5">
        <f>SUMPRODUCT(Exposures!$B$9:$K$9,B559:K559)</f>
        <v/>
      </c>
      <c r="S559" s="5">
        <f>SUMPRODUCT(Exposures!$B$10:$K$10,B559:K559)</f>
        <v/>
      </c>
    </row>
    <row r="560">
      <c r="A560" s="1" t="n">
        <v>43270</v>
      </c>
      <c r="B560" s="5" t="n">
        <v>-0.003175158824175504</v>
      </c>
      <c r="C560" s="5" t="n">
        <v>-0.002430830549454628</v>
      </c>
      <c r="D560" s="5" t="n">
        <v>-0.0005841787812501048</v>
      </c>
      <c r="E560" s="5" t="n">
        <v>0.0002352498557311333</v>
      </c>
      <c r="F560" s="5" t="n">
        <v>0.0008957100322737441</v>
      </c>
      <c r="G560" s="5" t="n">
        <v>-0.004081844034201781</v>
      </c>
      <c r="H560" s="5" t="n">
        <v>-0.004197975116817912</v>
      </c>
      <c r="I560" s="5" t="n">
        <v>0.0001241504619852745</v>
      </c>
      <c r="J560" s="5" t="n">
        <v>-0.0008238343742979963</v>
      </c>
      <c r="K560" s="5" t="n">
        <v>0.0001535508759441162</v>
      </c>
      <c r="L560" s="5" t="n">
        <v>0.001330678960344674</v>
      </c>
      <c r="M560" s="5">
        <f>SUMPRODUCT(Exposures!$B$6:$K$6,B560:K560)</f>
        <v/>
      </c>
      <c r="N560" s="5">
        <f>IF(AND($A560&gt;=DATE(2020,2,1),$A560&lt;=DATE(2020,5,31)),$M560,"")</f>
        <v/>
      </c>
      <c r="O560" s="5">
        <f>IF(AND($A560&gt;=DATE(2022,1,1),$A560&lt;=DATE(2022,10,31)),$M560,"")</f>
        <v/>
      </c>
      <c r="P560" s="5">
        <f>IF(AND($A560&gt;=DATE(2018,10,1),$A560&lt;=DATE(2018,12,31)),$M560,"")</f>
        <v/>
      </c>
      <c r="Q560" s="5">
        <f>SUMPRODUCT(Exposures!$B$8:$K$8,B560:K560)</f>
        <v/>
      </c>
      <c r="R560" s="5">
        <f>SUMPRODUCT(Exposures!$B$9:$K$9,B560:K560)</f>
        <v/>
      </c>
      <c r="S560" s="5">
        <f>SUMPRODUCT(Exposures!$B$10:$K$10,B560:K560)</f>
        <v/>
      </c>
    </row>
    <row r="561">
      <c r="A561" s="1" t="n">
        <v>43271</v>
      </c>
      <c r="B561" s="5" t="n">
        <v>4.082405943239332e-05</v>
      </c>
      <c r="C561" s="5" t="n">
        <v>-0.0003253343498186621</v>
      </c>
      <c r="D561" s="5" t="n">
        <v>-0.00411106673676596</v>
      </c>
      <c r="E561" s="5" t="n">
        <v>0.0008917413942886182</v>
      </c>
      <c r="F561" s="5" t="n">
        <v>0.001048712194685395</v>
      </c>
      <c r="G561" s="5" t="n">
        <v>0.004891482726752423</v>
      </c>
      <c r="H561" s="5" t="n">
        <v>-0.0001460574426292373</v>
      </c>
      <c r="I561" s="5" t="n">
        <v>-0.0002750361747837407</v>
      </c>
      <c r="J561" s="5" t="n">
        <v>0.005930548969910274</v>
      </c>
      <c r="K561" s="5" t="n">
        <v>-0.0003572914209033244</v>
      </c>
      <c r="L561" s="5" t="n">
        <v>0.0003762085620839752</v>
      </c>
      <c r="M561" s="5">
        <f>SUMPRODUCT(Exposures!$B$6:$K$6,B561:K561)</f>
        <v/>
      </c>
      <c r="N561" s="5">
        <f>IF(AND($A561&gt;=DATE(2020,2,1),$A561&lt;=DATE(2020,5,31)),$M561,"")</f>
        <v/>
      </c>
      <c r="O561" s="5">
        <f>IF(AND($A561&gt;=DATE(2022,1,1),$A561&lt;=DATE(2022,10,31)),$M561,"")</f>
        <v/>
      </c>
      <c r="P561" s="5">
        <f>IF(AND($A561&gt;=DATE(2018,10,1),$A561&lt;=DATE(2018,12,31)),$M561,"")</f>
        <v/>
      </c>
      <c r="Q561" s="5">
        <f>SUMPRODUCT(Exposures!$B$8:$K$8,B561:K561)</f>
        <v/>
      </c>
      <c r="R561" s="5">
        <f>SUMPRODUCT(Exposures!$B$9:$K$9,B561:K561)</f>
        <v/>
      </c>
      <c r="S561" s="5">
        <f>SUMPRODUCT(Exposures!$B$10:$K$10,B561:K561)</f>
        <v/>
      </c>
    </row>
    <row r="562">
      <c r="A562" s="1" t="n">
        <v>43272</v>
      </c>
      <c r="B562" s="5" t="n">
        <v>-0.003084664037488705</v>
      </c>
      <c r="C562" s="5" t="n">
        <v>0.0004023378763905842</v>
      </c>
      <c r="D562" s="5" t="n">
        <v>-0.0009274713625825393</v>
      </c>
      <c r="E562" s="5" t="n">
        <v>0.0009178422755103584</v>
      </c>
      <c r="F562" s="5" t="n">
        <v>0.001666403488385617</v>
      </c>
      <c r="G562" s="5" t="n">
        <v>-0.008104459898780584</v>
      </c>
      <c r="H562" s="5" t="n">
        <v>-0.001806084203760713</v>
      </c>
      <c r="I562" s="5" t="n">
        <v>-0.0009457197576416122</v>
      </c>
      <c r="J562" s="5" t="n">
        <v>-0.003639427646574607</v>
      </c>
      <c r="K562" s="5" t="n">
        <v>0.0002347421083656201</v>
      </c>
      <c r="L562" s="5" t="n">
        <v>5.700050646961652e-05</v>
      </c>
      <c r="M562" s="5">
        <f>SUMPRODUCT(Exposures!$B$6:$K$6,B562:K562)</f>
        <v/>
      </c>
      <c r="N562" s="5">
        <f>IF(AND($A562&gt;=DATE(2020,2,1),$A562&lt;=DATE(2020,5,31)),$M562,"")</f>
        <v/>
      </c>
      <c r="O562" s="5">
        <f>IF(AND($A562&gt;=DATE(2022,1,1),$A562&lt;=DATE(2022,10,31)),$M562,"")</f>
        <v/>
      </c>
      <c r="P562" s="5">
        <f>IF(AND($A562&gt;=DATE(2018,10,1),$A562&lt;=DATE(2018,12,31)),$M562,"")</f>
        <v/>
      </c>
      <c r="Q562" s="5">
        <f>SUMPRODUCT(Exposures!$B$8:$K$8,B562:K562)</f>
        <v/>
      </c>
      <c r="R562" s="5">
        <f>SUMPRODUCT(Exposures!$B$9:$K$9,B562:K562)</f>
        <v/>
      </c>
      <c r="S562" s="5">
        <f>SUMPRODUCT(Exposures!$B$10:$K$10,B562:K562)</f>
        <v/>
      </c>
    </row>
    <row r="563">
      <c r="A563" s="1" t="n">
        <v>43273</v>
      </c>
      <c r="B563" s="5" t="n">
        <v>-0.003356262673956111</v>
      </c>
      <c r="C563" s="5" t="n">
        <v>-2.862877301646112e-05</v>
      </c>
      <c r="D563" s="5" t="n">
        <v>-0.001325427329668923</v>
      </c>
      <c r="E563" s="5" t="n">
        <v>-0.001646620710131567</v>
      </c>
      <c r="F563" s="5" t="n">
        <v>-0.003989200013001985</v>
      </c>
      <c r="G563" s="5" t="n">
        <v>0.003046195382941243</v>
      </c>
      <c r="H563" s="5" t="n">
        <v>-0.001797522624649695</v>
      </c>
      <c r="I563" s="5" t="n">
        <v>0.0006987127597524881</v>
      </c>
      <c r="J563" s="5" t="n">
        <v>0.002254985183062486</v>
      </c>
      <c r="K563" s="5" t="n">
        <v>0.004140044636655684</v>
      </c>
      <c r="L563" s="5" t="n">
        <v>0.000409023143451361</v>
      </c>
      <c r="M563" s="5">
        <f>SUMPRODUCT(Exposures!$B$6:$K$6,B563:K563)</f>
        <v/>
      </c>
      <c r="N563" s="5">
        <f>IF(AND($A563&gt;=DATE(2020,2,1),$A563&lt;=DATE(2020,5,31)),$M563,"")</f>
        <v/>
      </c>
      <c r="O563" s="5">
        <f>IF(AND($A563&gt;=DATE(2022,1,1),$A563&lt;=DATE(2022,10,31)),$M563,"")</f>
        <v/>
      </c>
      <c r="P563" s="5">
        <f>IF(AND($A563&gt;=DATE(2018,10,1),$A563&lt;=DATE(2018,12,31)),$M563,"")</f>
        <v/>
      </c>
      <c r="Q563" s="5">
        <f>SUMPRODUCT(Exposures!$B$8:$K$8,B563:K563)</f>
        <v/>
      </c>
      <c r="R563" s="5">
        <f>SUMPRODUCT(Exposures!$B$9:$K$9,B563:K563)</f>
        <v/>
      </c>
      <c r="S563" s="5">
        <f>SUMPRODUCT(Exposures!$B$10:$K$10,B563:K563)</f>
        <v/>
      </c>
    </row>
    <row r="564">
      <c r="A564" s="1" t="n">
        <v>43276</v>
      </c>
      <c r="B564" s="5" t="n">
        <v>-0.007452459074968025</v>
      </c>
      <c r="C564" s="5" t="n">
        <v>0.001277097887863564</v>
      </c>
      <c r="D564" s="5" t="n">
        <v>0.001559930188814351</v>
      </c>
      <c r="E564" s="5" t="n">
        <v>0.00483960732482553</v>
      </c>
      <c r="F564" s="5" t="n">
        <v>0.000972867369569223</v>
      </c>
      <c r="G564" s="5" t="n">
        <v>-0.01414563230528232</v>
      </c>
      <c r="H564" s="5" t="n">
        <v>-0.005642628869160149</v>
      </c>
      <c r="I564" s="5" t="n">
        <v>-0.0003428320081723334</v>
      </c>
      <c r="J564" s="5" t="n">
        <v>-0.005761424614131847</v>
      </c>
      <c r="K564" s="5" t="n">
        <v>-0.001655991882183316</v>
      </c>
      <c r="L564" s="5" t="n">
        <v>-0.004629107079876799</v>
      </c>
      <c r="M564" s="5">
        <f>SUMPRODUCT(Exposures!$B$6:$K$6,B564:K564)</f>
        <v/>
      </c>
      <c r="N564" s="5">
        <f>IF(AND($A564&gt;=DATE(2020,2,1),$A564&lt;=DATE(2020,5,31)),$M564,"")</f>
        <v/>
      </c>
      <c r="O564" s="5">
        <f>IF(AND($A564&gt;=DATE(2022,1,1),$A564&lt;=DATE(2022,10,31)),$M564,"")</f>
        <v/>
      </c>
      <c r="P564" s="5">
        <f>IF(AND($A564&gt;=DATE(2018,10,1),$A564&lt;=DATE(2018,12,31)),$M564,"")</f>
        <v/>
      </c>
      <c r="Q564" s="5">
        <f>SUMPRODUCT(Exposures!$B$8:$K$8,B564:K564)</f>
        <v/>
      </c>
      <c r="R564" s="5">
        <f>SUMPRODUCT(Exposures!$B$9:$K$9,B564:K564)</f>
        <v/>
      </c>
      <c r="S564" s="5">
        <f>SUMPRODUCT(Exposures!$B$10:$K$10,B564:K564)</f>
        <v/>
      </c>
    </row>
    <row r="565">
      <c r="A565" s="1" t="n">
        <v>43277</v>
      </c>
      <c r="B565" s="5" t="n">
        <v>-0.001919038433233293</v>
      </c>
      <c r="C565" s="5" t="n">
        <v>-0.00250520677807313</v>
      </c>
      <c r="D565" s="5" t="n">
        <v>0.002461328291865216</v>
      </c>
      <c r="E565" s="5" t="n">
        <v>-0.002230653431355993</v>
      </c>
      <c r="F565" s="5" t="n">
        <v>0.007645539711134149</v>
      </c>
      <c r="G565" s="5" t="n">
        <v>0.0006027941666750029</v>
      </c>
      <c r="H565" s="5" t="n">
        <v>0.00196230902099046</v>
      </c>
      <c r="I565" s="5" t="n">
        <v>0.002729366193836337</v>
      </c>
      <c r="J565" s="5" t="n">
        <v>0.0002305431631584958</v>
      </c>
      <c r="K565" s="5" t="n">
        <v>-0.007822502712255045</v>
      </c>
      <c r="L565" s="5" t="n">
        <v>0.0004233140053970446</v>
      </c>
      <c r="M565" s="5">
        <f>SUMPRODUCT(Exposures!$B$6:$K$6,B565:K565)</f>
        <v/>
      </c>
      <c r="N565" s="5">
        <f>IF(AND($A565&gt;=DATE(2020,2,1),$A565&lt;=DATE(2020,5,31)),$M565,"")</f>
        <v/>
      </c>
      <c r="O565" s="5">
        <f>IF(AND($A565&gt;=DATE(2022,1,1),$A565&lt;=DATE(2022,10,31)),$M565,"")</f>
        <v/>
      </c>
      <c r="P565" s="5">
        <f>IF(AND($A565&gt;=DATE(2018,10,1),$A565&lt;=DATE(2018,12,31)),$M565,"")</f>
        <v/>
      </c>
      <c r="Q565" s="5">
        <f>SUMPRODUCT(Exposures!$B$8:$K$8,B565:K565)</f>
        <v/>
      </c>
      <c r="R565" s="5">
        <f>SUMPRODUCT(Exposures!$B$9:$K$9,B565:K565)</f>
        <v/>
      </c>
      <c r="S565" s="5">
        <f>SUMPRODUCT(Exposures!$B$10:$K$10,B565:K565)</f>
        <v/>
      </c>
    </row>
    <row r="566">
      <c r="A566" s="1" t="n">
        <v>43278</v>
      </c>
      <c r="B566" s="5" t="n">
        <v>-0.005082917419003003</v>
      </c>
      <c r="C566" s="5" t="n">
        <v>-0.0003671269021726956</v>
      </c>
      <c r="D566" s="5" t="n">
        <v>-0.0007166180132147597</v>
      </c>
      <c r="E566" s="5" t="n">
        <v>-0.001089058301427305</v>
      </c>
      <c r="F566" s="5" t="n">
        <v>-0.00162305140495611</v>
      </c>
      <c r="G566" s="5" t="n">
        <v>-0.0138333536920151</v>
      </c>
      <c r="H566" s="5" t="n">
        <v>-0.001066892608779427</v>
      </c>
      <c r="I566" s="5" t="n">
        <v>0.0007097817288925401</v>
      </c>
      <c r="J566" s="5" t="n">
        <v>-0.004438720279335099</v>
      </c>
      <c r="K566" s="5" t="n">
        <v>0.003608080025956587</v>
      </c>
      <c r="L566" s="5" t="n">
        <v>-0.0006665388862569303</v>
      </c>
      <c r="M566" s="5">
        <f>SUMPRODUCT(Exposures!$B$6:$K$6,B566:K566)</f>
        <v/>
      </c>
      <c r="N566" s="5">
        <f>IF(AND($A566&gt;=DATE(2020,2,1),$A566&lt;=DATE(2020,5,31)),$M566,"")</f>
        <v/>
      </c>
      <c r="O566" s="5">
        <f>IF(AND($A566&gt;=DATE(2022,1,1),$A566&lt;=DATE(2022,10,31)),$M566,"")</f>
        <v/>
      </c>
      <c r="P566" s="5">
        <f>IF(AND($A566&gt;=DATE(2018,10,1),$A566&lt;=DATE(2018,12,31)),$M566,"")</f>
        <v/>
      </c>
      <c r="Q566" s="5">
        <f>SUMPRODUCT(Exposures!$B$8:$K$8,B566:K566)</f>
        <v/>
      </c>
      <c r="R566" s="5">
        <f>SUMPRODUCT(Exposures!$B$9:$K$9,B566:K566)</f>
        <v/>
      </c>
      <c r="S566" s="5">
        <f>SUMPRODUCT(Exposures!$B$10:$K$10,B566:K566)</f>
        <v/>
      </c>
    </row>
    <row r="567">
      <c r="A567" s="1" t="n">
        <v>43279</v>
      </c>
      <c r="B567" s="5" t="n">
        <v>-0.003265203239336786</v>
      </c>
      <c r="C567" s="5" t="n">
        <v>-0.001323255151892611</v>
      </c>
      <c r="D567" s="5" t="n">
        <v>-0.001029838009010388</v>
      </c>
      <c r="E567" s="5" t="n">
        <v>0.001203949809234257</v>
      </c>
      <c r="F567" s="5" t="n">
        <v>0.007023949945379289</v>
      </c>
      <c r="G567" s="5" t="n">
        <v>0.004095638871944578</v>
      </c>
      <c r="H567" s="5" t="n">
        <v>0.003309085048814399</v>
      </c>
      <c r="I567" s="5" t="n">
        <v>0.001903986608598585</v>
      </c>
      <c r="J567" s="5" t="n">
        <v>-0.001153531125122368</v>
      </c>
      <c r="K567" s="5" t="n">
        <v>-0.005623605507207719</v>
      </c>
      <c r="L567" s="5" t="n">
        <v>-0.0003351863783344106</v>
      </c>
      <c r="M567" s="5">
        <f>SUMPRODUCT(Exposures!$B$6:$K$6,B567:K567)</f>
        <v/>
      </c>
      <c r="N567" s="5">
        <f>IF(AND($A567&gt;=DATE(2020,2,1),$A567&lt;=DATE(2020,5,31)),$M567,"")</f>
        <v/>
      </c>
      <c r="O567" s="5">
        <f>IF(AND($A567&gt;=DATE(2022,1,1),$A567&lt;=DATE(2022,10,31)),$M567,"")</f>
        <v/>
      </c>
      <c r="P567" s="5">
        <f>IF(AND($A567&gt;=DATE(2018,10,1),$A567&lt;=DATE(2018,12,31)),$M567,"")</f>
        <v/>
      </c>
      <c r="Q567" s="5">
        <f>SUMPRODUCT(Exposures!$B$8:$K$8,B567:K567)</f>
        <v/>
      </c>
      <c r="R567" s="5">
        <f>SUMPRODUCT(Exposures!$B$9:$K$9,B567:K567)</f>
        <v/>
      </c>
      <c r="S567" s="5">
        <f>SUMPRODUCT(Exposures!$B$10:$K$10,B567:K567)</f>
        <v/>
      </c>
    </row>
    <row r="568">
      <c r="A568" s="1" t="n">
        <v>43280</v>
      </c>
      <c r="B568" s="5" t="n">
        <v>0.001462476018533283</v>
      </c>
      <c r="C568" s="5" t="n">
        <v>-0.000229632221694271</v>
      </c>
      <c r="D568" s="5" t="n">
        <v>-0.0001366409116860073</v>
      </c>
      <c r="E568" s="5" t="n">
        <v>-0.0004328437053195263</v>
      </c>
      <c r="F568" s="5" t="n">
        <v>-0.003381416609543337</v>
      </c>
      <c r="G568" s="5" t="n">
        <v>0.001096515437441044</v>
      </c>
      <c r="H568" s="5" t="n">
        <v>-0.001048482609422964</v>
      </c>
      <c r="I568" s="5" t="n">
        <v>-0.000456908732573292</v>
      </c>
      <c r="J568" s="5" t="n">
        <v>-0.0009154999580004057</v>
      </c>
      <c r="K568" s="5" t="n">
        <v>0.001935380512772983</v>
      </c>
      <c r="L568" s="5" t="n">
        <v>-0.001570917874368721</v>
      </c>
      <c r="M568" s="5">
        <f>SUMPRODUCT(Exposures!$B$6:$K$6,B568:K568)</f>
        <v/>
      </c>
      <c r="N568" s="5">
        <f>IF(AND($A568&gt;=DATE(2020,2,1),$A568&lt;=DATE(2020,5,31)),$M568,"")</f>
        <v/>
      </c>
      <c r="O568" s="5">
        <f>IF(AND($A568&gt;=DATE(2022,1,1),$A568&lt;=DATE(2022,10,31)),$M568,"")</f>
        <v/>
      </c>
      <c r="P568" s="5">
        <f>IF(AND($A568&gt;=DATE(2018,10,1),$A568&lt;=DATE(2018,12,31)),$M568,"")</f>
        <v/>
      </c>
      <c r="Q568" s="5">
        <f>SUMPRODUCT(Exposures!$B$8:$K$8,B568:K568)</f>
        <v/>
      </c>
      <c r="R568" s="5">
        <f>SUMPRODUCT(Exposures!$B$9:$K$9,B568:K568)</f>
        <v/>
      </c>
      <c r="S568" s="5">
        <f>SUMPRODUCT(Exposures!$B$10:$K$10,B568:K568)</f>
        <v/>
      </c>
    </row>
    <row r="569">
      <c r="A569" s="1" t="n">
        <v>43283</v>
      </c>
      <c r="B569" s="5" t="n">
        <v>0.001141646345291838</v>
      </c>
      <c r="C569" s="5" t="n">
        <v>0.00118087161645078</v>
      </c>
      <c r="D569" s="5" t="n">
        <v>0.003587860832676989</v>
      </c>
      <c r="E569" s="5" t="n">
        <v>0.001083934842508156</v>
      </c>
      <c r="F569" s="5" t="n">
        <v>0.000674370723487269</v>
      </c>
      <c r="G569" s="5" t="n">
        <v>0.005517402410579288</v>
      </c>
      <c r="H569" s="5" t="n">
        <v>0.0002637168214202017</v>
      </c>
      <c r="I569" s="5" t="n">
        <v>0.00156012444598114</v>
      </c>
      <c r="J569" s="5" t="n">
        <v>0.003622421334964738</v>
      </c>
      <c r="K569" s="5" t="n">
        <v>-0.003646276166921142</v>
      </c>
      <c r="L569" s="5" t="n">
        <v>0.001052807679377911</v>
      </c>
      <c r="M569" s="5">
        <f>SUMPRODUCT(Exposures!$B$6:$K$6,B569:K569)</f>
        <v/>
      </c>
      <c r="N569" s="5">
        <f>IF(AND($A569&gt;=DATE(2020,2,1),$A569&lt;=DATE(2020,5,31)),$M569,"")</f>
        <v/>
      </c>
      <c r="O569" s="5">
        <f>IF(AND($A569&gt;=DATE(2022,1,1),$A569&lt;=DATE(2022,10,31)),$M569,"")</f>
        <v/>
      </c>
      <c r="P569" s="5">
        <f>IF(AND($A569&gt;=DATE(2018,10,1),$A569&lt;=DATE(2018,12,31)),$M569,"")</f>
        <v/>
      </c>
      <c r="Q569" s="5">
        <f>SUMPRODUCT(Exposures!$B$8:$K$8,B569:K569)</f>
        <v/>
      </c>
      <c r="R569" s="5">
        <f>SUMPRODUCT(Exposures!$B$9:$K$9,B569:K569)</f>
        <v/>
      </c>
      <c r="S569" s="5">
        <f>SUMPRODUCT(Exposures!$B$10:$K$10,B569:K569)</f>
        <v/>
      </c>
    </row>
    <row r="570">
      <c r="A570" s="1" t="n">
        <v>43284</v>
      </c>
      <c r="B570" s="5" t="n">
        <v>-0.003660344859313142</v>
      </c>
      <c r="C570" s="5" t="n">
        <v>-0.0007921865578139829</v>
      </c>
      <c r="D570" s="5" t="n">
        <v>9.606504115294997e-05</v>
      </c>
      <c r="E570" s="5" t="n">
        <v>-0.0008740007120551774</v>
      </c>
      <c r="F570" s="5" t="n">
        <v>0.001857792001018552</v>
      </c>
      <c r="G570" s="5" t="n">
        <v>0.0008982261256955313</v>
      </c>
      <c r="H570" s="5" t="n">
        <v>-0.003031670402146885</v>
      </c>
      <c r="I570" s="5" t="n">
        <v>0.0001752259541731144</v>
      </c>
      <c r="J570" s="5" t="n">
        <v>0.0008404304551799049</v>
      </c>
      <c r="K570" s="5" t="n">
        <v>-0.003490261365039942</v>
      </c>
      <c r="L570" s="5" t="n">
        <v>-0.001801289595563191</v>
      </c>
      <c r="M570" s="5">
        <f>SUMPRODUCT(Exposures!$B$6:$K$6,B570:K570)</f>
        <v/>
      </c>
      <c r="N570" s="5">
        <f>IF(AND($A570&gt;=DATE(2020,2,1),$A570&lt;=DATE(2020,5,31)),$M570,"")</f>
        <v/>
      </c>
      <c r="O570" s="5">
        <f>IF(AND($A570&gt;=DATE(2022,1,1),$A570&lt;=DATE(2022,10,31)),$M570,"")</f>
        <v/>
      </c>
      <c r="P570" s="5">
        <f>IF(AND($A570&gt;=DATE(2018,10,1),$A570&lt;=DATE(2018,12,31)),$M570,"")</f>
        <v/>
      </c>
      <c r="Q570" s="5">
        <f>SUMPRODUCT(Exposures!$B$8:$K$8,B570:K570)</f>
        <v/>
      </c>
      <c r="R570" s="5">
        <f>SUMPRODUCT(Exposures!$B$9:$K$9,B570:K570)</f>
        <v/>
      </c>
      <c r="S570" s="5">
        <f>SUMPRODUCT(Exposures!$B$10:$K$10,B570:K570)</f>
        <v/>
      </c>
    </row>
    <row r="571">
      <c r="A571" s="1" t="n">
        <v>43286</v>
      </c>
      <c r="B571" s="5" t="n">
        <v>0.002325341582925764</v>
      </c>
      <c r="C571" s="5" t="n">
        <v>0.003439621187555926</v>
      </c>
      <c r="D571" s="5" t="n">
        <v>0.00297598978186143</v>
      </c>
      <c r="E571" s="5" t="n">
        <v>0.0004569256776206589</v>
      </c>
      <c r="F571" s="5" t="n">
        <v>-0.001126295249127514</v>
      </c>
      <c r="G571" s="5" t="n">
        <v>0.008223346225569021</v>
      </c>
      <c r="H571" s="5" t="n">
        <v>-0.002832455958402138</v>
      </c>
      <c r="I571" s="5" t="n">
        <v>-3.812793158958601e-05</v>
      </c>
      <c r="J571" s="5" t="n">
        <v>0.0003816050527523838</v>
      </c>
      <c r="K571" s="5" t="n">
        <v>-6.534239297336557e-05</v>
      </c>
      <c r="L571" s="5" t="n">
        <v>-0.001606999747513205</v>
      </c>
      <c r="M571" s="5">
        <f>SUMPRODUCT(Exposures!$B$6:$K$6,B571:K571)</f>
        <v/>
      </c>
      <c r="N571" s="5">
        <f>IF(AND($A571&gt;=DATE(2020,2,1),$A571&lt;=DATE(2020,5,31)),$M571,"")</f>
        <v/>
      </c>
      <c r="O571" s="5">
        <f>IF(AND($A571&gt;=DATE(2022,1,1),$A571&lt;=DATE(2022,10,31)),$M571,"")</f>
        <v/>
      </c>
      <c r="P571" s="5">
        <f>IF(AND($A571&gt;=DATE(2018,10,1),$A571&lt;=DATE(2018,12,31)),$M571,"")</f>
        <v/>
      </c>
      <c r="Q571" s="5">
        <f>SUMPRODUCT(Exposures!$B$8:$K$8,B571:K571)</f>
        <v/>
      </c>
      <c r="R571" s="5">
        <f>SUMPRODUCT(Exposures!$B$9:$K$9,B571:K571)</f>
        <v/>
      </c>
      <c r="S571" s="5">
        <f>SUMPRODUCT(Exposures!$B$10:$K$10,B571:K571)</f>
        <v/>
      </c>
    </row>
    <row r="572">
      <c r="A572" s="1" t="n">
        <v>43287</v>
      </c>
      <c r="B572" s="5" t="n">
        <v>0.001726679049886361</v>
      </c>
      <c r="C572" s="5" t="n">
        <v>-0.0002886650363578148</v>
      </c>
      <c r="D572" s="5" t="n">
        <v>0.002864099618168133</v>
      </c>
      <c r="E572" s="5" t="n">
        <v>-0.001677650851006114</v>
      </c>
      <c r="F572" s="5" t="n">
        <v>0.005289989763322006</v>
      </c>
      <c r="G572" s="5" t="n">
        <v>0.01133079969698252</v>
      </c>
      <c r="H572" s="5" t="n">
        <v>-0.002625967471630865</v>
      </c>
      <c r="I572" s="5" t="n">
        <v>0.003278110117605365</v>
      </c>
      <c r="J572" s="5" t="n">
        <v>0.007289426156015243</v>
      </c>
      <c r="K572" s="5" t="n">
        <v>-0.001379293299880744</v>
      </c>
      <c r="L572" s="5" t="n">
        <v>-0.002090850944067332</v>
      </c>
      <c r="M572" s="5">
        <f>SUMPRODUCT(Exposures!$B$6:$K$6,B572:K572)</f>
        <v/>
      </c>
      <c r="N572" s="5">
        <f>IF(AND($A572&gt;=DATE(2020,2,1),$A572&lt;=DATE(2020,5,31)),$M572,"")</f>
        <v/>
      </c>
      <c r="O572" s="5">
        <f>IF(AND($A572&gt;=DATE(2022,1,1),$A572&lt;=DATE(2022,10,31)),$M572,"")</f>
        <v/>
      </c>
      <c r="P572" s="5">
        <f>IF(AND($A572&gt;=DATE(2018,10,1),$A572&lt;=DATE(2018,12,31)),$M572,"")</f>
        <v/>
      </c>
      <c r="Q572" s="5">
        <f>SUMPRODUCT(Exposures!$B$8:$K$8,B572:K572)</f>
        <v/>
      </c>
      <c r="R572" s="5">
        <f>SUMPRODUCT(Exposures!$B$9:$K$9,B572:K572)</f>
        <v/>
      </c>
      <c r="S572" s="5">
        <f>SUMPRODUCT(Exposures!$B$10:$K$10,B572:K572)</f>
        <v/>
      </c>
    </row>
    <row r="573">
      <c r="A573" s="1" t="n">
        <v>43290</v>
      </c>
      <c r="B573" s="5" t="n">
        <v>0.009416895188262201</v>
      </c>
      <c r="C573" s="5" t="n">
        <v>-0.0001392629229480797</v>
      </c>
      <c r="D573" s="5" t="n">
        <v>-0.004313275204005389</v>
      </c>
      <c r="E573" s="5" t="n">
        <v>0.00193866058126571</v>
      </c>
      <c r="F573" s="5" t="n">
        <v>-0.00299919524069384</v>
      </c>
      <c r="G573" s="5" t="n">
        <v>0.00735481498821865</v>
      </c>
      <c r="H573" s="5" t="n">
        <v>-2.478631203146648e-05</v>
      </c>
      <c r="I573" s="5" t="n">
        <v>-0.000273042702818087</v>
      </c>
      <c r="J573" s="5" t="n">
        <v>-0.002309854664761595</v>
      </c>
      <c r="K573" s="5" t="n">
        <v>8.037001189116141e-05</v>
      </c>
      <c r="L573" s="5" t="n">
        <v>0.004542032177347352</v>
      </c>
      <c r="M573" s="5">
        <f>SUMPRODUCT(Exposures!$B$6:$K$6,B573:K573)</f>
        <v/>
      </c>
      <c r="N573" s="5">
        <f>IF(AND($A573&gt;=DATE(2020,2,1),$A573&lt;=DATE(2020,5,31)),$M573,"")</f>
        <v/>
      </c>
      <c r="O573" s="5">
        <f>IF(AND($A573&gt;=DATE(2022,1,1),$A573&lt;=DATE(2022,10,31)),$M573,"")</f>
        <v/>
      </c>
      <c r="P573" s="5">
        <f>IF(AND($A573&gt;=DATE(2018,10,1),$A573&lt;=DATE(2018,12,31)),$M573,"")</f>
        <v/>
      </c>
      <c r="Q573" s="5">
        <f>SUMPRODUCT(Exposures!$B$8:$K$8,B573:K573)</f>
        <v/>
      </c>
      <c r="R573" s="5">
        <f>SUMPRODUCT(Exposures!$B$9:$K$9,B573:K573)</f>
        <v/>
      </c>
      <c r="S573" s="5">
        <f>SUMPRODUCT(Exposures!$B$10:$K$10,B573:K573)</f>
        <v/>
      </c>
    </row>
    <row r="574">
      <c r="A574" s="1" t="n">
        <v>43291</v>
      </c>
      <c r="B574" s="5" t="n">
        <v>-0.001400694966859058</v>
      </c>
      <c r="C574" s="5" t="n">
        <v>0.0004584056212195765</v>
      </c>
      <c r="D574" s="5" t="n">
        <v>-0.0009613162709804935</v>
      </c>
      <c r="E574" s="5" t="n">
        <v>-0.000473607116769969</v>
      </c>
      <c r="F574" s="5" t="n">
        <v>0.0008671713819613974</v>
      </c>
      <c r="G574" s="5" t="n">
        <v>0.0001853777480300063</v>
      </c>
      <c r="H574" s="5" t="n">
        <v>-0.0006062697813653636</v>
      </c>
      <c r="I574" s="5" t="n">
        <v>0.000345468551497031</v>
      </c>
      <c r="J574" s="5" t="n">
        <v>-0.002024183161929208</v>
      </c>
      <c r="K574" s="5" t="n">
        <v>1.051544885835167e-05</v>
      </c>
      <c r="L574" s="5" t="n">
        <v>-0.003111280542068286</v>
      </c>
      <c r="M574" s="5">
        <f>SUMPRODUCT(Exposures!$B$6:$K$6,B574:K574)</f>
        <v/>
      </c>
      <c r="N574" s="5">
        <f>IF(AND($A574&gt;=DATE(2020,2,1),$A574&lt;=DATE(2020,5,31)),$M574,"")</f>
        <v/>
      </c>
      <c r="O574" s="5">
        <f>IF(AND($A574&gt;=DATE(2022,1,1),$A574&lt;=DATE(2022,10,31)),$M574,"")</f>
        <v/>
      </c>
      <c r="P574" s="5">
        <f>IF(AND($A574&gt;=DATE(2018,10,1),$A574&lt;=DATE(2018,12,31)),$M574,"")</f>
        <v/>
      </c>
      <c r="Q574" s="5">
        <f>SUMPRODUCT(Exposures!$B$8:$K$8,B574:K574)</f>
        <v/>
      </c>
      <c r="R574" s="5">
        <f>SUMPRODUCT(Exposures!$B$9:$K$9,B574:K574)</f>
        <v/>
      </c>
      <c r="S574" s="5">
        <f>SUMPRODUCT(Exposures!$B$10:$K$10,B574:K574)</f>
        <v/>
      </c>
    </row>
    <row r="575">
      <c r="A575" s="1" t="n">
        <v>43292</v>
      </c>
      <c r="B575" s="5" t="n">
        <v>-0.006632350821165683</v>
      </c>
      <c r="C575" s="5" t="n">
        <v>-0.003356746289290882</v>
      </c>
      <c r="D575" s="5" t="n">
        <v>0.002398894625705632</v>
      </c>
      <c r="E575" s="5" t="n">
        <v>0.002962679545414221</v>
      </c>
      <c r="F575" s="5" t="n">
        <v>0.01200914540669114</v>
      </c>
      <c r="G575" s="5" t="n">
        <v>-0.008504564252047174</v>
      </c>
      <c r="H575" s="5" t="n">
        <v>0.001411118919342604</v>
      </c>
      <c r="I575" s="5" t="n">
        <v>0.0003319134936372876</v>
      </c>
      <c r="J575" s="5" t="n">
        <v>-0.00219388169468093</v>
      </c>
      <c r="K575" s="5" t="n">
        <v>-0.01138021306157072</v>
      </c>
      <c r="L575" s="5" t="n">
        <v>0.0008790849036445444</v>
      </c>
      <c r="M575" s="5">
        <f>SUMPRODUCT(Exposures!$B$6:$K$6,B575:K575)</f>
        <v/>
      </c>
      <c r="N575" s="5">
        <f>IF(AND($A575&gt;=DATE(2020,2,1),$A575&lt;=DATE(2020,5,31)),$M575,"")</f>
        <v/>
      </c>
      <c r="O575" s="5">
        <f>IF(AND($A575&gt;=DATE(2022,1,1),$A575&lt;=DATE(2022,10,31)),$M575,"")</f>
        <v/>
      </c>
      <c r="P575" s="5">
        <f>IF(AND($A575&gt;=DATE(2018,10,1),$A575&lt;=DATE(2018,12,31)),$M575,"")</f>
        <v/>
      </c>
      <c r="Q575" s="5">
        <f>SUMPRODUCT(Exposures!$B$8:$K$8,B575:K575)</f>
        <v/>
      </c>
      <c r="R575" s="5">
        <f>SUMPRODUCT(Exposures!$B$9:$K$9,B575:K575)</f>
        <v/>
      </c>
      <c r="S575" s="5">
        <f>SUMPRODUCT(Exposures!$B$10:$K$10,B575:K575)</f>
        <v/>
      </c>
    </row>
    <row r="576">
      <c r="A576" s="1" t="n">
        <v>43293</v>
      </c>
      <c r="B576" s="5" t="n">
        <v>0.003952763478919112</v>
      </c>
      <c r="C576" s="5" t="n">
        <v>-0.003065850041342826</v>
      </c>
      <c r="D576" s="5" t="n">
        <v>0.002441098373377436</v>
      </c>
      <c r="E576" s="5" t="n">
        <v>-0.0006588242620222757</v>
      </c>
      <c r="F576" s="5" t="n">
        <v>0.005616723532614909</v>
      </c>
      <c r="G576" s="5" t="n">
        <v>0.006848022644152727</v>
      </c>
      <c r="H576" s="5" t="n">
        <v>0.0002377535637207231</v>
      </c>
      <c r="I576" s="5" t="n">
        <v>0.002607090938537985</v>
      </c>
      <c r="J576" s="5" t="n">
        <v>0.0002116378225275369</v>
      </c>
      <c r="K576" s="5" t="n">
        <v>-0.004963007623991008</v>
      </c>
      <c r="L576" s="5" t="n">
        <v>-0.004026157159392981</v>
      </c>
      <c r="M576" s="5">
        <f>SUMPRODUCT(Exposures!$B$6:$K$6,B576:K576)</f>
        <v/>
      </c>
      <c r="N576" s="5">
        <f>IF(AND($A576&gt;=DATE(2020,2,1),$A576&lt;=DATE(2020,5,31)),$M576,"")</f>
        <v/>
      </c>
      <c r="O576" s="5">
        <f>IF(AND($A576&gt;=DATE(2022,1,1),$A576&lt;=DATE(2022,10,31)),$M576,"")</f>
        <v/>
      </c>
      <c r="P576" s="5">
        <f>IF(AND($A576&gt;=DATE(2018,10,1),$A576&lt;=DATE(2018,12,31)),$M576,"")</f>
        <v/>
      </c>
      <c r="Q576" s="5">
        <f>SUMPRODUCT(Exposures!$B$8:$K$8,B576:K576)</f>
        <v/>
      </c>
      <c r="R576" s="5">
        <f>SUMPRODUCT(Exposures!$B$9:$K$9,B576:K576)</f>
        <v/>
      </c>
      <c r="S576" s="5">
        <f>SUMPRODUCT(Exposures!$B$10:$K$10,B576:K576)</f>
        <v/>
      </c>
    </row>
    <row r="577">
      <c r="A577" s="1" t="n">
        <v>43294</v>
      </c>
      <c r="B577" s="5" t="n">
        <v>0.00011947937334055</v>
      </c>
      <c r="C577" s="5" t="n">
        <v>0.002263246351977255</v>
      </c>
      <c r="D577" s="5" t="n">
        <v>-0.0007450080786076826</v>
      </c>
      <c r="E577" s="5" t="n">
        <v>-3.505322844040141e-05</v>
      </c>
      <c r="F577" s="5" t="n">
        <v>0.00150346473998516</v>
      </c>
      <c r="G577" s="5" t="n">
        <v>-0.00126156543367058</v>
      </c>
      <c r="H577" s="5" t="n">
        <v>0.0006367187948594606</v>
      </c>
      <c r="I577" s="5" t="n">
        <v>0.0002703452180672498</v>
      </c>
      <c r="J577" s="5" t="n">
        <v>-0.004138460170254757</v>
      </c>
      <c r="K577" s="5" t="n">
        <v>-0.003455809420601568</v>
      </c>
      <c r="L577" s="5" t="n">
        <v>-0.004269539654993742</v>
      </c>
      <c r="M577" s="5">
        <f>SUMPRODUCT(Exposures!$B$6:$K$6,B577:K577)</f>
        <v/>
      </c>
      <c r="N577" s="5">
        <f>IF(AND($A577&gt;=DATE(2020,2,1),$A577&lt;=DATE(2020,5,31)),$M577,"")</f>
        <v/>
      </c>
      <c r="O577" s="5">
        <f>IF(AND($A577&gt;=DATE(2022,1,1),$A577&lt;=DATE(2022,10,31)),$M577,"")</f>
        <v/>
      </c>
      <c r="P577" s="5">
        <f>IF(AND($A577&gt;=DATE(2018,10,1),$A577&lt;=DATE(2018,12,31)),$M577,"")</f>
        <v/>
      </c>
      <c r="Q577" s="5">
        <f>SUMPRODUCT(Exposures!$B$8:$K$8,B577:K577)</f>
        <v/>
      </c>
      <c r="R577" s="5">
        <f>SUMPRODUCT(Exposures!$B$9:$K$9,B577:K577)</f>
        <v/>
      </c>
      <c r="S577" s="5">
        <f>SUMPRODUCT(Exposures!$B$10:$K$10,B577:K577)</f>
        <v/>
      </c>
    </row>
    <row r="578">
      <c r="A578" s="1" t="n">
        <v>43297</v>
      </c>
      <c r="B578" s="5" t="n">
        <v>-0.001823888313196605</v>
      </c>
      <c r="C578" s="5" t="n">
        <v>-0.001739544876488528</v>
      </c>
      <c r="D578" s="5" t="n">
        <v>0.0005871684783301661</v>
      </c>
      <c r="E578" s="5" t="n">
        <v>0.001688252421649169</v>
      </c>
      <c r="F578" s="5" t="n">
        <v>-0.002378574099340414</v>
      </c>
      <c r="G578" s="5" t="n">
        <v>-0.002923294517719729</v>
      </c>
      <c r="H578" s="5" t="n">
        <v>0.003992880289891085</v>
      </c>
      <c r="I578" s="5" t="n">
        <v>0.0007224764012930771</v>
      </c>
      <c r="J578" s="5" t="n">
        <v>0.002334906813483644</v>
      </c>
      <c r="K578" s="5" t="n">
        <v>0.005649397631730684</v>
      </c>
      <c r="L578" s="5" t="n">
        <v>0.006391090416527338</v>
      </c>
      <c r="M578" s="5">
        <f>SUMPRODUCT(Exposures!$B$6:$K$6,B578:K578)</f>
        <v/>
      </c>
      <c r="N578" s="5">
        <f>IF(AND($A578&gt;=DATE(2020,2,1),$A578&lt;=DATE(2020,5,31)),$M578,"")</f>
        <v/>
      </c>
      <c r="O578" s="5">
        <f>IF(AND($A578&gt;=DATE(2022,1,1),$A578&lt;=DATE(2022,10,31)),$M578,"")</f>
        <v/>
      </c>
      <c r="P578" s="5">
        <f>IF(AND($A578&gt;=DATE(2018,10,1),$A578&lt;=DATE(2018,12,31)),$M578,"")</f>
        <v/>
      </c>
      <c r="Q578" s="5">
        <f>SUMPRODUCT(Exposures!$B$8:$K$8,B578:K578)</f>
        <v/>
      </c>
      <c r="R578" s="5">
        <f>SUMPRODUCT(Exposures!$B$9:$K$9,B578:K578)</f>
        <v/>
      </c>
      <c r="S578" s="5">
        <f>SUMPRODUCT(Exposures!$B$10:$K$10,B578:K578)</f>
        <v/>
      </c>
    </row>
    <row r="579">
      <c r="A579" s="1" t="n">
        <v>43298</v>
      </c>
      <c r="B579" s="5" t="n">
        <v>0.003725688823802225</v>
      </c>
      <c r="C579" s="5" t="n">
        <v>-0.000659478675276476</v>
      </c>
      <c r="D579" s="5" t="n">
        <v>0.00164687513167541</v>
      </c>
      <c r="E579" s="5" t="n">
        <v>-7.673991215195671e-05</v>
      </c>
      <c r="F579" s="5" t="n">
        <v>0.00519911010020118</v>
      </c>
      <c r="G579" s="5" t="n">
        <v>0.006243628315971125</v>
      </c>
      <c r="H579" s="5" t="n">
        <v>0.001090259999759348</v>
      </c>
      <c r="I579" s="5" t="n">
        <v>-0.0006667203218206167</v>
      </c>
      <c r="J579" s="5" t="n">
        <v>-0.0008284825332767889</v>
      </c>
      <c r="K579" s="5" t="n">
        <v>-0.007135432875024047</v>
      </c>
      <c r="L579" s="5" t="n">
        <v>-0.001138038695872235</v>
      </c>
      <c r="M579" s="5">
        <f>SUMPRODUCT(Exposures!$B$6:$K$6,B579:K579)</f>
        <v/>
      </c>
      <c r="N579" s="5">
        <f>IF(AND($A579&gt;=DATE(2020,2,1),$A579&lt;=DATE(2020,5,31)),$M579,"")</f>
        <v/>
      </c>
      <c r="O579" s="5">
        <f>IF(AND($A579&gt;=DATE(2022,1,1),$A579&lt;=DATE(2022,10,31)),$M579,"")</f>
        <v/>
      </c>
      <c r="P579" s="5">
        <f>IF(AND($A579&gt;=DATE(2018,10,1),$A579&lt;=DATE(2018,12,31)),$M579,"")</f>
        <v/>
      </c>
      <c r="Q579" s="5">
        <f>SUMPRODUCT(Exposures!$B$8:$K$8,B579:K579)</f>
        <v/>
      </c>
      <c r="R579" s="5">
        <f>SUMPRODUCT(Exposures!$B$9:$K$9,B579:K579)</f>
        <v/>
      </c>
      <c r="S579" s="5">
        <f>SUMPRODUCT(Exposures!$B$10:$K$10,B579:K579)</f>
        <v/>
      </c>
    </row>
    <row r="580">
      <c r="A580" s="1" t="n">
        <v>43299</v>
      </c>
      <c r="B580" s="5" t="n">
        <v>0.005422908957690996</v>
      </c>
      <c r="C580" s="5" t="n">
        <v>-6.591731933440427e-05</v>
      </c>
      <c r="D580" s="5" t="n">
        <v>7.096086826978968e-05</v>
      </c>
      <c r="E580" s="5" t="n">
        <v>-0.0004021233514655551</v>
      </c>
      <c r="F580" s="5" t="n">
        <v>-0.009051509897740702</v>
      </c>
      <c r="G580" s="5" t="n">
        <v>0.002767152163290798</v>
      </c>
      <c r="H580" s="5" t="n">
        <v>0.001981985875222681</v>
      </c>
      <c r="I580" s="5" t="n">
        <v>-0.002830449957408079</v>
      </c>
      <c r="J580" s="5" t="n">
        <v>-0.002297554446429952</v>
      </c>
      <c r="K580" s="5" t="n">
        <v>0.007211930026547193</v>
      </c>
      <c r="L580" s="5" t="n">
        <v>0.002916940009268774</v>
      </c>
      <c r="M580" s="5">
        <f>SUMPRODUCT(Exposures!$B$6:$K$6,B580:K580)</f>
        <v/>
      </c>
      <c r="N580" s="5">
        <f>IF(AND($A580&gt;=DATE(2020,2,1),$A580&lt;=DATE(2020,5,31)),$M580,"")</f>
        <v/>
      </c>
      <c r="O580" s="5">
        <f>IF(AND($A580&gt;=DATE(2022,1,1),$A580&lt;=DATE(2022,10,31)),$M580,"")</f>
        <v/>
      </c>
      <c r="P580" s="5">
        <f>IF(AND($A580&gt;=DATE(2018,10,1),$A580&lt;=DATE(2018,12,31)),$M580,"")</f>
        <v/>
      </c>
      <c r="Q580" s="5">
        <f>SUMPRODUCT(Exposures!$B$8:$K$8,B580:K580)</f>
        <v/>
      </c>
      <c r="R580" s="5">
        <f>SUMPRODUCT(Exposures!$B$9:$K$9,B580:K580)</f>
        <v/>
      </c>
      <c r="S580" s="5">
        <f>SUMPRODUCT(Exposures!$B$10:$K$10,B580:K580)</f>
        <v/>
      </c>
    </row>
    <row r="581">
      <c r="A581" s="1" t="n">
        <v>43300</v>
      </c>
      <c r="B581" s="5" t="n">
        <v>-0.004705936000807489</v>
      </c>
      <c r="C581" s="5" t="n">
        <v>0.0006052004491002645</v>
      </c>
      <c r="D581" s="5" t="n">
        <v>-0.002360247332009813</v>
      </c>
      <c r="E581" s="5" t="n">
        <v>-0.003810018269214142</v>
      </c>
      <c r="F581" s="5" t="n">
        <v>0.001319259898999888</v>
      </c>
      <c r="G581" s="5" t="n">
        <v>-0.002101459500055866</v>
      </c>
      <c r="H581" s="5" t="n">
        <v>0.001531344836578999</v>
      </c>
      <c r="I581" s="5" t="n">
        <v>-0.001333622745070046</v>
      </c>
      <c r="J581" s="5" t="n">
        <v>-0.004964597163694707</v>
      </c>
      <c r="K581" s="5" t="n">
        <v>-0.006203297314816491</v>
      </c>
      <c r="L581" s="5" t="n">
        <v>-0.002788523988298932</v>
      </c>
      <c r="M581" s="5">
        <f>SUMPRODUCT(Exposures!$B$6:$K$6,B581:K581)</f>
        <v/>
      </c>
      <c r="N581" s="5">
        <f>IF(AND($A581&gt;=DATE(2020,2,1),$A581&lt;=DATE(2020,5,31)),$M581,"")</f>
        <v/>
      </c>
      <c r="O581" s="5">
        <f>IF(AND($A581&gt;=DATE(2022,1,1),$A581&lt;=DATE(2022,10,31)),$M581,"")</f>
        <v/>
      </c>
      <c r="P581" s="5">
        <f>IF(AND($A581&gt;=DATE(2018,10,1),$A581&lt;=DATE(2018,12,31)),$M581,"")</f>
        <v/>
      </c>
      <c r="Q581" s="5">
        <f>SUMPRODUCT(Exposures!$B$8:$K$8,B581:K581)</f>
        <v/>
      </c>
      <c r="R581" s="5">
        <f>SUMPRODUCT(Exposures!$B$9:$K$9,B581:K581)</f>
        <v/>
      </c>
      <c r="S581" s="5">
        <f>SUMPRODUCT(Exposures!$B$10:$K$10,B581:K581)</f>
        <v/>
      </c>
    </row>
    <row r="582">
      <c r="A582" s="1" t="n">
        <v>43301</v>
      </c>
      <c r="B582" s="5" t="n">
        <v>0.0002023366639325201</v>
      </c>
      <c r="C582" s="5" t="n">
        <v>0.0004030443959746199</v>
      </c>
      <c r="D582" s="5" t="n">
        <v>-0.0004583717829698428</v>
      </c>
      <c r="E582" s="5" t="n">
        <v>6.052211935221775e-05</v>
      </c>
      <c r="F582" s="5" t="n">
        <v>-0.001590492480847247</v>
      </c>
      <c r="G582" s="5" t="n">
        <v>-0.003448248662242934</v>
      </c>
      <c r="H582" s="5" t="n">
        <v>0.002114226557590573</v>
      </c>
      <c r="I582" s="5" t="n">
        <v>0.001437418325633948</v>
      </c>
      <c r="J582" s="5" t="n">
        <v>-0.003291588635271933</v>
      </c>
      <c r="K582" s="5" t="n">
        <v>0.0001705126582261067</v>
      </c>
      <c r="L582" s="5" t="n">
        <v>0.0002081429002461377</v>
      </c>
      <c r="M582" s="5">
        <f>SUMPRODUCT(Exposures!$B$6:$K$6,B582:K582)</f>
        <v/>
      </c>
      <c r="N582" s="5">
        <f>IF(AND($A582&gt;=DATE(2020,2,1),$A582&lt;=DATE(2020,5,31)),$M582,"")</f>
        <v/>
      </c>
      <c r="O582" s="5">
        <f>IF(AND($A582&gt;=DATE(2022,1,1),$A582&lt;=DATE(2022,10,31)),$M582,"")</f>
        <v/>
      </c>
      <c r="P582" s="5">
        <f>IF(AND($A582&gt;=DATE(2018,10,1),$A582&lt;=DATE(2018,12,31)),$M582,"")</f>
        <v/>
      </c>
      <c r="Q582" s="5">
        <f>SUMPRODUCT(Exposures!$B$8:$K$8,B582:K582)</f>
        <v/>
      </c>
      <c r="R582" s="5">
        <f>SUMPRODUCT(Exposures!$B$9:$K$9,B582:K582)</f>
        <v/>
      </c>
      <c r="S582" s="5">
        <f>SUMPRODUCT(Exposures!$B$10:$K$10,B582:K582)</f>
        <v/>
      </c>
    </row>
    <row r="583">
      <c r="A583" s="1" t="n">
        <v>43304</v>
      </c>
      <c r="B583" s="5" t="n">
        <v>0.002382612725106509</v>
      </c>
      <c r="C583" s="5" t="n">
        <v>-0.0003876816597393478</v>
      </c>
      <c r="D583" s="5" t="n">
        <v>-0.001303435345763175</v>
      </c>
      <c r="E583" s="5" t="n">
        <v>0.001269697083163608</v>
      </c>
      <c r="F583" s="5" t="n">
        <v>0.0003980638537497091</v>
      </c>
      <c r="G583" s="5" t="n">
        <v>0.0008345205863780283</v>
      </c>
      <c r="H583" s="5" t="n">
        <v>0.0005509448180315733</v>
      </c>
      <c r="I583" s="5" t="n">
        <v>-0.0008445718960641938</v>
      </c>
      <c r="J583" s="5" t="n">
        <v>0.0009365671842705012</v>
      </c>
      <c r="K583" s="5" t="n">
        <v>0.0006367397800852134</v>
      </c>
      <c r="L583" s="5" t="n">
        <v>0.003618389510356787</v>
      </c>
      <c r="M583" s="5">
        <f>SUMPRODUCT(Exposures!$B$6:$K$6,B583:K583)</f>
        <v/>
      </c>
      <c r="N583" s="5">
        <f>IF(AND($A583&gt;=DATE(2020,2,1),$A583&lt;=DATE(2020,5,31)),$M583,"")</f>
        <v/>
      </c>
      <c r="O583" s="5">
        <f>IF(AND($A583&gt;=DATE(2022,1,1),$A583&lt;=DATE(2022,10,31)),$M583,"")</f>
        <v/>
      </c>
      <c r="P583" s="5">
        <f>IF(AND($A583&gt;=DATE(2018,10,1),$A583&lt;=DATE(2018,12,31)),$M583,"")</f>
        <v/>
      </c>
      <c r="Q583" s="5">
        <f>SUMPRODUCT(Exposures!$B$8:$K$8,B583:K583)</f>
        <v/>
      </c>
      <c r="R583" s="5">
        <f>SUMPRODUCT(Exposures!$B$9:$K$9,B583:K583)</f>
        <v/>
      </c>
      <c r="S583" s="5">
        <f>SUMPRODUCT(Exposures!$B$10:$K$10,B583:K583)</f>
        <v/>
      </c>
    </row>
    <row r="584">
      <c r="A584" s="1" t="n">
        <v>43305</v>
      </c>
      <c r="B584" s="5" t="n">
        <v>0.002162686330193185</v>
      </c>
      <c r="C584" s="5" t="n">
        <v>0.002354236310953395</v>
      </c>
      <c r="D584" s="5" t="n">
        <v>0.001578945991524093</v>
      </c>
      <c r="E584" s="5" t="n">
        <v>-0.0009160647262609188</v>
      </c>
      <c r="F584" s="5" t="n">
        <v>-0.001617426431128391</v>
      </c>
      <c r="G584" s="5" t="n">
        <v>-0.004034328279542419</v>
      </c>
      <c r="H584" s="5" t="n">
        <v>0.0005448686176320842</v>
      </c>
      <c r="I584" s="5" t="n">
        <v>0.002003429547107118</v>
      </c>
      <c r="J584" s="5" t="n">
        <v>-0.009568985139004987</v>
      </c>
      <c r="K584" s="5" t="n">
        <v>0.0028554014281117</v>
      </c>
      <c r="L584" s="5" t="n">
        <v>0.0002154529652137216</v>
      </c>
      <c r="M584" s="5">
        <f>SUMPRODUCT(Exposures!$B$6:$K$6,B584:K584)</f>
        <v/>
      </c>
      <c r="N584" s="5">
        <f>IF(AND($A584&gt;=DATE(2020,2,1),$A584&lt;=DATE(2020,5,31)),$M584,"")</f>
        <v/>
      </c>
      <c r="O584" s="5">
        <f>IF(AND($A584&gt;=DATE(2022,1,1),$A584&lt;=DATE(2022,10,31)),$M584,"")</f>
        <v/>
      </c>
      <c r="P584" s="5">
        <f>IF(AND($A584&gt;=DATE(2018,10,1),$A584&lt;=DATE(2018,12,31)),$M584,"")</f>
        <v/>
      </c>
      <c r="Q584" s="5">
        <f>SUMPRODUCT(Exposures!$B$8:$K$8,B584:K584)</f>
        <v/>
      </c>
      <c r="R584" s="5">
        <f>SUMPRODUCT(Exposures!$B$9:$K$9,B584:K584)</f>
        <v/>
      </c>
      <c r="S584" s="5">
        <f>SUMPRODUCT(Exposures!$B$10:$K$10,B584:K584)</f>
        <v/>
      </c>
    </row>
    <row r="585">
      <c r="A585" s="1" t="n">
        <v>43306</v>
      </c>
      <c r="B585" s="5" t="n">
        <v>-0.000801451419200226</v>
      </c>
      <c r="C585" s="5" t="n">
        <v>0.002187257494430753</v>
      </c>
      <c r="D585" s="5" t="n">
        <v>0.001430932051665303</v>
      </c>
      <c r="E585" s="5" t="n">
        <v>-0.004644075750527627</v>
      </c>
      <c r="F585" s="5" t="n">
        <v>0.001673981399109634</v>
      </c>
      <c r="G585" s="5" t="n">
        <v>0.007411871777109262</v>
      </c>
      <c r="H585" s="5" t="n">
        <v>0.003855641960683738</v>
      </c>
      <c r="I585" s="5" t="n">
        <v>-0.0008256664903437578</v>
      </c>
      <c r="J585" s="5" t="n">
        <v>0.004478147289752996</v>
      </c>
      <c r="K585" s="5" t="n">
        <v>0.003819663808308382</v>
      </c>
      <c r="L585" s="5" t="n">
        <v>0.000119516141187006</v>
      </c>
      <c r="M585" s="5">
        <f>SUMPRODUCT(Exposures!$B$6:$K$6,B585:K585)</f>
        <v/>
      </c>
      <c r="N585" s="5">
        <f>IF(AND($A585&gt;=DATE(2020,2,1),$A585&lt;=DATE(2020,5,31)),$M585,"")</f>
        <v/>
      </c>
      <c r="O585" s="5">
        <f>IF(AND($A585&gt;=DATE(2022,1,1),$A585&lt;=DATE(2022,10,31)),$M585,"")</f>
        <v/>
      </c>
      <c r="P585" s="5">
        <f>IF(AND($A585&gt;=DATE(2018,10,1),$A585&lt;=DATE(2018,12,31)),$M585,"")</f>
        <v/>
      </c>
      <c r="Q585" s="5">
        <f>SUMPRODUCT(Exposures!$B$8:$K$8,B585:K585)</f>
        <v/>
      </c>
      <c r="R585" s="5">
        <f>SUMPRODUCT(Exposures!$B$9:$K$9,B585:K585)</f>
        <v/>
      </c>
      <c r="S585" s="5">
        <f>SUMPRODUCT(Exposures!$B$10:$K$10,B585:K585)</f>
        <v/>
      </c>
    </row>
    <row r="586">
      <c r="A586" s="1" t="n">
        <v>43307</v>
      </c>
      <c r="B586" s="5" t="n">
        <v>0.003593106893089315</v>
      </c>
      <c r="C586" s="5" t="n">
        <v>-0.003027388766907362</v>
      </c>
      <c r="D586" s="5" t="n">
        <v>-0.003421806998596272</v>
      </c>
      <c r="E586" s="5" t="n">
        <v>0.002552452154895714</v>
      </c>
      <c r="F586" s="5" t="n">
        <v>0.005737647128678918</v>
      </c>
      <c r="G586" s="5" t="n">
        <v>0.003901941704664306</v>
      </c>
      <c r="H586" s="5" t="n">
        <v>-0.007350256144613164</v>
      </c>
      <c r="I586" s="5" t="n">
        <v>-0.002666501724569927</v>
      </c>
      <c r="J586" s="5" t="n">
        <v>-0.0008283153330625592</v>
      </c>
      <c r="K586" s="5" t="n">
        <v>-0.007006143622060682</v>
      </c>
      <c r="L586" s="5" t="n">
        <v>-0.003299279225382372</v>
      </c>
      <c r="M586" s="5">
        <f>SUMPRODUCT(Exposures!$B$6:$K$6,B586:K586)</f>
        <v/>
      </c>
      <c r="N586" s="5">
        <f>IF(AND($A586&gt;=DATE(2020,2,1),$A586&lt;=DATE(2020,5,31)),$M586,"")</f>
        <v/>
      </c>
      <c r="O586" s="5">
        <f>IF(AND($A586&gt;=DATE(2022,1,1),$A586&lt;=DATE(2022,10,31)),$M586,"")</f>
        <v/>
      </c>
      <c r="P586" s="5">
        <f>IF(AND($A586&gt;=DATE(2018,10,1),$A586&lt;=DATE(2018,12,31)),$M586,"")</f>
        <v/>
      </c>
      <c r="Q586" s="5">
        <f>SUMPRODUCT(Exposures!$B$8:$K$8,B586:K586)</f>
        <v/>
      </c>
      <c r="R586" s="5">
        <f>SUMPRODUCT(Exposures!$B$9:$K$9,B586:K586)</f>
        <v/>
      </c>
      <c r="S586" s="5">
        <f>SUMPRODUCT(Exposures!$B$10:$K$10,B586:K586)</f>
        <v/>
      </c>
    </row>
    <row r="587">
      <c r="A587" s="1" t="n">
        <v>43308</v>
      </c>
      <c r="B587" s="5" t="n">
        <v>-8.052100634476722e-05</v>
      </c>
      <c r="C587" s="5" t="n">
        <v>-0.0008041789429404738</v>
      </c>
      <c r="D587" s="5" t="n">
        <v>-0.003045126052904157</v>
      </c>
      <c r="E587" s="5" t="n">
        <v>0.003748724460116595</v>
      </c>
      <c r="F587" s="5" t="n">
        <v>0.003953813871643586</v>
      </c>
      <c r="G587" s="5" t="n">
        <v>-0.009486338390453198</v>
      </c>
      <c r="H587" s="5" t="n">
        <v>-0.004184512698841557</v>
      </c>
      <c r="I587" s="5" t="n">
        <v>-0.000121548357882636</v>
      </c>
      <c r="J587" s="5" t="n">
        <v>-0.006282747522226129</v>
      </c>
      <c r="K587" s="5" t="n">
        <v>-0.003451197017944602</v>
      </c>
      <c r="L587" s="5" t="n">
        <v>-0.0003654778778595946</v>
      </c>
      <c r="M587" s="5">
        <f>SUMPRODUCT(Exposures!$B$6:$K$6,B587:K587)</f>
        <v/>
      </c>
      <c r="N587" s="5">
        <f>IF(AND($A587&gt;=DATE(2020,2,1),$A587&lt;=DATE(2020,5,31)),$M587,"")</f>
        <v/>
      </c>
      <c r="O587" s="5">
        <f>IF(AND($A587&gt;=DATE(2022,1,1),$A587&lt;=DATE(2022,10,31)),$M587,"")</f>
        <v/>
      </c>
      <c r="P587" s="5">
        <f>IF(AND($A587&gt;=DATE(2018,10,1),$A587&lt;=DATE(2018,12,31)),$M587,"")</f>
        <v/>
      </c>
      <c r="Q587" s="5">
        <f>SUMPRODUCT(Exposures!$B$8:$K$8,B587:K587)</f>
        <v/>
      </c>
      <c r="R587" s="5">
        <f>SUMPRODUCT(Exposures!$B$9:$K$9,B587:K587)</f>
        <v/>
      </c>
      <c r="S587" s="5">
        <f>SUMPRODUCT(Exposures!$B$10:$K$10,B587:K587)</f>
        <v/>
      </c>
    </row>
    <row r="588">
      <c r="A588" s="1" t="n">
        <v>43311</v>
      </c>
      <c r="B588" s="5" t="n">
        <v>-0.0002109373859266981</v>
      </c>
      <c r="C588" s="5" t="n">
        <v>-0.001685420502178406</v>
      </c>
      <c r="D588" s="5" t="n">
        <v>-0.004232837903928259</v>
      </c>
      <c r="E588" s="5" t="n">
        <v>0.001497176709126051</v>
      </c>
      <c r="F588" s="5" t="n">
        <v>0.0009333519496546358</v>
      </c>
      <c r="G588" s="5" t="n">
        <v>-0.006712859630703154</v>
      </c>
      <c r="H588" s="5" t="n">
        <v>-0.006660639821680647</v>
      </c>
      <c r="I588" s="5" t="n">
        <v>0.002964919780028885</v>
      </c>
      <c r="J588" s="5" t="n">
        <v>-0.004449947153626598</v>
      </c>
      <c r="K588" s="5" t="n">
        <v>-0.003552901418034539</v>
      </c>
      <c r="L588" s="5" t="n">
        <v>0.002270171644904215</v>
      </c>
      <c r="M588" s="5">
        <f>SUMPRODUCT(Exposures!$B$6:$K$6,B588:K588)</f>
        <v/>
      </c>
      <c r="N588" s="5">
        <f>IF(AND($A588&gt;=DATE(2020,2,1),$A588&lt;=DATE(2020,5,31)),$M588,"")</f>
        <v/>
      </c>
      <c r="O588" s="5">
        <f>IF(AND($A588&gt;=DATE(2022,1,1),$A588&lt;=DATE(2022,10,31)),$M588,"")</f>
        <v/>
      </c>
      <c r="P588" s="5">
        <f>IF(AND($A588&gt;=DATE(2018,10,1),$A588&lt;=DATE(2018,12,31)),$M588,"")</f>
        <v/>
      </c>
      <c r="Q588" s="5">
        <f>SUMPRODUCT(Exposures!$B$8:$K$8,B588:K588)</f>
        <v/>
      </c>
      <c r="R588" s="5">
        <f>SUMPRODUCT(Exposures!$B$9:$K$9,B588:K588)</f>
        <v/>
      </c>
      <c r="S588" s="5">
        <f>SUMPRODUCT(Exposures!$B$10:$K$10,B588:K588)</f>
        <v/>
      </c>
    </row>
    <row r="589">
      <c r="A589" s="1" t="n">
        <v>43312</v>
      </c>
      <c r="B589" s="5" t="n">
        <v>0.0007144452498229872</v>
      </c>
      <c r="C589" s="5" t="n">
        <v>0.002600275261623148</v>
      </c>
      <c r="D589" s="5" t="n">
        <v>0.002357200975315126</v>
      </c>
      <c r="E589" s="5" t="n">
        <v>0.0003041556986077507</v>
      </c>
      <c r="F589" s="5" t="n">
        <v>-0.008952111914671898</v>
      </c>
      <c r="G589" s="5" t="n">
        <v>0.008911225821940753</v>
      </c>
      <c r="H589" s="5" t="n">
        <v>-8.144653293726873e-05</v>
      </c>
      <c r="I589" s="5" t="n">
        <v>-0.0003982767367546173</v>
      </c>
      <c r="J589" s="5" t="n">
        <v>-0.003473257129050778</v>
      </c>
      <c r="K589" s="5" t="n">
        <v>0.003921036083098081</v>
      </c>
      <c r="L589" s="5" t="n">
        <v>-0.005737809234458788</v>
      </c>
      <c r="M589" s="5">
        <f>SUMPRODUCT(Exposures!$B$6:$K$6,B589:K589)</f>
        <v/>
      </c>
      <c r="N589" s="5">
        <f>IF(AND($A589&gt;=DATE(2020,2,1),$A589&lt;=DATE(2020,5,31)),$M589,"")</f>
        <v/>
      </c>
      <c r="O589" s="5">
        <f>IF(AND($A589&gt;=DATE(2022,1,1),$A589&lt;=DATE(2022,10,31)),$M589,"")</f>
        <v/>
      </c>
      <c r="P589" s="5">
        <f>IF(AND($A589&gt;=DATE(2018,10,1),$A589&lt;=DATE(2018,12,31)),$M589,"")</f>
        <v/>
      </c>
      <c r="Q589" s="5">
        <f>SUMPRODUCT(Exposures!$B$8:$K$8,B589:K589)</f>
        <v/>
      </c>
      <c r="R589" s="5">
        <f>SUMPRODUCT(Exposures!$B$9:$K$9,B589:K589)</f>
        <v/>
      </c>
      <c r="S589" s="5">
        <f>SUMPRODUCT(Exposures!$B$10:$K$10,B589:K589)</f>
        <v/>
      </c>
    </row>
    <row r="590">
      <c r="A590" s="1" t="n">
        <v>43313</v>
      </c>
      <c r="B590" s="5" t="n">
        <v>-0.0003191072721539364</v>
      </c>
      <c r="C590" s="5" t="n">
        <v>0.0028555783954341</v>
      </c>
      <c r="D590" s="5" t="n">
        <v>0.005106283576580905</v>
      </c>
      <c r="E590" s="5" t="n">
        <v>0.0001387823061874581</v>
      </c>
      <c r="F590" s="5" t="n">
        <v>-0.007622790182339444</v>
      </c>
      <c r="G590" s="5" t="n">
        <v>-0.003231834584821657</v>
      </c>
      <c r="H590" s="5" t="n">
        <v>0.005130309982529375</v>
      </c>
      <c r="I590" s="5" t="n">
        <v>0.0008267478778274502</v>
      </c>
      <c r="J590" s="5" t="n">
        <v>0.002001357330462498</v>
      </c>
      <c r="K590" s="5" t="n">
        <v>0.008363979479669064</v>
      </c>
      <c r="L590" s="5" t="n">
        <v>0.001722198190659281</v>
      </c>
      <c r="M590" s="5">
        <f>SUMPRODUCT(Exposures!$B$6:$K$6,B590:K590)</f>
        <v/>
      </c>
      <c r="N590" s="5">
        <f>IF(AND($A590&gt;=DATE(2020,2,1),$A590&lt;=DATE(2020,5,31)),$M590,"")</f>
        <v/>
      </c>
      <c r="O590" s="5">
        <f>IF(AND($A590&gt;=DATE(2022,1,1),$A590&lt;=DATE(2022,10,31)),$M590,"")</f>
        <v/>
      </c>
      <c r="P590" s="5">
        <f>IF(AND($A590&gt;=DATE(2018,10,1),$A590&lt;=DATE(2018,12,31)),$M590,"")</f>
        <v/>
      </c>
      <c r="Q590" s="5">
        <f>SUMPRODUCT(Exposures!$B$8:$K$8,B590:K590)</f>
        <v/>
      </c>
      <c r="R590" s="5">
        <f>SUMPRODUCT(Exposures!$B$9:$K$9,B590:K590)</f>
        <v/>
      </c>
      <c r="S590" s="5">
        <f>SUMPRODUCT(Exposures!$B$10:$K$10,B590:K590)</f>
        <v/>
      </c>
    </row>
    <row r="591">
      <c r="A591" s="1" t="n">
        <v>43314</v>
      </c>
      <c r="B591" s="5" t="n">
        <v>-0.001397821321926304</v>
      </c>
      <c r="C591" s="5" t="n">
        <v>0.00129014304437842</v>
      </c>
      <c r="D591" s="5" t="n">
        <v>-0.0005912062784221943</v>
      </c>
      <c r="E591" s="5" t="n">
        <v>0.001622050533773545</v>
      </c>
      <c r="F591" s="5" t="n">
        <v>0.009503778824806634</v>
      </c>
      <c r="G591" s="5" t="n">
        <v>0.004474271429684866</v>
      </c>
      <c r="H591" s="5" t="n">
        <v>0.006303889011082635</v>
      </c>
      <c r="I591" s="5" t="n">
        <v>-0.001423387739725911</v>
      </c>
      <c r="J591" s="5" t="n">
        <v>-0.0008956725916078116</v>
      </c>
      <c r="K591" s="5" t="n">
        <v>-0.009624168586418106</v>
      </c>
      <c r="L591" s="5" t="n">
        <v>-0.002290013181597124</v>
      </c>
      <c r="M591" s="5">
        <f>SUMPRODUCT(Exposures!$B$6:$K$6,B591:K591)</f>
        <v/>
      </c>
      <c r="N591" s="5">
        <f>IF(AND($A591&gt;=DATE(2020,2,1),$A591&lt;=DATE(2020,5,31)),$M591,"")</f>
        <v/>
      </c>
      <c r="O591" s="5">
        <f>IF(AND($A591&gt;=DATE(2022,1,1),$A591&lt;=DATE(2022,10,31)),$M591,"")</f>
        <v/>
      </c>
      <c r="P591" s="5">
        <f>IF(AND($A591&gt;=DATE(2018,10,1),$A591&lt;=DATE(2018,12,31)),$M591,"")</f>
        <v/>
      </c>
      <c r="Q591" s="5">
        <f>SUMPRODUCT(Exposures!$B$8:$K$8,B591:K591)</f>
        <v/>
      </c>
      <c r="R591" s="5">
        <f>SUMPRODUCT(Exposures!$B$9:$K$9,B591:K591)</f>
        <v/>
      </c>
      <c r="S591" s="5">
        <f>SUMPRODUCT(Exposures!$B$10:$K$10,B591:K591)</f>
        <v/>
      </c>
    </row>
    <row r="592">
      <c r="A592" s="1" t="n">
        <v>43315</v>
      </c>
      <c r="B592" s="5" t="n">
        <v>-0.000908466306533317</v>
      </c>
      <c r="C592" s="5" t="n">
        <v>0.0006005086953918873</v>
      </c>
      <c r="D592" s="5" t="n">
        <v>0.001933148175210684</v>
      </c>
      <c r="E592" s="5" t="n">
        <v>0.00351298852182921</v>
      </c>
      <c r="F592" s="5" t="n">
        <v>0.001800391214276029</v>
      </c>
      <c r="G592" s="5" t="n">
        <v>0.003934902379380339</v>
      </c>
      <c r="H592" s="5" t="n">
        <v>-0.004430366532097047</v>
      </c>
      <c r="I592" s="5" t="n">
        <v>-0.0003791561587079682</v>
      </c>
      <c r="J592" s="5" t="n">
        <v>-0.0006799184756284947</v>
      </c>
      <c r="K592" s="5" t="n">
        <v>-0.0005172968014450778</v>
      </c>
      <c r="L592" s="5" t="n">
        <v>-0.002184069082141575</v>
      </c>
      <c r="M592" s="5">
        <f>SUMPRODUCT(Exposures!$B$6:$K$6,B592:K592)</f>
        <v/>
      </c>
      <c r="N592" s="5">
        <f>IF(AND($A592&gt;=DATE(2020,2,1),$A592&lt;=DATE(2020,5,31)),$M592,"")</f>
        <v/>
      </c>
      <c r="O592" s="5">
        <f>IF(AND($A592&gt;=DATE(2022,1,1),$A592&lt;=DATE(2022,10,31)),$M592,"")</f>
        <v/>
      </c>
      <c r="P592" s="5">
        <f>IF(AND($A592&gt;=DATE(2018,10,1),$A592&lt;=DATE(2018,12,31)),$M592,"")</f>
        <v/>
      </c>
      <c r="Q592" s="5">
        <f>SUMPRODUCT(Exposures!$B$8:$K$8,B592:K592)</f>
        <v/>
      </c>
      <c r="R592" s="5">
        <f>SUMPRODUCT(Exposures!$B$9:$K$9,B592:K592)</f>
        <v/>
      </c>
      <c r="S592" s="5">
        <f>SUMPRODUCT(Exposures!$B$10:$K$10,B592:K592)</f>
        <v/>
      </c>
    </row>
    <row r="593">
      <c r="A593" s="1" t="n">
        <v>43318</v>
      </c>
      <c r="B593" s="5" t="n">
        <v>8.193969569936802e-05</v>
      </c>
      <c r="C593" s="5" t="n">
        <v>0.0006393146745584535</v>
      </c>
      <c r="D593" s="5" t="n">
        <v>0.0001130427926852242</v>
      </c>
      <c r="E593" s="5" t="n">
        <v>0.001462663555263977</v>
      </c>
      <c r="F593" s="5" t="n">
        <v>0.004193472013459185</v>
      </c>
      <c r="G593" s="5" t="n">
        <v>0.003912314813139708</v>
      </c>
      <c r="H593" s="5" t="n">
        <v>0.002441769694633158</v>
      </c>
      <c r="I593" s="5" t="n">
        <v>-0.0004853300220932845</v>
      </c>
      <c r="J593" s="5" t="n">
        <v>-0.0005571632432513283</v>
      </c>
      <c r="K593" s="5" t="n">
        <v>-0.005772177742745057</v>
      </c>
      <c r="L593" s="5" t="n">
        <v>-0.002275035877224825</v>
      </c>
      <c r="M593" s="5">
        <f>SUMPRODUCT(Exposures!$B$6:$K$6,B593:K593)</f>
        <v/>
      </c>
      <c r="N593" s="5">
        <f>IF(AND($A593&gt;=DATE(2020,2,1),$A593&lt;=DATE(2020,5,31)),$M593,"")</f>
        <v/>
      </c>
      <c r="O593" s="5">
        <f>IF(AND($A593&gt;=DATE(2022,1,1),$A593&lt;=DATE(2022,10,31)),$M593,"")</f>
        <v/>
      </c>
      <c r="P593" s="5">
        <f>IF(AND($A593&gt;=DATE(2018,10,1),$A593&lt;=DATE(2018,12,31)),$M593,"")</f>
        <v/>
      </c>
      <c r="Q593" s="5">
        <f>SUMPRODUCT(Exposures!$B$8:$K$8,B593:K593)</f>
        <v/>
      </c>
      <c r="R593" s="5">
        <f>SUMPRODUCT(Exposures!$B$9:$K$9,B593:K593)</f>
        <v/>
      </c>
      <c r="S593" s="5">
        <f>SUMPRODUCT(Exposures!$B$10:$K$10,B593:K593)</f>
        <v/>
      </c>
    </row>
    <row r="594">
      <c r="A594" s="1" t="n">
        <v>43319</v>
      </c>
      <c r="B594" s="5" t="n">
        <v>0.005722723873370111</v>
      </c>
      <c r="C594" s="5" t="n">
        <v>0.0003266491623637627</v>
      </c>
      <c r="D594" s="5" t="n">
        <v>0.0009762974230780858</v>
      </c>
      <c r="E594" s="5" t="n">
        <v>-0.001817463790809289</v>
      </c>
      <c r="F594" s="5" t="n">
        <v>-0.004532228173468393</v>
      </c>
      <c r="G594" s="5" t="n">
        <v>0.002316540715331616</v>
      </c>
      <c r="H594" s="5" t="n">
        <v>-5.325089391699318e-06</v>
      </c>
      <c r="I594" s="5" t="n">
        <v>-0.0007509975892910659</v>
      </c>
      <c r="J594" s="5" t="n">
        <v>-0.0007344487056730855</v>
      </c>
      <c r="K594" s="5" t="n">
        <v>0.002136345933648739</v>
      </c>
      <c r="L594" s="5" t="n">
        <v>0.001412221773465674</v>
      </c>
      <c r="M594" s="5">
        <f>SUMPRODUCT(Exposures!$B$6:$K$6,B594:K594)</f>
        <v/>
      </c>
      <c r="N594" s="5">
        <f>IF(AND($A594&gt;=DATE(2020,2,1),$A594&lt;=DATE(2020,5,31)),$M594,"")</f>
        <v/>
      </c>
      <c r="O594" s="5">
        <f>IF(AND($A594&gt;=DATE(2022,1,1),$A594&lt;=DATE(2022,10,31)),$M594,"")</f>
        <v/>
      </c>
      <c r="P594" s="5">
        <f>IF(AND($A594&gt;=DATE(2018,10,1),$A594&lt;=DATE(2018,12,31)),$M594,"")</f>
        <v/>
      </c>
      <c r="Q594" s="5">
        <f>SUMPRODUCT(Exposures!$B$8:$K$8,B594:K594)</f>
        <v/>
      </c>
      <c r="R594" s="5">
        <f>SUMPRODUCT(Exposures!$B$9:$K$9,B594:K594)</f>
        <v/>
      </c>
      <c r="S594" s="5">
        <f>SUMPRODUCT(Exposures!$B$10:$K$10,B594:K594)</f>
        <v/>
      </c>
    </row>
    <row r="595">
      <c r="A595" s="1" t="n">
        <v>43320</v>
      </c>
      <c r="B595" s="5" t="n">
        <v>-0.00301470404749223</v>
      </c>
      <c r="C595" s="5" t="n">
        <v>-0.002930165049118238</v>
      </c>
      <c r="D595" s="5" t="n">
        <v>0.009359056539608399</v>
      </c>
      <c r="E595" s="5" t="n">
        <v>-0.0005887775650047488</v>
      </c>
      <c r="F595" s="5" t="n">
        <v>0.005976005304362875</v>
      </c>
      <c r="G595" s="5" t="n">
        <v>0.000448554280322679</v>
      </c>
      <c r="H595" s="5" t="n">
        <v>0.0009305338119494314</v>
      </c>
      <c r="I595" s="5" t="n">
        <v>0.001911247979544253</v>
      </c>
      <c r="J595" s="5" t="n">
        <v>0.001668615925165797</v>
      </c>
      <c r="K595" s="5" t="n">
        <v>-0.004671999433530642</v>
      </c>
      <c r="L595" s="5" t="n">
        <v>0.002718068670204348</v>
      </c>
      <c r="M595" s="5">
        <f>SUMPRODUCT(Exposures!$B$6:$K$6,B595:K595)</f>
        <v/>
      </c>
      <c r="N595" s="5">
        <f>IF(AND($A595&gt;=DATE(2020,2,1),$A595&lt;=DATE(2020,5,31)),$M595,"")</f>
        <v/>
      </c>
      <c r="O595" s="5">
        <f>IF(AND($A595&gt;=DATE(2022,1,1),$A595&lt;=DATE(2022,10,31)),$M595,"")</f>
        <v/>
      </c>
      <c r="P595" s="5">
        <f>IF(AND($A595&gt;=DATE(2018,10,1),$A595&lt;=DATE(2018,12,31)),$M595,"")</f>
        <v/>
      </c>
      <c r="Q595" s="5">
        <f>SUMPRODUCT(Exposures!$B$8:$K$8,B595:K595)</f>
        <v/>
      </c>
      <c r="R595" s="5">
        <f>SUMPRODUCT(Exposures!$B$9:$K$9,B595:K595)</f>
        <v/>
      </c>
      <c r="S595" s="5">
        <f>SUMPRODUCT(Exposures!$B$10:$K$10,B595:K595)</f>
        <v/>
      </c>
    </row>
    <row r="596">
      <c r="A596" s="1" t="n">
        <v>43321</v>
      </c>
      <c r="B596" s="5" t="n">
        <v>-0.00196174329113673</v>
      </c>
      <c r="C596" s="5" t="n">
        <v>0.00271889230558162</v>
      </c>
      <c r="D596" s="5" t="n">
        <v>-0.00632915794568918</v>
      </c>
      <c r="E596" s="5" t="n">
        <v>0.001562637592156965</v>
      </c>
      <c r="F596" s="5" t="n">
        <v>-0.005245462856175302</v>
      </c>
      <c r="G596" s="5" t="n">
        <v>0.001382688924203634</v>
      </c>
      <c r="H596" s="5" t="n">
        <v>0.003263291967175356</v>
      </c>
      <c r="I596" s="5" t="n">
        <v>0.001680352154116938</v>
      </c>
      <c r="J596" s="5" t="n">
        <v>0.004395084952854422</v>
      </c>
      <c r="K596" s="5" t="n">
        <v>0.00337200930420884</v>
      </c>
      <c r="L596" s="5" t="n">
        <v>-0.003342604067875926</v>
      </c>
      <c r="M596" s="5">
        <f>SUMPRODUCT(Exposures!$B$6:$K$6,B596:K596)</f>
        <v/>
      </c>
      <c r="N596" s="5">
        <f>IF(AND($A596&gt;=DATE(2020,2,1),$A596&lt;=DATE(2020,5,31)),$M596,"")</f>
        <v/>
      </c>
      <c r="O596" s="5">
        <f>IF(AND($A596&gt;=DATE(2022,1,1),$A596&lt;=DATE(2022,10,31)),$M596,"")</f>
        <v/>
      </c>
      <c r="P596" s="5">
        <f>IF(AND($A596&gt;=DATE(2018,10,1),$A596&lt;=DATE(2018,12,31)),$M596,"")</f>
        <v/>
      </c>
      <c r="Q596" s="5">
        <f>SUMPRODUCT(Exposures!$B$8:$K$8,B596:K596)</f>
        <v/>
      </c>
      <c r="R596" s="5">
        <f>SUMPRODUCT(Exposures!$B$9:$K$9,B596:K596)</f>
        <v/>
      </c>
      <c r="S596" s="5">
        <f>SUMPRODUCT(Exposures!$B$10:$K$10,B596:K596)</f>
        <v/>
      </c>
    </row>
    <row r="597">
      <c r="A597" s="1" t="n">
        <v>43322</v>
      </c>
      <c r="B597" s="5" t="n">
        <v>-0.005161284285682403</v>
      </c>
      <c r="C597" s="5" t="n">
        <v>-0.001856100075162311</v>
      </c>
      <c r="D597" s="5" t="n">
        <v>0.004617238678130895</v>
      </c>
      <c r="E597" s="5" t="n">
        <v>-0.004281256508977233</v>
      </c>
      <c r="F597" s="5" t="n">
        <v>0.001660157552786827</v>
      </c>
      <c r="G597" s="5" t="n">
        <v>-0.003181449727157574</v>
      </c>
      <c r="H597" s="5" t="n">
        <v>0.002222803561712707</v>
      </c>
      <c r="I597" s="5" t="n">
        <v>0.002977212118183328</v>
      </c>
      <c r="J597" s="5" t="n">
        <v>0.006953050165044106</v>
      </c>
      <c r="K597" s="5" t="n">
        <v>-0.0001258314541953756</v>
      </c>
      <c r="L597" s="5" t="n">
        <v>0.001630711018155082</v>
      </c>
      <c r="M597" s="5">
        <f>SUMPRODUCT(Exposures!$B$6:$K$6,B597:K597)</f>
        <v/>
      </c>
      <c r="N597" s="5">
        <f>IF(AND($A597&gt;=DATE(2020,2,1),$A597&lt;=DATE(2020,5,31)),$M597,"")</f>
        <v/>
      </c>
      <c r="O597" s="5">
        <f>IF(AND($A597&gt;=DATE(2022,1,1),$A597&lt;=DATE(2022,10,31)),$M597,"")</f>
        <v/>
      </c>
      <c r="P597" s="5">
        <f>IF(AND($A597&gt;=DATE(2018,10,1),$A597&lt;=DATE(2018,12,31)),$M597,"")</f>
        <v/>
      </c>
      <c r="Q597" s="5">
        <f>SUMPRODUCT(Exposures!$B$8:$K$8,B597:K597)</f>
        <v/>
      </c>
      <c r="R597" s="5">
        <f>SUMPRODUCT(Exposures!$B$9:$K$9,B597:K597)</f>
        <v/>
      </c>
      <c r="S597" s="5">
        <f>SUMPRODUCT(Exposures!$B$10:$K$10,B597:K597)</f>
        <v/>
      </c>
    </row>
    <row r="598">
      <c r="A598" s="1" t="n">
        <v>43325</v>
      </c>
      <c r="B598" s="5" t="n">
        <v>-0.001287250714591645</v>
      </c>
      <c r="C598" s="5" t="n">
        <v>0.002735904167698574</v>
      </c>
      <c r="D598" s="5" t="n">
        <v>-0.003011419081182335</v>
      </c>
      <c r="E598" s="5" t="n">
        <v>0.001839463504872285</v>
      </c>
      <c r="F598" s="5" t="n">
        <v>-0.0005358137152419052</v>
      </c>
      <c r="G598" s="5" t="n">
        <v>-0.004225889531520915</v>
      </c>
      <c r="H598" s="5" t="n">
        <v>0.001098452266609046</v>
      </c>
      <c r="I598" s="5" t="n">
        <v>0.0006741769941289844</v>
      </c>
      <c r="J598" s="5" t="n">
        <v>-0.0008834526583058422</v>
      </c>
      <c r="K598" s="5" t="n">
        <v>-8.031528934403421e-05</v>
      </c>
      <c r="L598" s="5" t="n">
        <v>-0.002676267547320733</v>
      </c>
      <c r="M598" s="5">
        <f>SUMPRODUCT(Exposures!$B$6:$K$6,B598:K598)</f>
        <v/>
      </c>
      <c r="N598" s="5">
        <f>IF(AND($A598&gt;=DATE(2020,2,1),$A598&lt;=DATE(2020,5,31)),$M598,"")</f>
        <v/>
      </c>
      <c r="O598" s="5">
        <f>IF(AND($A598&gt;=DATE(2022,1,1),$A598&lt;=DATE(2022,10,31)),$M598,"")</f>
        <v/>
      </c>
      <c r="P598" s="5">
        <f>IF(AND($A598&gt;=DATE(2018,10,1),$A598&lt;=DATE(2018,12,31)),$M598,"")</f>
        <v/>
      </c>
      <c r="Q598" s="5">
        <f>SUMPRODUCT(Exposures!$B$8:$K$8,B598:K598)</f>
        <v/>
      </c>
      <c r="R598" s="5">
        <f>SUMPRODUCT(Exposures!$B$9:$K$9,B598:K598)</f>
        <v/>
      </c>
      <c r="S598" s="5">
        <f>SUMPRODUCT(Exposures!$B$10:$K$10,B598:K598)</f>
        <v/>
      </c>
    </row>
    <row r="599">
      <c r="A599" s="1" t="n">
        <v>43326</v>
      </c>
      <c r="B599" s="5" t="n">
        <v>0.0005421575222906314</v>
      </c>
      <c r="C599" s="5" t="n">
        <v>-0.002182381090269497</v>
      </c>
      <c r="D599" s="5" t="n">
        <v>0.0006328256768572619</v>
      </c>
      <c r="E599" s="5" t="n">
        <v>0.002630753243278238</v>
      </c>
      <c r="F599" s="5" t="n">
        <v>0.00469747299963949</v>
      </c>
      <c r="G599" s="5" t="n">
        <v>0.008098300864557506</v>
      </c>
      <c r="H599" s="5" t="n">
        <v>0.0004512602676359849</v>
      </c>
      <c r="I599" s="5" t="n">
        <v>-0.000337048869965962</v>
      </c>
      <c r="J599" s="5" t="n">
        <v>-0.0006818564208459382</v>
      </c>
      <c r="K599" s="5" t="n">
        <v>-0.006290107126050612</v>
      </c>
      <c r="L599" s="5" t="n">
        <v>-0.0001583745213384404</v>
      </c>
      <c r="M599" s="5">
        <f>SUMPRODUCT(Exposures!$B$6:$K$6,B599:K599)</f>
        <v/>
      </c>
      <c r="N599" s="5">
        <f>IF(AND($A599&gt;=DATE(2020,2,1),$A599&lt;=DATE(2020,5,31)),$M599,"")</f>
        <v/>
      </c>
      <c r="O599" s="5">
        <f>IF(AND($A599&gt;=DATE(2022,1,1),$A599&lt;=DATE(2022,10,31)),$M599,"")</f>
        <v/>
      </c>
      <c r="P599" s="5">
        <f>IF(AND($A599&gt;=DATE(2018,10,1),$A599&lt;=DATE(2018,12,31)),$M599,"")</f>
        <v/>
      </c>
      <c r="Q599" s="5">
        <f>SUMPRODUCT(Exposures!$B$8:$K$8,B599:K599)</f>
        <v/>
      </c>
      <c r="R599" s="5">
        <f>SUMPRODUCT(Exposures!$B$9:$K$9,B599:K599)</f>
        <v/>
      </c>
      <c r="S599" s="5">
        <f>SUMPRODUCT(Exposures!$B$10:$K$10,B599:K599)</f>
        <v/>
      </c>
    </row>
    <row r="600">
      <c r="A600" s="1" t="n">
        <v>43327</v>
      </c>
      <c r="B600" s="5" t="n">
        <v>-0.005047711219649227</v>
      </c>
      <c r="C600" s="5" t="n">
        <v>0.003727416357457342</v>
      </c>
      <c r="D600" s="5" t="n">
        <v>-0.003095374306149671</v>
      </c>
      <c r="E600" s="5" t="n">
        <v>0.002922979820003144</v>
      </c>
      <c r="F600" s="5" t="n">
        <v>0.003580111771949619</v>
      </c>
      <c r="G600" s="5" t="n">
        <v>-0.008498600794233027</v>
      </c>
      <c r="H600" s="5" t="n">
        <v>-0.003135454291174963</v>
      </c>
      <c r="I600" s="5" t="n">
        <v>0.0007956967500470551</v>
      </c>
      <c r="J600" s="5" t="n">
        <v>-0.00404175841237115</v>
      </c>
      <c r="K600" s="5" t="n">
        <v>-0.004952464204066143</v>
      </c>
      <c r="L600" s="5" t="n">
        <v>-0.005777225450094312</v>
      </c>
      <c r="M600" s="5">
        <f>SUMPRODUCT(Exposures!$B$6:$K$6,B600:K600)</f>
        <v/>
      </c>
      <c r="N600" s="5">
        <f>IF(AND($A600&gt;=DATE(2020,2,1),$A600&lt;=DATE(2020,5,31)),$M600,"")</f>
        <v/>
      </c>
      <c r="O600" s="5">
        <f>IF(AND($A600&gt;=DATE(2022,1,1),$A600&lt;=DATE(2022,10,31)),$M600,"")</f>
        <v/>
      </c>
      <c r="P600" s="5">
        <f>IF(AND($A600&gt;=DATE(2018,10,1),$A600&lt;=DATE(2018,12,31)),$M600,"")</f>
        <v/>
      </c>
      <c r="Q600" s="5">
        <f>SUMPRODUCT(Exposures!$B$8:$K$8,B600:K600)</f>
        <v/>
      </c>
      <c r="R600" s="5">
        <f>SUMPRODUCT(Exposures!$B$9:$K$9,B600:K600)</f>
        <v/>
      </c>
      <c r="S600" s="5">
        <f>SUMPRODUCT(Exposures!$B$10:$K$10,B600:K600)</f>
        <v/>
      </c>
    </row>
    <row r="601">
      <c r="A601" s="1" t="n">
        <v>43328</v>
      </c>
      <c r="B601" s="5" t="n">
        <v>7.808251544239272e-05</v>
      </c>
      <c r="C601" s="5" t="n">
        <v>-0.0002116637493535573</v>
      </c>
      <c r="D601" s="5" t="n">
        <v>-0.001437104579711438</v>
      </c>
      <c r="E601" s="5" t="n">
        <v>-0.0005909802359367317</v>
      </c>
      <c r="F601" s="5" t="n">
        <v>-0.005629721817036661</v>
      </c>
      <c r="G601" s="5" t="n">
        <v>0.0091289304383855</v>
      </c>
      <c r="H601" s="5" t="n">
        <v>0.0002132909309922124</v>
      </c>
      <c r="I601" s="5" t="n">
        <v>0.0005606365716482354</v>
      </c>
      <c r="J601" s="5" t="n">
        <v>0.001269757794242884</v>
      </c>
      <c r="K601" s="5" t="n">
        <v>0.006272028251982655</v>
      </c>
      <c r="L601" s="5" t="n">
        <v>0.0005674769517601877</v>
      </c>
      <c r="M601" s="5">
        <f>SUMPRODUCT(Exposures!$B$6:$K$6,B601:K601)</f>
        <v/>
      </c>
      <c r="N601" s="5">
        <f>IF(AND($A601&gt;=DATE(2020,2,1),$A601&lt;=DATE(2020,5,31)),$M601,"")</f>
        <v/>
      </c>
      <c r="O601" s="5">
        <f>IF(AND($A601&gt;=DATE(2022,1,1),$A601&lt;=DATE(2022,10,31)),$M601,"")</f>
        <v/>
      </c>
      <c r="P601" s="5">
        <f>IF(AND($A601&gt;=DATE(2018,10,1),$A601&lt;=DATE(2018,12,31)),$M601,"")</f>
        <v/>
      </c>
      <c r="Q601" s="5">
        <f>SUMPRODUCT(Exposures!$B$8:$K$8,B601:K601)</f>
        <v/>
      </c>
      <c r="R601" s="5">
        <f>SUMPRODUCT(Exposures!$B$9:$K$9,B601:K601)</f>
        <v/>
      </c>
      <c r="S601" s="5">
        <f>SUMPRODUCT(Exposures!$B$10:$K$10,B601:K601)</f>
        <v/>
      </c>
    </row>
    <row r="602">
      <c r="A602" s="1" t="n">
        <v>43329</v>
      </c>
      <c r="B602" s="5" t="n">
        <v>-0.003806244335011559</v>
      </c>
      <c r="C602" s="5" t="n">
        <v>-0.001018877453883229</v>
      </c>
      <c r="D602" s="5" t="n">
        <v>0.002876494398607201</v>
      </c>
      <c r="E602" s="5" t="n">
        <v>0.0008694649740589226</v>
      </c>
      <c r="F602" s="5" t="n">
        <v>0.008068930011794602</v>
      </c>
      <c r="G602" s="5" t="n">
        <v>0.001372615060437706</v>
      </c>
      <c r="H602" s="5" t="n">
        <v>0.001279318915023475</v>
      </c>
      <c r="I602" s="5" t="n">
        <v>2.978705239886073e-05</v>
      </c>
      <c r="J602" s="5" t="n">
        <v>-0.002402213001896667</v>
      </c>
      <c r="K602" s="5" t="n">
        <v>-0.006310110537994094</v>
      </c>
      <c r="L602" s="5" t="n">
        <v>-0.0016990440002198</v>
      </c>
      <c r="M602" s="5">
        <f>SUMPRODUCT(Exposures!$B$6:$K$6,B602:K602)</f>
        <v/>
      </c>
      <c r="N602" s="5">
        <f>IF(AND($A602&gt;=DATE(2020,2,1),$A602&lt;=DATE(2020,5,31)),$M602,"")</f>
        <v/>
      </c>
      <c r="O602" s="5">
        <f>IF(AND($A602&gt;=DATE(2022,1,1),$A602&lt;=DATE(2022,10,31)),$M602,"")</f>
        <v/>
      </c>
      <c r="P602" s="5">
        <f>IF(AND($A602&gt;=DATE(2018,10,1),$A602&lt;=DATE(2018,12,31)),$M602,"")</f>
        <v/>
      </c>
      <c r="Q602" s="5">
        <f>SUMPRODUCT(Exposures!$B$8:$K$8,B602:K602)</f>
        <v/>
      </c>
      <c r="R602" s="5">
        <f>SUMPRODUCT(Exposures!$B$9:$K$9,B602:K602)</f>
        <v/>
      </c>
      <c r="S602" s="5">
        <f>SUMPRODUCT(Exposures!$B$10:$K$10,B602:K602)</f>
        <v/>
      </c>
    </row>
    <row r="603">
      <c r="A603" s="1" t="n">
        <v>43332</v>
      </c>
      <c r="B603" s="5" t="n">
        <v>0.001341589791119851</v>
      </c>
      <c r="C603" s="5" t="n">
        <v>0.00129637677055516</v>
      </c>
      <c r="D603" s="5" t="n">
        <v>0.001526543246924188</v>
      </c>
      <c r="E603" s="5" t="n">
        <v>-0.000613464902017503</v>
      </c>
      <c r="F603" s="5" t="n">
        <v>-0.0005124886992368692</v>
      </c>
      <c r="G603" s="5" t="n">
        <v>0.003890191500183745</v>
      </c>
      <c r="H603" s="5" t="n">
        <v>-0.001646069905363784</v>
      </c>
      <c r="I603" s="5" t="n">
        <v>-0.001831888309680044</v>
      </c>
      <c r="J603" s="5" t="n">
        <v>0.002199656965972749</v>
      </c>
      <c r="K603" s="5" t="n">
        <v>0.001684868938377433</v>
      </c>
      <c r="L603" s="5" t="n">
        <v>0.0004529447678171207</v>
      </c>
      <c r="M603" s="5">
        <f>SUMPRODUCT(Exposures!$B$6:$K$6,B603:K603)</f>
        <v/>
      </c>
      <c r="N603" s="5">
        <f>IF(AND($A603&gt;=DATE(2020,2,1),$A603&lt;=DATE(2020,5,31)),$M603,"")</f>
        <v/>
      </c>
      <c r="O603" s="5">
        <f>IF(AND($A603&gt;=DATE(2022,1,1),$A603&lt;=DATE(2022,10,31)),$M603,"")</f>
        <v/>
      </c>
      <c r="P603" s="5">
        <f>IF(AND($A603&gt;=DATE(2018,10,1),$A603&lt;=DATE(2018,12,31)),$M603,"")</f>
        <v/>
      </c>
      <c r="Q603" s="5">
        <f>SUMPRODUCT(Exposures!$B$8:$K$8,B603:K603)</f>
        <v/>
      </c>
      <c r="R603" s="5">
        <f>SUMPRODUCT(Exposures!$B$9:$K$9,B603:K603)</f>
        <v/>
      </c>
      <c r="S603" s="5">
        <f>SUMPRODUCT(Exposures!$B$10:$K$10,B603:K603)</f>
        <v/>
      </c>
    </row>
    <row r="604">
      <c r="A604" s="1" t="n">
        <v>43333</v>
      </c>
      <c r="B604" s="5" t="n">
        <v>0.003686037394778717</v>
      </c>
      <c r="C604" s="5" t="n">
        <v>-0.0004843088783703063</v>
      </c>
      <c r="D604" s="5" t="n">
        <v>0.001247274545112659</v>
      </c>
      <c r="E604" s="5" t="n">
        <v>0.0004506017911724942</v>
      </c>
      <c r="F604" s="5" t="n">
        <v>-0.005643257023562667</v>
      </c>
      <c r="G604" s="5" t="n">
        <v>0.007874826054754759</v>
      </c>
      <c r="H604" s="5" t="n">
        <v>-0.0004742547241386094</v>
      </c>
      <c r="I604" s="5" t="n">
        <v>-0.0008685857660061664</v>
      </c>
      <c r="J604" s="5" t="n">
        <v>0.006190559226712054</v>
      </c>
      <c r="K604" s="5" t="n">
        <v>0.003461971145662497</v>
      </c>
      <c r="L604" s="5" t="n">
        <v>0.002716133891625966</v>
      </c>
      <c r="M604" s="5">
        <f>SUMPRODUCT(Exposures!$B$6:$K$6,B604:K604)</f>
        <v/>
      </c>
      <c r="N604" s="5">
        <f>IF(AND($A604&gt;=DATE(2020,2,1),$A604&lt;=DATE(2020,5,31)),$M604,"")</f>
        <v/>
      </c>
      <c r="O604" s="5">
        <f>IF(AND($A604&gt;=DATE(2022,1,1),$A604&lt;=DATE(2022,10,31)),$M604,"")</f>
        <v/>
      </c>
      <c r="P604" s="5">
        <f>IF(AND($A604&gt;=DATE(2018,10,1),$A604&lt;=DATE(2018,12,31)),$M604,"")</f>
        <v/>
      </c>
      <c r="Q604" s="5">
        <f>SUMPRODUCT(Exposures!$B$8:$K$8,B604:K604)</f>
        <v/>
      </c>
      <c r="R604" s="5">
        <f>SUMPRODUCT(Exposures!$B$9:$K$9,B604:K604)</f>
        <v/>
      </c>
      <c r="S604" s="5">
        <f>SUMPRODUCT(Exposures!$B$10:$K$10,B604:K604)</f>
        <v/>
      </c>
    </row>
    <row r="605">
      <c r="A605" s="1" t="n">
        <v>43334</v>
      </c>
      <c r="B605" s="5" t="n">
        <v>0.001960143554924514</v>
      </c>
      <c r="C605" s="5" t="n">
        <v>-0.003279281060619329</v>
      </c>
      <c r="D605" s="5" t="n">
        <v>-0.001574433997828491</v>
      </c>
      <c r="E605" s="5" t="n">
        <v>3.453562882107267e-05</v>
      </c>
      <c r="F605" s="5" t="n">
        <v>-0.000520505140609981</v>
      </c>
      <c r="G605" s="5" t="n">
        <v>0.0007798237643667474</v>
      </c>
      <c r="H605" s="5" t="n">
        <v>0.003220146678725794</v>
      </c>
      <c r="I605" s="5" t="n">
        <v>0.00199262555509318</v>
      </c>
      <c r="J605" s="5" t="n">
        <v>0.002250858196169332</v>
      </c>
      <c r="K605" s="5" t="n">
        <v>-0.0003244522400274519</v>
      </c>
      <c r="L605" s="5" t="n">
        <v>0.001345363058656658</v>
      </c>
      <c r="M605" s="5">
        <f>SUMPRODUCT(Exposures!$B$6:$K$6,B605:K605)</f>
        <v/>
      </c>
      <c r="N605" s="5">
        <f>IF(AND($A605&gt;=DATE(2020,2,1),$A605&lt;=DATE(2020,5,31)),$M605,"")</f>
        <v/>
      </c>
      <c r="O605" s="5">
        <f>IF(AND($A605&gt;=DATE(2022,1,1),$A605&lt;=DATE(2022,10,31)),$M605,"")</f>
        <v/>
      </c>
      <c r="P605" s="5">
        <f>IF(AND($A605&gt;=DATE(2018,10,1),$A605&lt;=DATE(2018,12,31)),$M605,"")</f>
        <v/>
      </c>
      <c r="Q605" s="5">
        <f>SUMPRODUCT(Exposures!$B$8:$K$8,B605:K605)</f>
        <v/>
      </c>
      <c r="R605" s="5">
        <f>SUMPRODUCT(Exposures!$B$9:$K$9,B605:K605)</f>
        <v/>
      </c>
      <c r="S605" s="5">
        <f>SUMPRODUCT(Exposures!$B$10:$K$10,B605:K605)</f>
        <v/>
      </c>
    </row>
    <row r="606">
      <c r="A606" s="1" t="n">
        <v>43335</v>
      </c>
      <c r="B606" s="5" t="n">
        <v>-0.001742497577395713</v>
      </c>
      <c r="C606" s="5" t="n">
        <v>-0.001002798363743555</v>
      </c>
      <c r="D606" s="5" t="n">
        <v>0.001405099441334918</v>
      </c>
      <c r="E606" s="5" t="n">
        <v>0.001242083246076385</v>
      </c>
      <c r="F606" s="5" t="n">
        <v>0.003847680477662042</v>
      </c>
      <c r="G606" s="5" t="n">
        <v>-0.003065605328880743</v>
      </c>
      <c r="H606" s="5" t="n">
        <v>0.002088527389576155</v>
      </c>
      <c r="I606" s="5" t="n">
        <v>0.0001729002351918316</v>
      </c>
      <c r="J606" s="5" t="n">
        <v>0.0005006577748832345</v>
      </c>
      <c r="K606" s="5" t="n">
        <v>-0.003856159691170751</v>
      </c>
      <c r="L606" s="5" t="n">
        <v>-0.001557163557125516</v>
      </c>
      <c r="M606" s="5">
        <f>SUMPRODUCT(Exposures!$B$6:$K$6,B606:K606)</f>
        <v/>
      </c>
      <c r="N606" s="5">
        <f>IF(AND($A606&gt;=DATE(2020,2,1),$A606&lt;=DATE(2020,5,31)),$M606,"")</f>
        <v/>
      </c>
      <c r="O606" s="5">
        <f>IF(AND($A606&gt;=DATE(2022,1,1),$A606&lt;=DATE(2022,10,31)),$M606,"")</f>
        <v/>
      </c>
      <c r="P606" s="5">
        <f>IF(AND($A606&gt;=DATE(2018,10,1),$A606&lt;=DATE(2018,12,31)),$M606,"")</f>
        <v/>
      </c>
      <c r="Q606" s="5">
        <f>SUMPRODUCT(Exposures!$B$8:$K$8,B606:K606)</f>
        <v/>
      </c>
      <c r="R606" s="5">
        <f>SUMPRODUCT(Exposures!$B$9:$K$9,B606:K606)</f>
        <v/>
      </c>
      <c r="S606" s="5">
        <f>SUMPRODUCT(Exposures!$B$10:$K$10,B606:K606)</f>
        <v/>
      </c>
    </row>
    <row r="607">
      <c r="A607" s="1" t="n">
        <v>43336</v>
      </c>
      <c r="B607" s="5" t="n">
        <v>0.002319838997682471</v>
      </c>
      <c r="C607" s="5" t="n">
        <v>-0.003440008724558261</v>
      </c>
      <c r="D607" s="5" t="n">
        <v>0.0004038433024840531</v>
      </c>
      <c r="E607" s="5" t="n">
        <v>-0.003711501509203395</v>
      </c>
      <c r="F607" s="5" t="n">
        <v>0.004770421113141923</v>
      </c>
      <c r="G607" s="5" t="n">
        <v>0.005683370655390593</v>
      </c>
      <c r="H607" s="5" t="n">
        <v>-0.001730928630748094</v>
      </c>
      <c r="I607" s="5" t="n">
        <v>-0.002674347534276118</v>
      </c>
      <c r="J607" s="5" t="n">
        <v>-0.0001260727478798137</v>
      </c>
      <c r="K607" s="5" t="n">
        <v>-0.0006755297377847732</v>
      </c>
      <c r="L607" s="5" t="n">
        <v>-0.0003258427922565605</v>
      </c>
      <c r="M607" s="5">
        <f>SUMPRODUCT(Exposures!$B$6:$K$6,B607:K607)</f>
        <v/>
      </c>
      <c r="N607" s="5">
        <f>IF(AND($A607&gt;=DATE(2020,2,1),$A607&lt;=DATE(2020,5,31)),$M607,"")</f>
        <v/>
      </c>
      <c r="O607" s="5">
        <f>IF(AND($A607&gt;=DATE(2022,1,1),$A607&lt;=DATE(2022,10,31)),$M607,"")</f>
        <v/>
      </c>
      <c r="P607" s="5">
        <f>IF(AND($A607&gt;=DATE(2018,10,1),$A607&lt;=DATE(2018,12,31)),$M607,"")</f>
        <v/>
      </c>
      <c r="Q607" s="5">
        <f>SUMPRODUCT(Exposures!$B$8:$K$8,B607:K607)</f>
        <v/>
      </c>
      <c r="R607" s="5">
        <f>SUMPRODUCT(Exposures!$B$9:$K$9,B607:K607)</f>
        <v/>
      </c>
      <c r="S607" s="5">
        <f>SUMPRODUCT(Exposures!$B$10:$K$10,B607:K607)</f>
        <v/>
      </c>
    </row>
    <row r="608">
      <c r="A608" s="1" t="n">
        <v>43339</v>
      </c>
      <c r="B608" s="5" t="n">
        <v>0.007027836281805739</v>
      </c>
      <c r="C608" s="5" t="n">
        <v>0.0009113292217177913</v>
      </c>
      <c r="D608" s="5" t="n">
        <v>-0.003692060117255663</v>
      </c>
      <c r="E608" s="5" t="n">
        <v>-0.0005274299637611445</v>
      </c>
      <c r="F608" s="5" t="n">
        <v>-0.006579639347213589</v>
      </c>
      <c r="G608" s="5" t="n">
        <v>0.007914983106415179</v>
      </c>
      <c r="H608" s="5" t="n">
        <v>-0.001540835542574377</v>
      </c>
      <c r="I608" s="5" t="n">
        <v>-0.003629676365120962</v>
      </c>
      <c r="J608" s="5" t="n">
        <v>0.006010574116575012</v>
      </c>
      <c r="K608" s="5" t="n">
        <v>0.01099138635061689</v>
      </c>
      <c r="L608" s="5" t="n">
        <v>0.003703712470092109</v>
      </c>
      <c r="M608" s="5">
        <f>SUMPRODUCT(Exposures!$B$6:$K$6,B608:K608)</f>
        <v/>
      </c>
      <c r="N608" s="5">
        <f>IF(AND($A608&gt;=DATE(2020,2,1),$A608&lt;=DATE(2020,5,31)),$M608,"")</f>
        <v/>
      </c>
      <c r="O608" s="5">
        <f>IF(AND($A608&gt;=DATE(2022,1,1),$A608&lt;=DATE(2022,10,31)),$M608,"")</f>
        <v/>
      </c>
      <c r="P608" s="5">
        <f>IF(AND($A608&gt;=DATE(2018,10,1),$A608&lt;=DATE(2018,12,31)),$M608,"")</f>
        <v/>
      </c>
      <c r="Q608" s="5">
        <f>SUMPRODUCT(Exposures!$B$8:$K$8,B608:K608)</f>
        <v/>
      </c>
      <c r="R608" s="5">
        <f>SUMPRODUCT(Exposures!$B$9:$K$9,B608:K608)</f>
        <v/>
      </c>
      <c r="S608" s="5">
        <f>SUMPRODUCT(Exposures!$B$10:$K$10,B608:K608)</f>
        <v/>
      </c>
    </row>
    <row r="609">
      <c r="A609" s="1" t="n">
        <v>43340</v>
      </c>
      <c r="B609" s="5" t="n">
        <v>0.0001397958898859896</v>
      </c>
      <c r="C609" s="5" t="n">
        <v>-0.001296429196258997</v>
      </c>
      <c r="D609" s="5" t="n">
        <v>-0.001422679156352895</v>
      </c>
      <c r="E609" s="5" t="n">
        <v>-0.001088088106379421</v>
      </c>
      <c r="F609" s="5" t="n">
        <v>-0.002980666028778784</v>
      </c>
      <c r="G609" s="5" t="n">
        <v>0.0009211771817456658</v>
      </c>
      <c r="H609" s="5" t="n">
        <v>1.712377750238431e-06</v>
      </c>
      <c r="I609" s="5" t="n">
        <v>-0.0002205348505428932</v>
      </c>
      <c r="J609" s="5" t="n">
        <v>0.002311038117065258</v>
      </c>
      <c r="K609" s="5" t="n">
        <v>0.002965877035502889</v>
      </c>
      <c r="L609" s="5" t="n">
        <v>0.001029375996492591</v>
      </c>
      <c r="M609" s="5">
        <f>SUMPRODUCT(Exposures!$B$6:$K$6,B609:K609)</f>
        <v/>
      </c>
      <c r="N609" s="5">
        <f>IF(AND($A609&gt;=DATE(2020,2,1),$A609&lt;=DATE(2020,5,31)),$M609,"")</f>
        <v/>
      </c>
      <c r="O609" s="5">
        <f>IF(AND($A609&gt;=DATE(2022,1,1),$A609&lt;=DATE(2022,10,31)),$M609,"")</f>
        <v/>
      </c>
      <c r="P609" s="5">
        <f>IF(AND($A609&gt;=DATE(2018,10,1),$A609&lt;=DATE(2018,12,31)),$M609,"")</f>
        <v/>
      </c>
      <c r="Q609" s="5">
        <f>SUMPRODUCT(Exposures!$B$8:$K$8,B609:K609)</f>
        <v/>
      </c>
      <c r="R609" s="5">
        <f>SUMPRODUCT(Exposures!$B$9:$K$9,B609:K609)</f>
        <v/>
      </c>
      <c r="S609" s="5">
        <f>SUMPRODUCT(Exposures!$B$10:$K$10,B609:K609)</f>
        <v/>
      </c>
    </row>
    <row r="610">
      <c r="A610" s="1" t="n">
        <v>43341</v>
      </c>
      <c r="B610" s="5" t="n">
        <v>-0.001215919081260847</v>
      </c>
      <c r="C610" s="5" t="n">
        <v>-0.0001463331269677783</v>
      </c>
      <c r="D610" s="5" t="n">
        <v>-0.0001766743748777403</v>
      </c>
      <c r="E610" s="5" t="n">
        <v>4.39153269798051e-05</v>
      </c>
      <c r="F610" s="5" t="n">
        <v>0.005019526973912002</v>
      </c>
      <c r="G610" s="5" t="n">
        <v>0.001180835909286949</v>
      </c>
      <c r="H610" s="5" t="n">
        <v>0.002196422606390395</v>
      </c>
      <c r="I610" s="5" t="n">
        <v>-0.0001797767364476493</v>
      </c>
      <c r="J610" s="5" t="n">
        <v>-0.0008404518566464995</v>
      </c>
      <c r="K610" s="5" t="n">
        <v>-0.001836367495202505</v>
      </c>
      <c r="L610" s="5" t="n">
        <v>-0.001003313163930689</v>
      </c>
      <c r="M610" s="5">
        <f>SUMPRODUCT(Exposures!$B$6:$K$6,B610:K610)</f>
        <v/>
      </c>
      <c r="N610" s="5">
        <f>IF(AND($A610&gt;=DATE(2020,2,1),$A610&lt;=DATE(2020,5,31)),$M610,"")</f>
        <v/>
      </c>
      <c r="O610" s="5">
        <f>IF(AND($A610&gt;=DATE(2022,1,1),$A610&lt;=DATE(2022,10,31)),$M610,"")</f>
        <v/>
      </c>
      <c r="P610" s="5">
        <f>IF(AND($A610&gt;=DATE(2018,10,1),$A610&lt;=DATE(2018,12,31)),$M610,"")</f>
        <v/>
      </c>
      <c r="Q610" s="5">
        <f>SUMPRODUCT(Exposures!$B$8:$K$8,B610:K610)</f>
        <v/>
      </c>
      <c r="R610" s="5">
        <f>SUMPRODUCT(Exposures!$B$9:$K$9,B610:K610)</f>
        <v/>
      </c>
      <c r="S610" s="5">
        <f>SUMPRODUCT(Exposures!$B$10:$K$10,B610:K610)</f>
        <v/>
      </c>
    </row>
    <row r="611">
      <c r="A611" s="1" t="n">
        <v>43342</v>
      </c>
      <c r="B611" s="5" t="n">
        <v>0.0002400819370442461</v>
      </c>
      <c r="C611" s="5" t="n">
        <v>0.001626559809943297</v>
      </c>
      <c r="D611" s="5" t="n">
        <v>0.001011153781984181</v>
      </c>
      <c r="E611" s="5" t="n">
        <v>-0.001639772319394946</v>
      </c>
      <c r="F611" s="5" t="n">
        <v>-0.0007096361259501121</v>
      </c>
      <c r="G611" s="5" t="n">
        <v>-0.006407547703482863</v>
      </c>
      <c r="H611" s="5" t="n">
        <v>-0.001260119805926269</v>
      </c>
      <c r="I611" s="5" t="n">
        <v>-0.002020066047570283</v>
      </c>
      <c r="J611" s="5" t="n">
        <v>-0.004102789864838798</v>
      </c>
      <c r="K611" s="5" t="n">
        <v>0.00123344014288049</v>
      </c>
      <c r="L611" s="5" t="n">
        <v>-0.0005789584735996082</v>
      </c>
      <c r="M611" s="5">
        <f>SUMPRODUCT(Exposures!$B$6:$K$6,B611:K611)</f>
        <v/>
      </c>
      <c r="N611" s="5">
        <f>IF(AND($A611&gt;=DATE(2020,2,1),$A611&lt;=DATE(2020,5,31)),$M611,"")</f>
        <v/>
      </c>
      <c r="O611" s="5">
        <f>IF(AND($A611&gt;=DATE(2022,1,1),$A611&lt;=DATE(2022,10,31)),$M611,"")</f>
        <v/>
      </c>
      <c r="P611" s="5">
        <f>IF(AND($A611&gt;=DATE(2018,10,1),$A611&lt;=DATE(2018,12,31)),$M611,"")</f>
        <v/>
      </c>
      <c r="Q611" s="5">
        <f>SUMPRODUCT(Exposures!$B$8:$K$8,B611:K611)</f>
        <v/>
      </c>
      <c r="R611" s="5">
        <f>SUMPRODUCT(Exposures!$B$9:$K$9,B611:K611)</f>
        <v/>
      </c>
      <c r="S611" s="5">
        <f>SUMPRODUCT(Exposures!$B$10:$K$10,B611:K611)</f>
        <v/>
      </c>
    </row>
    <row r="612">
      <c r="A612" s="1" t="n">
        <v>43343</v>
      </c>
      <c r="B612" s="5" t="n">
        <v>9.713709270582171e-05</v>
      </c>
      <c r="C612" s="5" t="n">
        <v>9.298960196099621e-05</v>
      </c>
      <c r="D612" s="5" t="n">
        <v>-0.002039751454413436</v>
      </c>
      <c r="E612" s="5" t="n">
        <v>0.0002463881011142779</v>
      </c>
      <c r="F612" s="5" t="n">
        <v>0.0003721974902060126</v>
      </c>
      <c r="G612" s="5" t="n">
        <v>0.002900303587691823</v>
      </c>
      <c r="H612" s="5" t="n">
        <v>-2.845058178606969e-05</v>
      </c>
      <c r="I612" s="5" t="n">
        <v>-0.001546939027066991</v>
      </c>
      <c r="J612" s="5" t="n">
        <v>0.002000878166136855</v>
      </c>
      <c r="K612" s="5" t="n">
        <v>-0.0009734041561181546</v>
      </c>
      <c r="L612" s="5" t="n">
        <v>-0.00107826409357245</v>
      </c>
      <c r="M612" s="5">
        <f>SUMPRODUCT(Exposures!$B$6:$K$6,B612:K612)</f>
        <v/>
      </c>
      <c r="N612" s="5">
        <f>IF(AND($A612&gt;=DATE(2020,2,1),$A612&lt;=DATE(2020,5,31)),$M612,"")</f>
        <v/>
      </c>
      <c r="O612" s="5">
        <f>IF(AND($A612&gt;=DATE(2022,1,1),$A612&lt;=DATE(2022,10,31)),$M612,"")</f>
        <v/>
      </c>
      <c r="P612" s="5">
        <f>IF(AND($A612&gt;=DATE(2018,10,1),$A612&lt;=DATE(2018,12,31)),$M612,"")</f>
        <v/>
      </c>
      <c r="Q612" s="5">
        <f>SUMPRODUCT(Exposures!$B$8:$K$8,B612:K612)</f>
        <v/>
      </c>
      <c r="R612" s="5">
        <f>SUMPRODUCT(Exposures!$B$9:$K$9,B612:K612)</f>
        <v/>
      </c>
      <c r="S612" s="5">
        <f>SUMPRODUCT(Exposures!$B$10:$K$10,B612:K612)</f>
        <v/>
      </c>
    </row>
    <row r="613">
      <c r="A613" s="1" t="n">
        <v>43347</v>
      </c>
      <c r="B613" s="5" t="n">
        <v>-0.002868411500469603</v>
      </c>
      <c r="C613" s="5" t="n">
        <v>-0.007069827796347621</v>
      </c>
      <c r="D613" s="5" t="n">
        <v>0.0006813509043780568</v>
      </c>
      <c r="E613" s="5" t="n">
        <v>0.003502625698746309</v>
      </c>
      <c r="F613" s="5" t="n">
        <v>0.0190040987606542</v>
      </c>
      <c r="G613" s="5" t="n">
        <v>-0.0007485420853169289</v>
      </c>
      <c r="H613" s="5" t="n">
        <v>0.001101479397601991</v>
      </c>
      <c r="I613" s="5" t="n">
        <v>0.00303886976945184</v>
      </c>
      <c r="J613" s="5" t="n">
        <v>-0.002636864397978131</v>
      </c>
      <c r="K613" s="5" t="n">
        <v>-0.01861981894499746</v>
      </c>
      <c r="L613" s="5" t="n">
        <v>-0.004033026009333076</v>
      </c>
      <c r="M613" s="5">
        <f>SUMPRODUCT(Exposures!$B$6:$K$6,B613:K613)</f>
        <v/>
      </c>
      <c r="N613" s="5">
        <f>IF(AND($A613&gt;=DATE(2020,2,1),$A613&lt;=DATE(2020,5,31)),$M613,"")</f>
        <v/>
      </c>
      <c r="O613" s="5">
        <f>IF(AND($A613&gt;=DATE(2022,1,1),$A613&lt;=DATE(2022,10,31)),$M613,"")</f>
        <v/>
      </c>
      <c r="P613" s="5">
        <f>IF(AND($A613&gt;=DATE(2018,10,1),$A613&lt;=DATE(2018,12,31)),$M613,"")</f>
        <v/>
      </c>
      <c r="Q613" s="5">
        <f>SUMPRODUCT(Exposures!$B$8:$K$8,B613:K613)</f>
        <v/>
      </c>
      <c r="R613" s="5">
        <f>SUMPRODUCT(Exposures!$B$9:$K$9,B613:K613)</f>
        <v/>
      </c>
      <c r="S613" s="5">
        <f>SUMPRODUCT(Exposures!$B$10:$K$10,B613:K613)</f>
        <v/>
      </c>
    </row>
    <row r="614">
      <c r="A614" s="1" t="n">
        <v>43348</v>
      </c>
      <c r="B614" s="5" t="n">
        <v>-0.0002196124628145422</v>
      </c>
      <c r="C614" s="5" t="n">
        <v>-0.001557076150397925</v>
      </c>
      <c r="D614" s="5" t="n">
        <v>0.00214372455682174</v>
      </c>
      <c r="E614" s="5" t="n">
        <v>0.004170241046938849</v>
      </c>
      <c r="F614" s="5" t="n">
        <v>0.001816381386061572</v>
      </c>
      <c r="G614" s="5" t="n">
        <v>-0.003471619824173934</v>
      </c>
      <c r="H614" s="5" t="n">
        <v>-0.004840107914821058</v>
      </c>
      <c r="I614" s="5" t="n">
        <v>-0.0008031200573499439</v>
      </c>
      <c r="J614" s="5" t="n">
        <v>-0.00861119687829622</v>
      </c>
      <c r="K614" s="5" t="n">
        <v>-0.005150412477470277</v>
      </c>
      <c r="L614" s="5" t="n">
        <v>-0.002790606473017122</v>
      </c>
      <c r="M614" s="5">
        <f>SUMPRODUCT(Exposures!$B$6:$K$6,B614:K614)</f>
        <v/>
      </c>
      <c r="N614" s="5">
        <f>IF(AND($A614&gt;=DATE(2020,2,1),$A614&lt;=DATE(2020,5,31)),$M614,"")</f>
        <v/>
      </c>
      <c r="O614" s="5">
        <f>IF(AND($A614&gt;=DATE(2022,1,1),$A614&lt;=DATE(2022,10,31)),$M614,"")</f>
        <v/>
      </c>
      <c r="P614" s="5">
        <f>IF(AND($A614&gt;=DATE(2018,10,1),$A614&lt;=DATE(2018,12,31)),$M614,"")</f>
        <v/>
      </c>
      <c r="Q614" s="5">
        <f>SUMPRODUCT(Exposures!$B$8:$K$8,B614:K614)</f>
        <v/>
      </c>
      <c r="R614" s="5">
        <f>SUMPRODUCT(Exposures!$B$9:$K$9,B614:K614)</f>
        <v/>
      </c>
      <c r="S614" s="5">
        <f>SUMPRODUCT(Exposures!$B$10:$K$10,B614:K614)</f>
        <v/>
      </c>
    </row>
    <row r="615">
      <c r="A615" s="1" t="n">
        <v>43349</v>
      </c>
      <c r="B615" s="5" t="n">
        <v>-0.005008265600576167</v>
      </c>
      <c r="C615" s="5" t="n">
        <v>-0.000457963258378512</v>
      </c>
      <c r="D615" s="5" t="n">
        <v>-0.003276249139032426</v>
      </c>
      <c r="E615" s="5" t="n">
        <v>-0.0001891358446922891</v>
      </c>
      <c r="F615" s="5" t="n">
        <v>0.002274150645397544</v>
      </c>
      <c r="G615" s="5" t="n">
        <v>-0.006788819186535308</v>
      </c>
      <c r="H615" s="5" t="n">
        <v>0.001927405984421733</v>
      </c>
      <c r="I615" s="5" t="n">
        <v>0.001082314837422909</v>
      </c>
      <c r="J615" s="5" t="n">
        <v>-0.009107099049194111</v>
      </c>
      <c r="K615" s="5" t="n">
        <v>-0.004263699096924643</v>
      </c>
      <c r="L615" s="5" t="n">
        <v>-0.00474544297558955</v>
      </c>
      <c r="M615" s="5">
        <f>SUMPRODUCT(Exposures!$B$6:$K$6,B615:K615)</f>
        <v/>
      </c>
      <c r="N615" s="5">
        <f>IF(AND($A615&gt;=DATE(2020,2,1),$A615&lt;=DATE(2020,5,31)),$M615,"")</f>
        <v/>
      </c>
      <c r="O615" s="5">
        <f>IF(AND($A615&gt;=DATE(2022,1,1),$A615&lt;=DATE(2022,10,31)),$M615,"")</f>
        <v/>
      </c>
      <c r="P615" s="5">
        <f>IF(AND($A615&gt;=DATE(2018,10,1),$A615&lt;=DATE(2018,12,31)),$M615,"")</f>
        <v/>
      </c>
      <c r="Q615" s="5">
        <f>SUMPRODUCT(Exposures!$B$8:$K$8,B615:K615)</f>
        <v/>
      </c>
      <c r="R615" s="5">
        <f>SUMPRODUCT(Exposures!$B$9:$K$9,B615:K615)</f>
        <v/>
      </c>
      <c r="S615" s="5">
        <f>SUMPRODUCT(Exposures!$B$10:$K$10,B615:K615)</f>
        <v/>
      </c>
    </row>
    <row r="616">
      <c r="A616" s="1" t="n">
        <v>43350</v>
      </c>
      <c r="B616" s="5" t="n">
        <v>-0.0004069198655050183</v>
      </c>
      <c r="C616" s="5" t="n">
        <v>0.002681031607719472</v>
      </c>
      <c r="D616" s="5" t="n">
        <v>-0.001423768524682973</v>
      </c>
      <c r="E616" s="5" t="n">
        <v>0.000163683292130956</v>
      </c>
      <c r="F616" s="5" t="n">
        <v>-0.001141145004077402</v>
      </c>
      <c r="G616" s="5" t="n">
        <v>-0.001707040753352996</v>
      </c>
      <c r="H616" s="5" t="n">
        <v>-0.0009184483566682249</v>
      </c>
      <c r="I616" s="5" t="n">
        <v>-0.0006624869776056006</v>
      </c>
      <c r="J616" s="5" t="n">
        <v>0.003832799705622167</v>
      </c>
      <c r="K616" s="5" t="n">
        <v>0.003969217886429709</v>
      </c>
      <c r="L616" s="5" t="n">
        <v>0.0003656823013036777</v>
      </c>
      <c r="M616" s="5">
        <f>SUMPRODUCT(Exposures!$B$6:$K$6,B616:K616)</f>
        <v/>
      </c>
      <c r="N616" s="5">
        <f>IF(AND($A616&gt;=DATE(2020,2,1),$A616&lt;=DATE(2020,5,31)),$M616,"")</f>
        <v/>
      </c>
      <c r="O616" s="5">
        <f>IF(AND($A616&gt;=DATE(2022,1,1),$A616&lt;=DATE(2022,10,31)),$M616,"")</f>
        <v/>
      </c>
      <c r="P616" s="5">
        <f>IF(AND($A616&gt;=DATE(2018,10,1),$A616&lt;=DATE(2018,12,31)),$M616,"")</f>
        <v/>
      </c>
      <c r="Q616" s="5">
        <f>SUMPRODUCT(Exposures!$B$8:$K$8,B616:K616)</f>
        <v/>
      </c>
      <c r="R616" s="5">
        <f>SUMPRODUCT(Exposures!$B$9:$K$9,B616:K616)</f>
        <v/>
      </c>
      <c r="S616" s="5">
        <f>SUMPRODUCT(Exposures!$B$10:$K$10,B616:K616)</f>
        <v/>
      </c>
    </row>
    <row r="617">
      <c r="A617" s="1" t="n">
        <v>43353</v>
      </c>
      <c r="B617" s="5" t="n">
        <v>-7.008642109755142e-05</v>
      </c>
      <c r="C617" s="5" t="n">
        <v>-0.001901283237770494</v>
      </c>
      <c r="D617" s="5" t="n">
        <v>-0.002073791212883131</v>
      </c>
      <c r="E617" s="5" t="n">
        <v>0.005321546588010339</v>
      </c>
      <c r="F617" s="5" t="n">
        <v>0.01055044535465979</v>
      </c>
      <c r="G617" s="5" t="n">
        <v>0.001471200472429437</v>
      </c>
      <c r="H617" s="5" t="n">
        <v>0.002665964669877276</v>
      </c>
      <c r="I617" s="5" t="n">
        <v>-0.0008218691467964075</v>
      </c>
      <c r="J617" s="5" t="n">
        <v>-0.002918077038168282</v>
      </c>
      <c r="K617" s="5" t="n">
        <v>-0.01200577044366456</v>
      </c>
      <c r="L617" s="5" t="n">
        <v>-0.005046431973254085</v>
      </c>
      <c r="M617" s="5">
        <f>SUMPRODUCT(Exposures!$B$6:$K$6,B617:K617)</f>
        <v/>
      </c>
      <c r="N617" s="5">
        <f>IF(AND($A617&gt;=DATE(2020,2,1),$A617&lt;=DATE(2020,5,31)),$M617,"")</f>
        <v/>
      </c>
      <c r="O617" s="5">
        <f>IF(AND($A617&gt;=DATE(2022,1,1),$A617&lt;=DATE(2022,10,31)),$M617,"")</f>
        <v/>
      </c>
      <c r="P617" s="5">
        <f>IF(AND($A617&gt;=DATE(2018,10,1),$A617&lt;=DATE(2018,12,31)),$M617,"")</f>
        <v/>
      </c>
      <c r="Q617" s="5">
        <f>SUMPRODUCT(Exposures!$B$8:$K$8,B617:K617)</f>
        <v/>
      </c>
      <c r="R617" s="5">
        <f>SUMPRODUCT(Exposures!$B$9:$K$9,B617:K617)</f>
        <v/>
      </c>
      <c r="S617" s="5">
        <f>SUMPRODUCT(Exposures!$B$10:$K$10,B617:K617)</f>
        <v/>
      </c>
    </row>
    <row r="618">
      <c r="A618" s="1" t="n">
        <v>43354</v>
      </c>
      <c r="B618" s="5" t="n">
        <v>-0.002778678510997936</v>
      </c>
      <c r="C618" s="5" t="n">
        <v>-0.0006455730693618939</v>
      </c>
      <c r="D618" s="5" t="n">
        <v>0.0002419228130968625</v>
      </c>
      <c r="E618" s="5" t="n">
        <v>-0.001103900215103925</v>
      </c>
      <c r="F618" s="5" t="n">
        <v>0.006362474541381959</v>
      </c>
      <c r="G618" s="5" t="n">
        <v>-0.00207959019350555</v>
      </c>
      <c r="H618" s="5" t="n">
        <v>0.00503042135624355</v>
      </c>
      <c r="I618" s="5" t="n">
        <v>0.0002031316604369154</v>
      </c>
      <c r="J618" s="5" t="n">
        <v>-0.001119486674073353</v>
      </c>
      <c r="K618" s="5" t="n">
        <v>-0.00213433024017991</v>
      </c>
      <c r="L618" s="5" t="n">
        <v>0.0009328522170837306</v>
      </c>
      <c r="M618" s="5">
        <f>SUMPRODUCT(Exposures!$B$6:$K$6,B618:K618)</f>
        <v/>
      </c>
      <c r="N618" s="5">
        <f>IF(AND($A618&gt;=DATE(2020,2,1),$A618&lt;=DATE(2020,5,31)),$M618,"")</f>
        <v/>
      </c>
      <c r="O618" s="5">
        <f>IF(AND($A618&gt;=DATE(2022,1,1),$A618&lt;=DATE(2022,10,31)),$M618,"")</f>
        <v/>
      </c>
      <c r="P618" s="5">
        <f>IF(AND($A618&gt;=DATE(2018,10,1),$A618&lt;=DATE(2018,12,31)),$M618,"")</f>
        <v/>
      </c>
      <c r="Q618" s="5">
        <f>SUMPRODUCT(Exposures!$B$8:$K$8,B618:K618)</f>
        <v/>
      </c>
      <c r="R618" s="5">
        <f>SUMPRODUCT(Exposures!$B$9:$K$9,B618:K618)</f>
        <v/>
      </c>
      <c r="S618" s="5">
        <f>SUMPRODUCT(Exposures!$B$10:$K$10,B618:K618)</f>
        <v/>
      </c>
    </row>
    <row r="619">
      <c r="A619" s="1" t="n">
        <v>43355</v>
      </c>
      <c r="B619" s="5" t="n">
        <v>-0.003300070253012872</v>
      </c>
      <c r="C619" s="5" t="n">
        <v>-0.0003703450612762892</v>
      </c>
      <c r="D619" s="5" t="n">
        <v>0.0002050443060127626</v>
      </c>
      <c r="E619" s="5" t="n">
        <v>-0.0006567598012900914</v>
      </c>
      <c r="F619" s="5" t="n">
        <v>0.008144883732086871</v>
      </c>
      <c r="G619" s="5" t="n">
        <v>-0.0004889039697826739</v>
      </c>
      <c r="H619" s="5" t="n">
        <v>-0.001511415371076343</v>
      </c>
      <c r="I619" s="5" t="n">
        <v>0.002354964207690471</v>
      </c>
      <c r="J619" s="5" t="n">
        <v>0.0002397576948932507</v>
      </c>
      <c r="K619" s="5" t="n">
        <v>-0.004858224247138008</v>
      </c>
      <c r="L619" s="5" t="n">
        <v>-0.003576063940377989</v>
      </c>
      <c r="M619" s="5">
        <f>SUMPRODUCT(Exposures!$B$6:$K$6,B619:K619)</f>
        <v/>
      </c>
      <c r="N619" s="5">
        <f>IF(AND($A619&gt;=DATE(2020,2,1),$A619&lt;=DATE(2020,5,31)),$M619,"")</f>
        <v/>
      </c>
      <c r="O619" s="5">
        <f>IF(AND($A619&gt;=DATE(2022,1,1),$A619&lt;=DATE(2022,10,31)),$M619,"")</f>
        <v/>
      </c>
      <c r="P619" s="5">
        <f>IF(AND($A619&gt;=DATE(2018,10,1),$A619&lt;=DATE(2018,12,31)),$M619,"")</f>
        <v/>
      </c>
      <c r="Q619" s="5">
        <f>SUMPRODUCT(Exposures!$B$8:$K$8,B619:K619)</f>
        <v/>
      </c>
      <c r="R619" s="5">
        <f>SUMPRODUCT(Exposures!$B$9:$K$9,B619:K619)</f>
        <v/>
      </c>
      <c r="S619" s="5">
        <f>SUMPRODUCT(Exposures!$B$10:$K$10,B619:K619)</f>
        <v/>
      </c>
    </row>
    <row r="620">
      <c r="A620" s="1" t="n">
        <v>43356</v>
      </c>
      <c r="B620" s="5" t="n">
        <v>0.0005646320719861496</v>
      </c>
      <c r="C620" s="5" t="n">
        <v>0.002115262625290938</v>
      </c>
      <c r="D620" s="5" t="n">
        <v>0.001488329979672162</v>
      </c>
      <c r="E620" s="5" t="n">
        <v>-0.001864039644819676</v>
      </c>
      <c r="F620" s="5" t="n">
        <v>-0.003516571923032376</v>
      </c>
      <c r="G620" s="5" t="n">
        <v>0.004718086814421464</v>
      </c>
      <c r="H620" s="5" t="n">
        <v>-0.002943628420628954</v>
      </c>
      <c r="I620" s="5" t="n">
        <v>0.002348861330018239</v>
      </c>
      <c r="J620" s="5" t="n">
        <v>-0.002052460039536991</v>
      </c>
      <c r="K620" s="5" t="n">
        <v>0.001911846547213615</v>
      </c>
      <c r="L620" s="5" t="n">
        <v>-0.002205925566708829</v>
      </c>
      <c r="M620" s="5">
        <f>SUMPRODUCT(Exposures!$B$6:$K$6,B620:K620)</f>
        <v/>
      </c>
      <c r="N620" s="5">
        <f>IF(AND($A620&gt;=DATE(2020,2,1),$A620&lt;=DATE(2020,5,31)),$M620,"")</f>
        <v/>
      </c>
      <c r="O620" s="5">
        <f>IF(AND($A620&gt;=DATE(2022,1,1),$A620&lt;=DATE(2022,10,31)),$M620,"")</f>
        <v/>
      </c>
      <c r="P620" s="5">
        <f>IF(AND($A620&gt;=DATE(2018,10,1),$A620&lt;=DATE(2018,12,31)),$M620,"")</f>
        <v/>
      </c>
      <c r="Q620" s="5">
        <f>SUMPRODUCT(Exposures!$B$8:$K$8,B620:K620)</f>
        <v/>
      </c>
      <c r="R620" s="5">
        <f>SUMPRODUCT(Exposures!$B$9:$K$9,B620:K620)</f>
        <v/>
      </c>
      <c r="S620" s="5">
        <f>SUMPRODUCT(Exposures!$B$10:$K$10,B620:K620)</f>
        <v/>
      </c>
    </row>
    <row r="621">
      <c r="A621" s="1" t="n">
        <v>43357</v>
      </c>
      <c r="B621" s="5" t="n">
        <v>0.004894022773834615</v>
      </c>
      <c r="C621" s="5" t="n">
        <v>0.001911884929724786</v>
      </c>
      <c r="D621" s="5" t="n">
        <v>-0.002268330389864479</v>
      </c>
      <c r="E621" s="5" t="n">
        <v>0.00155747258124595</v>
      </c>
      <c r="F621" s="5" t="n">
        <v>-0.00165571246150953</v>
      </c>
      <c r="G621" s="5" t="n">
        <v>0.003496783951692147</v>
      </c>
      <c r="H621" s="5" t="n">
        <v>-3.510248852620632e-05</v>
      </c>
      <c r="I621" s="5" t="n">
        <v>-0.001227965332714975</v>
      </c>
      <c r="J621" s="5" t="n">
        <v>0.0001619030781734529</v>
      </c>
      <c r="K621" s="5" t="n">
        <v>-0.0001390307527297735</v>
      </c>
      <c r="L621" s="5" t="n">
        <v>-0.0005226419445645583</v>
      </c>
      <c r="M621" s="5">
        <f>SUMPRODUCT(Exposures!$B$6:$K$6,B621:K621)</f>
        <v/>
      </c>
      <c r="N621" s="5">
        <f>IF(AND($A621&gt;=DATE(2020,2,1),$A621&lt;=DATE(2020,5,31)),$M621,"")</f>
        <v/>
      </c>
      <c r="O621" s="5">
        <f>IF(AND($A621&gt;=DATE(2022,1,1),$A621&lt;=DATE(2022,10,31)),$M621,"")</f>
        <v/>
      </c>
      <c r="P621" s="5">
        <f>IF(AND($A621&gt;=DATE(2018,10,1),$A621&lt;=DATE(2018,12,31)),$M621,"")</f>
        <v/>
      </c>
      <c r="Q621" s="5">
        <f>SUMPRODUCT(Exposures!$B$8:$K$8,B621:K621)</f>
        <v/>
      </c>
      <c r="R621" s="5">
        <f>SUMPRODUCT(Exposures!$B$9:$K$9,B621:K621)</f>
        <v/>
      </c>
      <c r="S621" s="5">
        <f>SUMPRODUCT(Exposures!$B$10:$K$10,B621:K621)</f>
        <v/>
      </c>
    </row>
    <row r="622">
      <c r="A622" s="1" t="n">
        <v>43360</v>
      </c>
      <c r="B622" s="5" t="n">
        <v>-0.002594535831617776</v>
      </c>
      <c r="C622" s="5" t="n">
        <v>-0.000873954985313578</v>
      </c>
      <c r="D622" s="5" t="n">
        <v>-0.002640167546414652</v>
      </c>
      <c r="E622" s="5" t="n">
        <v>0.001141238743581112</v>
      </c>
      <c r="F622" s="5" t="n">
        <v>-0.002664810336740877</v>
      </c>
      <c r="G622" s="5" t="n">
        <v>-0.005116081733449722</v>
      </c>
      <c r="H622" s="5" t="n">
        <v>-0.006208136266767034</v>
      </c>
      <c r="I622" s="5" t="n">
        <v>0.001398916150165557</v>
      </c>
      <c r="J622" s="5" t="n">
        <v>-0.002127704502730661</v>
      </c>
      <c r="K622" s="5" t="n">
        <v>0.0002821391893035275</v>
      </c>
      <c r="L622" s="5" t="n">
        <v>-0.001005117817968395</v>
      </c>
      <c r="M622" s="5">
        <f>SUMPRODUCT(Exposures!$B$6:$K$6,B622:K622)</f>
        <v/>
      </c>
      <c r="N622" s="5">
        <f>IF(AND($A622&gt;=DATE(2020,2,1),$A622&lt;=DATE(2020,5,31)),$M622,"")</f>
        <v/>
      </c>
      <c r="O622" s="5">
        <f>IF(AND($A622&gt;=DATE(2022,1,1),$A622&lt;=DATE(2022,10,31)),$M622,"")</f>
        <v/>
      </c>
      <c r="P622" s="5">
        <f>IF(AND($A622&gt;=DATE(2018,10,1),$A622&lt;=DATE(2018,12,31)),$M622,"")</f>
        <v/>
      </c>
      <c r="Q622" s="5">
        <f>SUMPRODUCT(Exposures!$B$8:$K$8,B622:K622)</f>
        <v/>
      </c>
      <c r="R622" s="5">
        <f>SUMPRODUCT(Exposures!$B$9:$K$9,B622:K622)</f>
        <v/>
      </c>
      <c r="S622" s="5">
        <f>SUMPRODUCT(Exposures!$B$10:$K$10,B622:K622)</f>
        <v/>
      </c>
    </row>
    <row r="623">
      <c r="A623" s="1" t="n">
        <v>43361</v>
      </c>
      <c r="B623" s="5" t="n">
        <v>0.001994415582267207</v>
      </c>
      <c r="C623" s="5" t="n">
        <v>-0.000530862336116694</v>
      </c>
      <c r="D623" s="5" t="n">
        <v>-0.002889049299323471</v>
      </c>
      <c r="E623" s="5" t="n">
        <v>-0.002585740233639724</v>
      </c>
      <c r="F623" s="5" t="n">
        <v>0.000410821107565109</v>
      </c>
      <c r="G623" s="5" t="n">
        <v>0.003275591639270296</v>
      </c>
      <c r="H623" s="5" t="n">
        <v>0.0002443251666411529</v>
      </c>
      <c r="I623" s="5" t="n">
        <v>-0.000598454961464165</v>
      </c>
      <c r="J623" s="5" t="n">
        <v>-0.001368320259122813</v>
      </c>
      <c r="K623" s="5" t="n">
        <v>-0.0003083793637187386</v>
      </c>
      <c r="L623" s="5" t="n">
        <v>0.0008300133725995196</v>
      </c>
      <c r="M623" s="5">
        <f>SUMPRODUCT(Exposures!$B$6:$K$6,B623:K623)</f>
        <v/>
      </c>
      <c r="N623" s="5">
        <f>IF(AND($A623&gt;=DATE(2020,2,1),$A623&lt;=DATE(2020,5,31)),$M623,"")</f>
        <v/>
      </c>
      <c r="O623" s="5">
        <f>IF(AND($A623&gt;=DATE(2022,1,1),$A623&lt;=DATE(2022,10,31)),$M623,"")</f>
        <v/>
      </c>
      <c r="P623" s="5">
        <f>IF(AND($A623&gt;=DATE(2018,10,1),$A623&lt;=DATE(2018,12,31)),$M623,"")</f>
        <v/>
      </c>
      <c r="Q623" s="5">
        <f>SUMPRODUCT(Exposures!$B$8:$K$8,B623:K623)</f>
        <v/>
      </c>
      <c r="R623" s="5">
        <f>SUMPRODUCT(Exposures!$B$9:$K$9,B623:K623)</f>
        <v/>
      </c>
      <c r="S623" s="5">
        <f>SUMPRODUCT(Exposures!$B$10:$K$10,B623:K623)</f>
        <v/>
      </c>
    </row>
    <row r="624">
      <c r="A624" s="1" t="n">
        <v>43362</v>
      </c>
      <c r="B624" s="5" t="n">
        <v>0.005946511750872727</v>
      </c>
      <c r="C624" s="5" t="n">
        <v>0.001548209682650416</v>
      </c>
      <c r="D624" s="5" t="n">
        <v>3.000857280792922e-05</v>
      </c>
      <c r="E624" s="5" t="n">
        <v>-0.001340934902792463</v>
      </c>
      <c r="F624" s="5" t="n">
        <v>-0.006134411766277223</v>
      </c>
      <c r="G624" s="5" t="n">
        <v>0.001024174796846257</v>
      </c>
      <c r="H624" s="5" t="n">
        <v>-0.00316021940200458</v>
      </c>
      <c r="I624" s="5" t="n">
        <v>-6.179765370308834e-05</v>
      </c>
      <c r="J624" s="5" t="n">
        <v>0.001901843311188327</v>
      </c>
      <c r="K624" s="5" t="n">
        <v>0.006841684786928727</v>
      </c>
      <c r="L624" s="5" t="n">
        <v>0.005237757258007751</v>
      </c>
      <c r="M624" s="5">
        <f>SUMPRODUCT(Exposures!$B$6:$K$6,B624:K624)</f>
        <v/>
      </c>
      <c r="N624" s="5">
        <f>IF(AND($A624&gt;=DATE(2020,2,1),$A624&lt;=DATE(2020,5,31)),$M624,"")</f>
        <v/>
      </c>
      <c r="O624" s="5">
        <f>IF(AND($A624&gt;=DATE(2022,1,1),$A624&lt;=DATE(2022,10,31)),$M624,"")</f>
        <v/>
      </c>
      <c r="P624" s="5">
        <f>IF(AND($A624&gt;=DATE(2018,10,1),$A624&lt;=DATE(2018,12,31)),$M624,"")</f>
        <v/>
      </c>
      <c r="Q624" s="5">
        <f>SUMPRODUCT(Exposures!$B$8:$K$8,B624:K624)</f>
        <v/>
      </c>
      <c r="R624" s="5">
        <f>SUMPRODUCT(Exposures!$B$9:$K$9,B624:K624)</f>
        <v/>
      </c>
      <c r="S624" s="5">
        <f>SUMPRODUCT(Exposures!$B$10:$K$10,B624:K624)</f>
        <v/>
      </c>
    </row>
    <row r="625">
      <c r="A625" s="1" t="n">
        <v>43363</v>
      </c>
      <c r="B625" s="5" t="n">
        <v>0.00338017631159263</v>
      </c>
      <c r="C625" s="5" t="n">
        <v>-0.003076372469068249</v>
      </c>
      <c r="D625" s="5" t="n">
        <v>-0.001946585349000231</v>
      </c>
      <c r="E625" s="5" t="n">
        <v>-0.0003012483828258391</v>
      </c>
      <c r="F625" s="5" t="n">
        <v>0.002158210241103266</v>
      </c>
      <c r="G625" s="5" t="n">
        <v>0.01097325977803944</v>
      </c>
      <c r="H625" s="5" t="n">
        <v>-0.004943622077769988</v>
      </c>
      <c r="I625" s="5" t="n">
        <v>-0.000204144525014532</v>
      </c>
      <c r="J625" s="5" t="n">
        <v>0.003422236641024145</v>
      </c>
      <c r="K625" s="5" t="n">
        <v>-0.001464645954262837</v>
      </c>
      <c r="L625" s="5" t="n">
        <v>0.001094788902851181</v>
      </c>
      <c r="M625" s="5">
        <f>SUMPRODUCT(Exposures!$B$6:$K$6,B625:K625)</f>
        <v/>
      </c>
      <c r="N625" s="5">
        <f>IF(AND($A625&gt;=DATE(2020,2,1),$A625&lt;=DATE(2020,5,31)),$M625,"")</f>
        <v/>
      </c>
      <c r="O625" s="5">
        <f>IF(AND($A625&gt;=DATE(2022,1,1),$A625&lt;=DATE(2022,10,31)),$M625,"")</f>
        <v/>
      </c>
      <c r="P625" s="5">
        <f>IF(AND($A625&gt;=DATE(2018,10,1),$A625&lt;=DATE(2018,12,31)),$M625,"")</f>
        <v/>
      </c>
      <c r="Q625" s="5">
        <f>SUMPRODUCT(Exposures!$B$8:$K$8,B625:K625)</f>
        <v/>
      </c>
      <c r="R625" s="5">
        <f>SUMPRODUCT(Exposures!$B$9:$K$9,B625:K625)</f>
        <v/>
      </c>
      <c r="S625" s="5">
        <f>SUMPRODUCT(Exposures!$B$10:$K$10,B625:K625)</f>
        <v/>
      </c>
    </row>
    <row r="626">
      <c r="A626" s="1" t="n">
        <v>43364</v>
      </c>
      <c r="B626" s="5" t="n">
        <v>-0.00121726069083114</v>
      </c>
      <c r="C626" s="5" t="n">
        <v>-0.001458487249311948</v>
      </c>
      <c r="D626" s="5" t="n">
        <v>-0.00270046208401024</v>
      </c>
      <c r="E626" s="5" t="n">
        <v>-0.002374856879130863</v>
      </c>
      <c r="F626" s="5" t="n">
        <v>-0.006618199705894457</v>
      </c>
      <c r="G626" s="5" t="n">
        <v>0.002290017107949802</v>
      </c>
      <c r="H626" s="5" t="n">
        <v>-0.002108757263020569</v>
      </c>
      <c r="I626" s="5" t="n">
        <v>-0.001463626961769862</v>
      </c>
      <c r="J626" s="5" t="n">
        <v>0.003961806600183249</v>
      </c>
      <c r="K626" s="5" t="n">
        <v>0.008153990663585742</v>
      </c>
      <c r="L626" s="5" t="n">
        <v>0.001953946775328557</v>
      </c>
      <c r="M626" s="5">
        <f>SUMPRODUCT(Exposures!$B$6:$K$6,B626:K626)</f>
        <v/>
      </c>
      <c r="N626" s="5">
        <f>IF(AND($A626&gt;=DATE(2020,2,1),$A626&lt;=DATE(2020,5,31)),$M626,"")</f>
        <v/>
      </c>
      <c r="O626" s="5">
        <f>IF(AND($A626&gt;=DATE(2022,1,1),$A626&lt;=DATE(2022,10,31)),$M626,"")</f>
        <v/>
      </c>
      <c r="P626" s="5">
        <f>IF(AND($A626&gt;=DATE(2018,10,1),$A626&lt;=DATE(2018,12,31)),$M626,"")</f>
        <v/>
      </c>
      <c r="Q626" s="5">
        <f>SUMPRODUCT(Exposures!$B$8:$K$8,B626:K626)</f>
        <v/>
      </c>
      <c r="R626" s="5">
        <f>SUMPRODUCT(Exposures!$B$9:$K$9,B626:K626)</f>
        <v/>
      </c>
      <c r="S626" s="5">
        <f>SUMPRODUCT(Exposures!$B$10:$K$10,B626:K626)</f>
        <v/>
      </c>
    </row>
    <row r="627">
      <c r="A627" s="1" t="n">
        <v>43367</v>
      </c>
      <c r="B627" s="5" t="n">
        <v>0.0007945257733608774</v>
      </c>
      <c r="C627" s="5" t="n">
        <v>-0.0009265638431503666</v>
      </c>
      <c r="D627" s="5" t="n">
        <v>0.003902372393785662</v>
      </c>
      <c r="E627" s="5" t="n">
        <v>-0.0007021095033959802</v>
      </c>
      <c r="F627" s="5" t="n">
        <v>0.006834298829540862</v>
      </c>
      <c r="G627" s="5" t="n">
        <v>-0.006004099465224066</v>
      </c>
      <c r="H627" s="5" t="n">
        <v>0.006818710071985587</v>
      </c>
      <c r="I627" s="5" t="n">
        <v>0.002374573688509624</v>
      </c>
      <c r="J627" s="5" t="n">
        <v>-0.0009632660069841076</v>
      </c>
      <c r="K627" s="5" t="n">
        <v>-0.006287732249696646</v>
      </c>
      <c r="L627" s="5" t="n">
        <v>-0.001254043218818247</v>
      </c>
      <c r="M627" s="5">
        <f>SUMPRODUCT(Exposures!$B$6:$K$6,B627:K627)</f>
        <v/>
      </c>
      <c r="N627" s="5">
        <f>IF(AND($A627&gt;=DATE(2020,2,1),$A627&lt;=DATE(2020,5,31)),$M627,"")</f>
        <v/>
      </c>
      <c r="O627" s="5">
        <f>IF(AND($A627&gt;=DATE(2022,1,1),$A627&lt;=DATE(2022,10,31)),$M627,"")</f>
        <v/>
      </c>
      <c r="P627" s="5">
        <f>IF(AND($A627&gt;=DATE(2018,10,1),$A627&lt;=DATE(2018,12,31)),$M627,"")</f>
        <v/>
      </c>
      <c r="Q627" s="5">
        <f>SUMPRODUCT(Exposures!$B$8:$K$8,B627:K627)</f>
        <v/>
      </c>
      <c r="R627" s="5">
        <f>SUMPRODUCT(Exposures!$B$9:$K$9,B627:K627)</f>
        <v/>
      </c>
      <c r="S627" s="5">
        <f>SUMPRODUCT(Exposures!$B$10:$K$10,B627:K627)</f>
        <v/>
      </c>
    </row>
    <row r="628">
      <c r="A628" s="1" t="n">
        <v>43368</v>
      </c>
      <c r="B628" s="5" t="n">
        <v>0.0003305965574196784</v>
      </c>
      <c r="C628" s="5" t="n">
        <v>3.016533304774851e-05</v>
      </c>
      <c r="D628" s="5" t="n">
        <v>0.0008714401005227132</v>
      </c>
      <c r="E628" s="5" t="n">
        <v>-0.001201998281618835</v>
      </c>
      <c r="F628" s="5" t="n">
        <v>-0.002143720777105034</v>
      </c>
      <c r="G628" s="5" t="n">
        <v>-0.0008911306783344674</v>
      </c>
      <c r="H628" s="5" t="n">
        <v>0.00347791239542915</v>
      </c>
      <c r="I628" s="5" t="n">
        <v>0.001648500915616166</v>
      </c>
      <c r="J628" s="5" t="n">
        <v>0.002961273498944174</v>
      </c>
      <c r="K628" s="5" t="n">
        <v>0.001592562717624056</v>
      </c>
      <c r="L628" s="5" t="n">
        <v>0.001750665630485167</v>
      </c>
      <c r="M628" s="5">
        <f>SUMPRODUCT(Exposures!$B$6:$K$6,B628:K628)</f>
        <v/>
      </c>
      <c r="N628" s="5">
        <f>IF(AND($A628&gt;=DATE(2020,2,1),$A628&lt;=DATE(2020,5,31)),$M628,"")</f>
        <v/>
      </c>
      <c r="O628" s="5">
        <f>IF(AND($A628&gt;=DATE(2022,1,1),$A628&lt;=DATE(2022,10,31)),$M628,"")</f>
        <v/>
      </c>
      <c r="P628" s="5">
        <f>IF(AND($A628&gt;=DATE(2018,10,1),$A628&lt;=DATE(2018,12,31)),$M628,"")</f>
        <v/>
      </c>
      <c r="Q628" s="5">
        <f>SUMPRODUCT(Exposures!$B$8:$K$8,B628:K628)</f>
        <v/>
      </c>
      <c r="R628" s="5">
        <f>SUMPRODUCT(Exposures!$B$9:$K$9,B628:K628)</f>
        <v/>
      </c>
      <c r="S628" s="5">
        <f>SUMPRODUCT(Exposures!$B$10:$K$10,B628:K628)</f>
        <v/>
      </c>
    </row>
    <row r="629">
      <c r="A629" s="1" t="n">
        <v>43369</v>
      </c>
      <c r="B629" s="5" t="n">
        <v>-0.0003106950982524411</v>
      </c>
      <c r="C629" s="5" t="n">
        <v>0.001264065752716751</v>
      </c>
      <c r="D629" s="5" t="n">
        <v>-0.002293324786021712</v>
      </c>
      <c r="E629" s="5" t="n">
        <v>-0.0009434275277938437</v>
      </c>
      <c r="F629" s="5" t="n">
        <v>-0.0001134177431824403</v>
      </c>
      <c r="G629" s="5" t="n">
        <v>-0.003733062729196771</v>
      </c>
      <c r="H629" s="5" t="n">
        <v>0.003550729980867653</v>
      </c>
      <c r="I629" s="5" t="n">
        <v>0.0007731218497083308</v>
      </c>
      <c r="J629" s="5" t="n">
        <v>0.00334422074337815</v>
      </c>
      <c r="K629" s="5" t="n">
        <v>0.00131046525156093</v>
      </c>
      <c r="L629" s="5" t="n">
        <v>-0.001963473409270245</v>
      </c>
      <c r="M629" s="5">
        <f>SUMPRODUCT(Exposures!$B$6:$K$6,B629:K629)</f>
        <v/>
      </c>
      <c r="N629" s="5">
        <f>IF(AND($A629&gt;=DATE(2020,2,1),$A629&lt;=DATE(2020,5,31)),$M629,"")</f>
        <v/>
      </c>
      <c r="O629" s="5">
        <f>IF(AND($A629&gt;=DATE(2022,1,1),$A629&lt;=DATE(2022,10,31)),$M629,"")</f>
        <v/>
      </c>
      <c r="P629" s="5">
        <f>IF(AND($A629&gt;=DATE(2018,10,1),$A629&lt;=DATE(2018,12,31)),$M629,"")</f>
        <v/>
      </c>
      <c r="Q629" s="5">
        <f>SUMPRODUCT(Exposures!$B$8:$K$8,B629:K629)</f>
        <v/>
      </c>
      <c r="R629" s="5">
        <f>SUMPRODUCT(Exposures!$B$9:$K$9,B629:K629)</f>
        <v/>
      </c>
      <c r="S629" s="5">
        <f>SUMPRODUCT(Exposures!$B$10:$K$10,B629:K629)</f>
        <v/>
      </c>
    </row>
    <row r="630">
      <c r="A630" s="1" t="n">
        <v>43370</v>
      </c>
      <c r="B630" s="5" t="n">
        <v>9.670976257204582e-05</v>
      </c>
      <c r="C630" s="5" t="n">
        <v>-0.0001057995519773442</v>
      </c>
      <c r="D630" s="5" t="n">
        <v>0.0004177546571926423</v>
      </c>
      <c r="E630" s="5" t="n">
        <v>-0.003189493126748426</v>
      </c>
      <c r="F630" s="5" t="n">
        <v>-0.0001519694632668374</v>
      </c>
      <c r="G630" s="5" t="n">
        <v>0.001357709396074409</v>
      </c>
      <c r="H630" s="5" t="n">
        <v>0.0004313161230343944</v>
      </c>
      <c r="I630" s="5" t="n">
        <v>0.0007889706021393975</v>
      </c>
      <c r="J630" s="5" t="n">
        <v>-0.001448482325771417</v>
      </c>
      <c r="K630" s="5" t="n">
        <v>0.0008444947976541858</v>
      </c>
      <c r="L630" s="5" t="n">
        <v>0.000245296479828861</v>
      </c>
      <c r="M630" s="5">
        <f>SUMPRODUCT(Exposures!$B$6:$K$6,B630:K630)</f>
        <v/>
      </c>
      <c r="N630" s="5">
        <f>IF(AND($A630&gt;=DATE(2020,2,1),$A630&lt;=DATE(2020,5,31)),$M630,"")</f>
        <v/>
      </c>
      <c r="O630" s="5">
        <f>IF(AND($A630&gt;=DATE(2022,1,1),$A630&lt;=DATE(2022,10,31)),$M630,"")</f>
        <v/>
      </c>
      <c r="P630" s="5">
        <f>IF(AND($A630&gt;=DATE(2018,10,1),$A630&lt;=DATE(2018,12,31)),$M630,"")</f>
        <v/>
      </c>
      <c r="Q630" s="5">
        <f>SUMPRODUCT(Exposures!$B$8:$K$8,B630:K630)</f>
        <v/>
      </c>
      <c r="R630" s="5">
        <f>SUMPRODUCT(Exposures!$B$9:$K$9,B630:K630)</f>
        <v/>
      </c>
      <c r="S630" s="5">
        <f>SUMPRODUCT(Exposures!$B$10:$K$10,B630:K630)</f>
        <v/>
      </c>
    </row>
    <row r="631">
      <c r="A631" s="1" t="n">
        <v>43371</v>
      </c>
      <c r="B631" s="5" t="n">
        <v>-0.002280087231459687</v>
      </c>
      <c r="C631" s="5" t="n">
        <v>-0.002248267004031513</v>
      </c>
      <c r="D631" s="5" t="n">
        <v>0.001552446638281893</v>
      </c>
      <c r="E631" s="5" t="n">
        <v>-0.0006251467907474292</v>
      </c>
      <c r="F631" s="5" t="n">
        <v>-0.002974390444915038</v>
      </c>
      <c r="G631" s="5" t="n">
        <v>0.0007995777311764376</v>
      </c>
      <c r="H631" s="5" t="n">
        <v>0.00164922460436616</v>
      </c>
      <c r="I631" s="5" t="n">
        <v>-0.0003170990582150783</v>
      </c>
      <c r="J631" s="5" t="n">
        <v>-0.004363060117528531</v>
      </c>
      <c r="K631" s="5" t="n">
        <v>0.0007541686172718666</v>
      </c>
      <c r="L631" s="5" t="n">
        <v>-0.0006179478962412034</v>
      </c>
      <c r="M631" s="5">
        <f>SUMPRODUCT(Exposures!$B$6:$K$6,B631:K631)</f>
        <v/>
      </c>
      <c r="N631" s="5">
        <f>IF(AND($A631&gt;=DATE(2020,2,1),$A631&lt;=DATE(2020,5,31)),$M631,"")</f>
        <v/>
      </c>
      <c r="O631" s="5">
        <f>IF(AND($A631&gt;=DATE(2022,1,1),$A631&lt;=DATE(2022,10,31)),$M631,"")</f>
        <v/>
      </c>
      <c r="P631" s="5">
        <f>IF(AND($A631&gt;=DATE(2018,10,1),$A631&lt;=DATE(2018,12,31)),$M631,"")</f>
        <v/>
      </c>
      <c r="Q631" s="5">
        <f>SUMPRODUCT(Exposures!$B$8:$K$8,B631:K631)</f>
        <v/>
      </c>
      <c r="R631" s="5">
        <f>SUMPRODUCT(Exposures!$B$9:$K$9,B631:K631)</f>
        <v/>
      </c>
      <c r="S631" s="5">
        <f>SUMPRODUCT(Exposures!$B$10:$K$10,B631:K631)</f>
        <v/>
      </c>
    </row>
    <row r="632">
      <c r="A632" s="1" t="n">
        <v>43374</v>
      </c>
      <c r="B632" s="5" t="n">
        <v>0.001994055504837272</v>
      </c>
      <c r="C632" s="5" t="n">
        <v>-0.0003698892707295254</v>
      </c>
      <c r="D632" s="5" t="n">
        <v>-0.0007983430304186307</v>
      </c>
      <c r="E632" s="5" t="n">
        <v>-0.0006432954377684548</v>
      </c>
      <c r="F632" s="5" t="n">
        <v>0.001556646461314925</v>
      </c>
      <c r="G632" s="5" t="n">
        <v>-0.004088662147269959</v>
      </c>
      <c r="H632" s="5" t="n">
        <v>0.001219260065683007</v>
      </c>
      <c r="I632" s="5" t="n">
        <v>-4.155682813502767e-05</v>
      </c>
      <c r="J632" s="5" t="n">
        <v>-0.005069090017678395</v>
      </c>
      <c r="K632" s="5" t="n">
        <v>0.001167274523207406</v>
      </c>
      <c r="L632" s="5" t="n">
        <v>-0.0002871851906335142</v>
      </c>
      <c r="M632" s="5">
        <f>SUMPRODUCT(Exposures!$B$6:$K$6,B632:K632)</f>
        <v/>
      </c>
      <c r="N632" s="5">
        <f>IF(AND($A632&gt;=DATE(2020,2,1),$A632&lt;=DATE(2020,5,31)),$M632,"")</f>
        <v/>
      </c>
      <c r="O632" s="5">
        <f>IF(AND($A632&gt;=DATE(2022,1,1),$A632&lt;=DATE(2022,10,31)),$M632,"")</f>
        <v/>
      </c>
      <c r="P632" s="5">
        <f>IF(AND($A632&gt;=DATE(2018,10,1),$A632&lt;=DATE(2018,12,31)),$M632,"")</f>
        <v/>
      </c>
      <c r="Q632" s="5">
        <f>SUMPRODUCT(Exposures!$B$8:$K$8,B632:K632)</f>
        <v/>
      </c>
      <c r="R632" s="5">
        <f>SUMPRODUCT(Exposures!$B$9:$K$9,B632:K632)</f>
        <v/>
      </c>
      <c r="S632" s="5">
        <f>SUMPRODUCT(Exposures!$B$10:$K$10,B632:K632)</f>
        <v/>
      </c>
    </row>
    <row r="633">
      <c r="A633" s="1" t="n">
        <v>43375</v>
      </c>
      <c r="B633" s="5" t="n">
        <v>-0.002011376541164408</v>
      </c>
      <c r="C633" s="5" t="n">
        <v>0.001000832690933543</v>
      </c>
      <c r="D633" s="5" t="n">
        <v>-0.0008165596050263824</v>
      </c>
      <c r="E633" s="5" t="n">
        <v>0.0001889919395500871</v>
      </c>
      <c r="F633" s="5" t="n">
        <v>-0.00172789965695615</v>
      </c>
      <c r="G633" s="5" t="n">
        <v>-0.006577095981001819</v>
      </c>
      <c r="H633" s="5" t="n">
        <v>-0.006537022506184517</v>
      </c>
      <c r="I633" s="5" t="n">
        <v>0.0005864521358216134</v>
      </c>
      <c r="J633" s="5" t="n">
        <v>-0.008656371277037654</v>
      </c>
      <c r="K633" s="5" t="n">
        <v>0.00242948401817898</v>
      </c>
      <c r="L633" s="5" t="n">
        <v>-0.001026623913369219</v>
      </c>
      <c r="M633" s="5">
        <f>SUMPRODUCT(Exposures!$B$6:$K$6,B633:K633)</f>
        <v/>
      </c>
      <c r="N633" s="5">
        <f>IF(AND($A633&gt;=DATE(2020,2,1),$A633&lt;=DATE(2020,5,31)),$M633,"")</f>
        <v/>
      </c>
      <c r="O633" s="5">
        <f>IF(AND($A633&gt;=DATE(2022,1,1),$A633&lt;=DATE(2022,10,31)),$M633,"")</f>
        <v/>
      </c>
      <c r="P633" s="5">
        <f>IF(AND($A633&gt;=DATE(2018,10,1),$A633&lt;=DATE(2018,12,31)),$M633,"")</f>
        <v/>
      </c>
      <c r="Q633" s="5">
        <f>SUMPRODUCT(Exposures!$B$8:$K$8,B633:K633)</f>
        <v/>
      </c>
      <c r="R633" s="5">
        <f>SUMPRODUCT(Exposures!$B$9:$K$9,B633:K633)</f>
        <v/>
      </c>
      <c r="S633" s="5">
        <f>SUMPRODUCT(Exposures!$B$10:$K$10,B633:K633)</f>
        <v/>
      </c>
    </row>
    <row r="634">
      <c r="A634" s="1" t="n">
        <v>43376</v>
      </c>
      <c r="B634" s="5" t="n">
        <v>0.005123857719757647</v>
      </c>
      <c r="C634" s="5" t="n">
        <v>0.001677488546672928</v>
      </c>
      <c r="D634" s="5" t="n">
        <v>-0.003992303152831287</v>
      </c>
      <c r="E634" s="5" t="n">
        <v>0.0002570106519501323</v>
      </c>
      <c r="F634" s="5" t="n">
        <v>-0.01296368615430215</v>
      </c>
      <c r="G634" s="5" t="n">
        <v>0.004530065350680386</v>
      </c>
      <c r="H634" s="5" t="n">
        <v>0.0006626764365144824</v>
      </c>
      <c r="I634" s="5" t="n">
        <v>-0.0002252407503669075</v>
      </c>
      <c r="J634" s="5" t="n">
        <v>0.006970896589557081</v>
      </c>
      <c r="K634" s="5" t="n">
        <v>0.01007525784874545</v>
      </c>
      <c r="L634" s="5" t="n">
        <v>0.004883219720477266</v>
      </c>
      <c r="M634" s="5">
        <f>SUMPRODUCT(Exposures!$B$6:$K$6,B634:K634)</f>
        <v/>
      </c>
      <c r="N634" s="5">
        <f>IF(AND($A634&gt;=DATE(2020,2,1),$A634&lt;=DATE(2020,5,31)),$M634,"")</f>
        <v/>
      </c>
      <c r="O634" s="5">
        <f>IF(AND($A634&gt;=DATE(2022,1,1),$A634&lt;=DATE(2022,10,31)),$M634,"")</f>
        <v/>
      </c>
      <c r="P634" s="5">
        <f>IF(AND($A634&gt;=DATE(2018,10,1),$A634&lt;=DATE(2018,12,31)),$M634,"")</f>
        <v/>
      </c>
      <c r="Q634" s="5">
        <f>SUMPRODUCT(Exposures!$B$8:$K$8,B634:K634)</f>
        <v/>
      </c>
      <c r="R634" s="5">
        <f>SUMPRODUCT(Exposures!$B$9:$K$9,B634:K634)</f>
        <v/>
      </c>
      <c r="S634" s="5">
        <f>SUMPRODUCT(Exposures!$B$10:$K$10,B634:K634)</f>
        <v/>
      </c>
    </row>
    <row r="635">
      <c r="A635" s="1" t="n">
        <v>43377</v>
      </c>
      <c r="B635" s="5" t="n">
        <v>-0.00598927505289893</v>
      </c>
      <c r="C635" s="5" t="n">
        <v>-0.0007515403340222039</v>
      </c>
      <c r="D635" s="5" t="n">
        <v>0.001397285051474832</v>
      </c>
      <c r="E635" s="5" t="n">
        <v>0.002340024387867903</v>
      </c>
      <c r="F635" s="5" t="n">
        <v>8.071529820421293e-05</v>
      </c>
      <c r="G635" s="5" t="n">
        <v>-0.01013713972091979</v>
      </c>
      <c r="H635" s="5" t="n">
        <v>-0.003582110050126842</v>
      </c>
      <c r="I635" s="5" t="n">
        <v>-0.001755562283603695</v>
      </c>
      <c r="J635" s="5" t="n">
        <v>-0.0009070196979678547</v>
      </c>
      <c r="K635" s="5" t="n">
        <v>0.003778247521138594</v>
      </c>
      <c r="L635" s="5" t="n">
        <v>0.003389395355434962</v>
      </c>
      <c r="M635" s="5">
        <f>SUMPRODUCT(Exposures!$B$6:$K$6,B635:K635)</f>
        <v/>
      </c>
      <c r="N635" s="5">
        <f>IF(AND($A635&gt;=DATE(2020,2,1),$A635&lt;=DATE(2020,5,31)),$M635,"")</f>
        <v/>
      </c>
      <c r="O635" s="5">
        <f>IF(AND($A635&gt;=DATE(2022,1,1),$A635&lt;=DATE(2022,10,31)),$M635,"")</f>
        <v/>
      </c>
      <c r="P635" s="5">
        <f>IF(AND($A635&gt;=DATE(2018,10,1),$A635&lt;=DATE(2018,12,31)),$M635,"")</f>
        <v/>
      </c>
      <c r="Q635" s="5">
        <f>SUMPRODUCT(Exposures!$B$8:$K$8,B635:K635)</f>
        <v/>
      </c>
      <c r="R635" s="5">
        <f>SUMPRODUCT(Exposures!$B$9:$K$9,B635:K635)</f>
        <v/>
      </c>
      <c r="S635" s="5">
        <f>SUMPRODUCT(Exposures!$B$10:$K$10,B635:K635)</f>
        <v/>
      </c>
    </row>
    <row r="636">
      <c r="A636" s="1" t="n">
        <v>43378</v>
      </c>
      <c r="B636" s="5" t="n">
        <v>-0.006537040471577217</v>
      </c>
      <c r="C636" s="5" t="n">
        <v>0.0005977376563096241</v>
      </c>
      <c r="D636" s="5" t="n">
        <v>0.0002105121492426956</v>
      </c>
      <c r="E636" s="5" t="n">
        <v>-0.0003301355028244669</v>
      </c>
      <c r="F636" s="5" t="n">
        <v>-0.004093961931163372</v>
      </c>
      <c r="G636" s="5" t="n">
        <v>-0.006550853254099076</v>
      </c>
      <c r="H636" s="5" t="n">
        <v>0.002248782881439301</v>
      </c>
      <c r="I636" s="5" t="n">
        <v>-0.001051835764965758</v>
      </c>
      <c r="J636" s="5" t="n">
        <v>-0.0004839535071923663</v>
      </c>
      <c r="K636" s="5" t="n">
        <v>0.007531653741869862</v>
      </c>
      <c r="L636" s="5" t="n">
        <v>0.001678133652814278</v>
      </c>
      <c r="M636" s="5">
        <f>SUMPRODUCT(Exposures!$B$6:$K$6,B636:K636)</f>
        <v/>
      </c>
      <c r="N636" s="5">
        <f>IF(AND($A636&gt;=DATE(2020,2,1),$A636&lt;=DATE(2020,5,31)),$M636,"")</f>
        <v/>
      </c>
      <c r="O636" s="5">
        <f>IF(AND($A636&gt;=DATE(2022,1,1),$A636&lt;=DATE(2022,10,31)),$M636,"")</f>
        <v/>
      </c>
      <c r="P636" s="5">
        <f>IF(AND($A636&gt;=DATE(2018,10,1),$A636&lt;=DATE(2018,12,31)),$M636,"")</f>
        <v/>
      </c>
      <c r="Q636" s="5">
        <f>SUMPRODUCT(Exposures!$B$8:$K$8,B636:K636)</f>
        <v/>
      </c>
      <c r="R636" s="5">
        <f>SUMPRODUCT(Exposures!$B$9:$K$9,B636:K636)</f>
        <v/>
      </c>
      <c r="S636" s="5">
        <f>SUMPRODUCT(Exposures!$B$10:$K$10,B636:K636)</f>
        <v/>
      </c>
    </row>
    <row r="637">
      <c r="A637" s="1" t="n">
        <v>43381</v>
      </c>
      <c r="B637" s="5" t="n">
        <v>-0.005810034930232598</v>
      </c>
      <c r="C637" s="5" t="n">
        <v>-0.0003689159506313164</v>
      </c>
      <c r="D637" s="5" t="n">
        <v>0.0003507363807537615</v>
      </c>
      <c r="E637" s="5" t="n">
        <v>0.002908670678369914</v>
      </c>
      <c r="F637" s="5" t="n">
        <v>-0.0009526534744708085</v>
      </c>
      <c r="G637" s="5" t="n">
        <v>-0.002340232920164821</v>
      </c>
      <c r="H637" s="5" t="n">
        <v>-0.003390270142212405</v>
      </c>
      <c r="I637" s="5" t="n">
        <v>0.0003508741890322542</v>
      </c>
      <c r="J637" s="5" t="n">
        <v>-0.004029219511892357</v>
      </c>
      <c r="K637" s="5" t="n">
        <v>0.001136765814598404</v>
      </c>
      <c r="L637" s="5" t="n">
        <v>0.0006412051917485353</v>
      </c>
      <c r="M637" s="5">
        <f>SUMPRODUCT(Exposures!$B$6:$K$6,B637:K637)</f>
        <v/>
      </c>
      <c r="N637" s="5">
        <f>IF(AND($A637&gt;=DATE(2020,2,1),$A637&lt;=DATE(2020,5,31)),$M637,"")</f>
        <v/>
      </c>
      <c r="O637" s="5">
        <f>IF(AND($A637&gt;=DATE(2022,1,1),$A637&lt;=DATE(2022,10,31)),$M637,"")</f>
        <v/>
      </c>
      <c r="P637" s="5">
        <f>IF(AND($A637&gt;=DATE(2018,10,1),$A637&lt;=DATE(2018,12,31)),$M637,"")</f>
        <v/>
      </c>
      <c r="Q637" s="5">
        <f>SUMPRODUCT(Exposures!$B$8:$K$8,B637:K637)</f>
        <v/>
      </c>
      <c r="R637" s="5">
        <f>SUMPRODUCT(Exposures!$B$9:$K$9,B637:K637)</f>
        <v/>
      </c>
      <c r="S637" s="5">
        <f>SUMPRODUCT(Exposures!$B$10:$K$10,B637:K637)</f>
        <v/>
      </c>
    </row>
    <row r="638">
      <c r="A638" s="1" t="n">
        <v>43382</v>
      </c>
      <c r="B638" s="5" t="n">
        <v>-0.006685235667121566</v>
      </c>
      <c r="C638" s="5" t="n">
        <v>-0.005126994107137359</v>
      </c>
      <c r="D638" s="5" t="n">
        <v>-0.00116668161993744</v>
      </c>
      <c r="E638" s="5" t="n">
        <v>0.001557497268478624</v>
      </c>
      <c r="F638" s="5" t="n">
        <v>0.005064805366194566</v>
      </c>
      <c r="G638" s="5" t="n">
        <v>-0.006410932163024165</v>
      </c>
      <c r="H638" s="5" t="n">
        <v>0.004164006263328704</v>
      </c>
      <c r="I638" s="5" t="n">
        <v>0.003207682457270206</v>
      </c>
      <c r="J638" s="5" t="n">
        <v>-0.0003808221797645716</v>
      </c>
      <c r="K638" s="5" t="n">
        <v>-0.001794464426751576</v>
      </c>
      <c r="L638" s="5" t="n">
        <v>0.002704435070527256</v>
      </c>
      <c r="M638" s="5">
        <f>SUMPRODUCT(Exposures!$B$6:$K$6,B638:K638)</f>
        <v/>
      </c>
      <c r="N638" s="5">
        <f>IF(AND($A638&gt;=DATE(2020,2,1),$A638&lt;=DATE(2020,5,31)),$M638,"")</f>
        <v/>
      </c>
      <c r="O638" s="5">
        <f>IF(AND($A638&gt;=DATE(2022,1,1),$A638&lt;=DATE(2022,10,31)),$M638,"")</f>
        <v/>
      </c>
      <c r="P638" s="5">
        <f>IF(AND($A638&gt;=DATE(2018,10,1),$A638&lt;=DATE(2018,12,31)),$M638,"")</f>
        <v/>
      </c>
      <c r="Q638" s="5">
        <f>SUMPRODUCT(Exposures!$B$8:$K$8,B638:K638)</f>
        <v/>
      </c>
      <c r="R638" s="5">
        <f>SUMPRODUCT(Exposures!$B$9:$K$9,B638:K638)</f>
        <v/>
      </c>
      <c r="S638" s="5">
        <f>SUMPRODUCT(Exposures!$B$10:$K$10,B638:K638)</f>
        <v/>
      </c>
    </row>
    <row r="639">
      <c r="A639" s="1" t="n">
        <v>43383</v>
      </c>
      <c r="B639" s="5" t="n">
        <v>-0.006706134548619673</v>
      </c>
      <c r="C639" s="5" t="n">
        <v>-0.000172638892933558</v>
      </c>
      <c r="D639" s="5" t="n">
        <v>-0.001470147988711209</v>
      </c>
      <c r="E639" s="5" t="n">
        <v>0.002610065017324353</v>
      </c>
      <c r="F639" s="5" t="n">
        <v>-0.001310617553308534</v>
      </c>
      <c r="G639" s="5" t="n">
        <v>-0.02825506848782743</v>
      </c>
      <c r="H639" s="5" t="n">
        <v>-0.006519974909131763</v>
      </c>
      <c r="I639" s="5" t="n">
        <v>0.001068190413284576</v>
      </c>
      <c r="J639" s="5" t="n">
        <v>-0.005998336003097218</v>
      </c>
      <c r="K639" s="5" t="n">
        <v>-0.003876464183905094</v>
      </c>
      <c r="L639" s="5" t="n">
        <v>-0.002147293696085292</v>
      </c>
      <c r="M639" s="5">
        <f>SUMPRODUCT(Exposures!$B$6:$K$6,B639:K639)</f>
        <v/>
      </c>
      <c r="N639" s="5">
        <f>IF(AND($A639&gt;=DATE(2020,2,1),$A639&lt;=DATE(2020,5,31)),$M639,"")</f>
        <v/>
      </c>
      <c r="O639" s="5">
        <f>IF(AND($A639&gt;=DATE(2022,1,1),$A639&lt;=DATE(2022,10,31)),$M639,"")</f>
        <v/>
      </c>
      <c r="P639" s="5">
        <f>IF(AND($A639&gt;=DATE(2018,10,1),$A639&lt;=DATE(2018,12,31)),$M639,"")</f>
        <v/>
      </c>
      <c r="Q639" s="5">
        <f>SUMPRODUCT(Exposures!$B$8:$K$8,B639:K639)</f>
        <v/>
      </c>
      <c r="R639" s="5">
        <f>SUMPRODUCT(Exposures!$B$9:$K$9,B639:K639)</f>
        <v/>
      </c>
      <c r="S639" s="5">
        <f>SUMPRODUCT(Exposures!$B$10:$K$10,B639:K639)</f>
        <v/>
      </c>
    </row>
    <row r="640">
      <c r="A640" s="1" t="n">
        <v>43384</v>
      </c>
      <c r="B640" s="5" t="n">
        <v>0.0004085581628622579</v>
      </c>
      <c r="C640" s="5" t="n">
        <v>0.002842158961899349</v>
      </c>
      <c r="D640" s="5" t="n">
        <v>-0.0002155730480904745</v>
      </c>
      <c r="E640" s="5" t="n">
        <v>-0.004112277799724316</v>
      </c>
      <c r="F640" s="5" t="n">
        <v>0.006954040880410297</v>
      </c>
      <c r="G640" s="5" t="n">
        <v>-0.01871262648255</v>
      </c>
      <c r="H640" s="5" t="n">
        <v>0.001156599476311288</v>
      </c>
      <c r="I640" s="5" t="n">
        <v>-7.337647464800898e-05</v>
      </c>
      <c r="J640" s="5" t="n">
        <v>0.002500773153805521</v>
      </c>
      <c r="K640" s="5" t="n">
        <v>-0.007628005638451125</v>
      </c>
      <c r="L640" s="5" t="n">
        <v>-0.001830946099513077</v>
      </c>
      <c r="M640" s="5">
        <f>SUMPRODUCT(Exposures!$B$6:$K$6,B640:K640)</f>
        <v/>
      </c>
      <c r="N640" s="5">
        <f>IF(AND($A640&gt;=DATE(2020,2,1),$A640&lt;=DATE(2020,5,31)),$M640,"")</f>
        <v/>
      </c>
      <c r="O640" s="5">
        <f>IF(AND($A640&gt;=DATE(2022,1,1),$A640&lt;=DATE(2022,10,31)),$M640,"")</f>
        <v/>
      </c>
      <c r="P640" s="5">
        <f>IF(AND($A640&gt;=DATE(2018,10,1),$A640&lt;=DATE(2018,12,31)),$M640,"")</f>
        <v/>
      </c>
      <c r="Q640" s="5">
        <f>SUMPRODUCT(Exposures!$B$8:$K$8,B640:K640)</f>
        <v/>
      </c>
      <c r="R640" s="5">
        <f>SUMPRODUCT(Exposures!$B$9:$K$9,B640:K640)</f>
        <v/>
      </c>
      <c r="S640" s="5">
        <f>SUMPRODUCT(Exposures!$B$10:$K$10,B640:K640)</f>
        <v/>
      </c>
    </row>
    <row r="641">
      <c r="A641" s="1" t="n">
        <v>43385</v>
      </c>
      <c r="B641" s="5" t="n">
        <v>0.004149536788365924</v>
      </c>
      <c r="C641" s="5" t="n">
        <v>-0.001332300810761545</v>
      </c>
      <c r="D641" s="5" t="n">
        <v>0.001300197783600616</v>
      </c>
      <c r="E641" s="5" t="n">
        <v>-0.0002692032135291295</v>
      </c>
      <c r="F641" s="5" t="n">
        <v>0.01227747854820956</v>
      </c>
      <c r="G641" s="5" t="n">
        <v>0.008055804253540052</v>
      </c>
      <c r="H641" s="5" t="n">
        <v>0.004050422316733696</v>
      </c>
      <c r="I641" s="5" t="n">
        <v>0.0009288360920356338</v>
      </c>
      <c r="J641" s="5" t="n">
        <v>0.002071312705938634</v>
      </c>
      <c r="K641" s="5" t="n">
        <v>-0.006320386522283578</v>
      </c>
      <c r="L641" s="5" t="n">
        <v>-0.00340488796560993</v>
      </c>
      <c r="M641" s="5">
        <f>SUMPRODUCT(Exposures!$B$6:$K$6,B641:K641)</f>
        <v/>
      </c>
      <c r="N641" s="5">
        <f>IF(AND($A641&gt;=DATE(2020,2,1),$A641&lt;=DATE(2020,5,31)),$M641,"")</f>
        <v/>
      </c>
      <c r="O641" s="5">
        <f>IF(AND($A641&gt;=DATE(2022,1,1),$A641&lt;=DATE(2022,10,31)),$M641,"")</f>
        <v/>
      </c>
      <c r="P641" s="5">
        <f>IF(AND($A641&gt;=DATE(2018,10,1),$A641&lt;=DATE(2018,12,31)),$M641,"")</f>
        <v/>
      </c>
      <c r="Q641" s="5">
        <f>SUMPRODUCT(Exposures!$B$8:$K$8,B641:K641)</f>
        <v/>
      </c>
      <c r="R641" s="5">
        <f>SUMPRODUCT(Exposures!$B$9:$K$9,B641:K641)</f>
        <v/>
      </c>
      <c r="S641" s="5">
        <f>SUMPRODUCT(Exposures!$B$10:$K$10,B641:K641)</f>
        <v/>
      </c>
    </row>
    <row r="642">
      <c r="A642" s="1" t="n">
        <v>43388</v>
      </c>
      <c r="B642" s="5" t="n">
        <v>-0.004819207923414288</v>
      </c>
      <c r="C642" s="5" t="n">
        <v>0.002306956817117271</v>
      </c>
      <c r="D642" s="5" t="n">
        <v>-0.00364240184936396</v>
      </c>
      <c r="E642" s="5" t="n">
        <v>-0.001022043423754729</v>
      </c>
      <c r="F642" s="5" t="n">
        <v>-0.003781721462835973</v>
      </c>
      <c r="G642" s="5" t="n">
        <v>0.0003368786381434967</v>
      </c>
      <c r="H642" s="5" t="n">
        <v>-0.003986176270340147</v>
      </c>
      <c r="I642" s="5" t="n">
        <v>-0.002944262546833326</v>
      </c>
      <c r="J642" s="5" t="n">
        <v>0.001069302999456417</v>
      </c>
      <c r="K642" s="5" t="n">
        <v>0.0004207159130467444</v>
      </c>
      <c r="L642" s="5" t="n">
        <v>-0.001936745904160551</v>
      </c>
      <c r="M642" s="5">
        <f>SUMPRODUCT(Exposures!$B$6:$K$6,B642:K642)</f>
        <v/>
      </c>
      <c r="N642" s="5">
        <f>IF(AND($A642&gt;=DATE(2020,2,1),$A642&lt;=DATE(2020,5,31)),$M642,"")</f>
        <v/>
      </c>
      <c r="O642" s="5">
        <f>IF(AND($A642&gt;=DATE(2022,1,1),$A642&lt;=DATE(2022,10,31)),$M642,"")</f>
        <v/>
      </c>
      <c r="P642" s="5">
        <f>IF(AND($A642&gt;=DATE(2018,10,1),$A642&lt;=DATE(2018,12,31)),$M642,"")</f>
        <v/>
      </c>
      <c r="Q642" s="5">
        <f>SUMPRODUCT(Exposures!$B$8:$K$8,B642:K642)</f>
        <v/>
      </c>
      <c r="R642" s="5">
        <f>SUMPRODUCT(Exposures!$B$9:$K$9,B642:K642)</f>
        <v/>
      </c>
      <c r="S642" s="5">
        <f>SUMPRODUCT(Exposures!$B$10:$K$10,B642:K642)</f>
        <v/>
      </c>
    </row>
    <row r="643">
      <c r="A643" s="1" t="n">
        <v>43389</v>
      </c>
      <c r="B643" s="5" t="n">
        <v>0.005119414398715795</v>
      </c>
      <c r="C643" s="5" t="n">
        <v>-0.0008638502800472299</v>
      </c>
      <c r="D643" s="5" t="n">
        <v>0.001606734245433367</v>
      </c>
      <c r="E643" s="5" t="n">
        <v>-0.0009989179923350919</v>
      </c>
      <c r="F643" s="5" t="n">
        <v>-0.00173308455482219</v>
      </c>
      <c r="G643" s="5" t="n">
        <v>0.02516487693214819</v>
      </c>
      <c r="H643" s="5" t="n">
        <v>0.004872671663732006</v>
      </c>
      <c r="I643" s="5" t="n">
        <v>-0.0003211546703720728</v>
      </c>
      <c r="J643" s="5" t="n">
        <v>0.00658722784798366</v>
      </c>
      <c r="K643" s="5" t="n">
        <v>0.002541698953978329</v>
      </c>
      <c r="L643" s="5" t="n">
        <v>-0.003364609038874905</v>
      </c>
      <c r="M643" s="5">
        <f>SUMPRODUCT(Exposures!$B$6:$K$6,B643:K643)</f>
        <v/>
      </c>
      <c r="N643" s="5">
        <f>IF(AND($A643&gt;=DATE(2020,2,1),$A643&lt;=DATE(2020,5,31)),$M643,"")</f>
        <v/>
      </c>
      <c r="O643" s="5">
        <f>IF(AND($A643&gt;=DATE(2022,1,1),$A643&lt;=DATE(2022,10,31)),$M643,"")</f>
        <v/>
      </c>
      <c r="P643" s="5">
        <f>IF(AND($A643&gt;=DATE(2018,10,1),$A643&lt;=DATE(2018,12,31)),$M643,"")</f>
        <v/>
      </c>
      <c r="Q643" s="5">
        <f>SUMPRODUCT(Exposures!$B$8:$K$8,B643:K643)</f>
        <v/>
      </c>
      <c r="R643" s="5">
        <f>SUMPRODUCT(Exposures!$B$9:$K$9,B643:K643)</f>
        <v/>
      </c>
      <c r="S643" s="5">
        <f>SUMPRODUCT(Exposures!$B$10:$K$10,B643:K643)</f>
        <v/>
      </c>
    </row>
    <row r="644">
      <c r="A644" s="1" t="n">
        <v>43390</v>
      </c>
      <c r="B644" s="5" t="n">
        <v>0.001510065172116936</v>
      </c>
      <c r="C644" s="5" t="n">
        <v>-0.0005686406126327386</v>
      </c>
      <c r="D644" s="5" t="n">
        <v>-0.0005706127706469089</v>
      </c>
      <c r="E644" s="5" t="n">
        <v>0.001168540007675538</v>
      </c>
      <c r="F644" s="5" t="n">
        <v>-0.0002365415686808644</v>
      </c>
      <c r="G644" s="5" t="n">
        <v>-0.003917631204866407</v>
      </c>
      <c r="H644" s="5" t="n">
        <v>-0.002933162899590744</v>
      </c>
      <c r="I644" s="5" t="n">
        <v>0.002383734123264853</v>
      </c>
      <c r="J644" s="5" t="n">
        <v>-0.005003773813304333</v>
      </c>
      <c r="K644" s="5" t="n">
        <v>-0.001454098477950747</v>
      </c>
      <c r="L644" s="5" t="n">
        <v>0.0006326666889556719</v>
      </c>
      <c r="M644" s="5">
        <f>SUMPRODUCT(Exposures!$B$6:$K$6,B644:K644)</f>
        <v/>
      </c>
      <c r="N644" s="5">
        <f>IF(AND($A644&gt;=DATE(2020,2,1),$A644&lt;=DATE(2020,5,31)),$M644,"")</f>
        <v/>
      </c>
      <c r="O644" s="5">
        <f>IF(AND($A644&gt;=DATE(2022,1,1),$A644&lt;=DATE(2022,10,31)),$M644,"")</f>
        <v/>
      </c>
      <c r="P644" s="5">
        <f>IF(AND($A644&gt;=DATE(2018,10,1),$A644&lt;=DATE(2018,12,31)),$M644,"")</f>
        <v/>
      </c>
      <c r="Q644" s="5">
        <f>SUMPRODUCT(Exposures!$B$8:$K$8,B644:K644)</f>
        <v/>
      </c>
      <c r="R644" s="5">
        <f>SUMPRODUCT(Exposures!$B$9:$K$9,B644:K644)</f>
        <v/>
      </c>
      <c r="S644" s="5">
        <f>SUMPRODUCT(Exposures!$B$10:$K$10,B644:K644)</f>
        <v/>
      </c>
    </row>
    <row r="645">
      <c r="A645" s="1" t="n">
        <v>43391</v>
      </c>
      <c r="B645" s="5" t="n">
        <v>-0.01043076289598065</v>
      </c>
      <c r="C645" s="5" t="n">
        <v>-0.002694182856901668</v>
      </c>
      <c r="D645" s="5" t="n">
        <v>0.002191713870019157</v>
      </c>
      <c r="E645" s="5" t="n">
        <v>-0.000912279534776128</v>
      </c>
      <c r="F645" s="5" t="n">
        <v>-0.002003981602881169</v>
      </c>
      <c r="G645" s="5" t="n">
        <v>-0.01233914269233343</v>
      </c>
      <c r="H645" s="5" t="n">
        <v>0.001538985546048342</v>
      </c>
      <c r="I645" s="5" t="n">
        <v>-0.00194298212370178</v>
      </c>
      <c r="J645" s="5" t="n">
        <v>0.002832241298170219</v>
      </c>
      <c r="K645" s="5" t="n">
        <v>0.005063229864427149</v>
      </c>
      <c r="L645" s="5" t="n">
        <v>0.001169915340254486</v>
      </c>
      <c r="M645" s="5">
        <f>SUMPRODUCT(Exposures!$B$6:$K$6,B645:K645)</f>
        <v/>
      </c>
      <c r="N645" s="5">
        <f>IF(AND($A645&gt;=DATE(2020,2,1),$A645&lt;=DATE(2020,5,31)),$M645,"")</f>
        <v/>
      </c>
      <c r="O645" s="5">
        <f>IF(AND($A645&gt;=DATE(2022,1,1),$A645&lt;=DATE(2022,10,31)),$M645,"")</f>
        <v/>
      </c>
      <c r="P645" s="5">
        <f>IF(AND($A645&gt;=DATE(2018,10,1),$A645&lt;=DATE(2018,12,31)),$M645,"")</f>
        <v/>
      </c>
      <c r="Q645" s="5">
        <f>SUMPRODUCT(Exposures!$B$8:$K$8,B645:K645)</f>
        <v/>
      </c>
      <c r="R645" s="5">
        <f>SUMPRODUCT(Exposures!$B$9:$K$9,B645:K645)</f>
        <v/>
      </c>
      <c r="S645" s="5">
        <f>SUMPRODUCT(Exposures!$B$10:$K$10,B645:K645)</f>
        <v/>
      </c>
    </row>
    <row r="646">
      <c r="A646" s="1" t="n">
        <v>43392</v>
      </c>
      <c r="B646" s="5" t="n">
        <v>-0.004758996962381533</v>
      </c>
      <c r="C646" s="5" t="n">
        <v>-8.889590416425925e-05</v>
      </c>
      <c r="D646" s="5" t="n">
        <v>-0.003054159589944168</v>
      </c>
      <c r="E646" s="5" t="n">
        <v>-0.0005974126560709357</v>
      </c>
      <c r="F646" s="5" t="n">
        <v>0.001280248563098238</v>
      </c>
      <c r="G646" s="5" t="n">
        <v>-0.007046526998455994</v>
      </c>
      <c r="H646" s="5" t="n">
        <v>-0.005734627360747121</v>
      </c>
      <c r="I646" s="5" t="n">
        <v>-0.0009287319070455085</v>
      </c>
      <c r="J646" s="5" t="n">
        <v>-0.008576787855406883</v>
      </c>
      <c r="K646" s="5" t="n">
        <v>0.001860550760548029</v>
      </c>
      <c r="L646" s="5" t="n">
        <v>0.001360204916748615</v>
      </c>
      <c r="M646" s="5">
        <f>SUMPRODUCT(Exposures!$B$6:$K$6,B646:K646)</f>
        <v/>
      </c>
      <c r="N646" s="5">
        <f>IF(AND($A646&gt;=DATE(2020,2,1),$A646&lt;=DATE(2020,5,31)),$M646,"")</f>
        <v/>
      </c>
      <c r="O646" s="5">
        <f>IF(AND($A646&gt;=DATE(2022,1,1),$A646&lt;=DATE(2022,10,31)),$M646,"")</f>
        <v/>
      </c>
      <c r="P646" s="5">
        <f>IF(AND($A646&gt;=DATE(2018,10,1),$A646&lt;=DATE(2018,12,31)),$M646,"")</f>
        <v/>
      </c>
      <c r="Q646" s="5">
        <f>SUMPRODUCT(Exposures!$B$8:$K$8,B646:K646)</f>
        <v/>
      </c>
      <c r="R646" s="5">
        <f>SUMPRODUCT(Exposures!$B$9:$K$9,B646:K646)</f>
        <v/>
      </c>
      <c r="S646" s="5">
        <f>SUMPRODUCT(Exposures!$B$10:$K$10,B646:K646)</f>
        <v/>
      </c>
    </row>
    <row r="647">
      <c r="A647" s="1" t="n">
        <v>43395</v>
      </c>
      <c r="B647" s="5" t="n">
        <v>-0.0004072857377869082</v>
      </c>
      <c r="C647" s="5" t="n">
        <v>0.0005563614101462713</v>
      </c>
      <c r="D647" s="5" t="n">
        <v>0.002249208463798568</v>
      </c>
      <c r="E647" s="5" t="n">
        <v>-0.005455383825033086</v>
      </c>
      <c r="F647" s="5" t="n">
        <v>0.0153045808300105</v>
      </c>
      <c r="G647" s="5" t="n">
        <v>-0.006291106917109392</v>
      </c>
      <c r="H647" s="5" t="n">
        <v>0.005102068261482558</v>
      </c>
      <c r="I647" s="5" t="n">
        <v>6.552324893580291e-05</v>
      </c>
      <c r="J647" s="5" t="n">
        <v>-0.001526537827659778</v>
      </c>
      <c r="K647" s="5" t="n">
        <v>-0.01378372816275013</v>
      </c>
      <c r="L647" s="5" t="n">
        <v>-0.002705454481241496</v>
      </c>
      <c r="M647" s="5">
        <f>SUMPRODUCT(Exposures!$B$6:$K$6,B647:K647)</f>
        <v/>
      </c>
      <c r="N647" s="5">
        <f>IF(AND($A647&gt;=DATE(2020,2,1),$A647&lt;=DATE(2020,5,31)),$M647,"")</f>
        <v/>
      </c>
      <c r="O647" s="5">
        <f>IF(AND($A647&gt;=DATE(2022,1,1),$A647&lt;=DATE(2022,10,31)),$M647,"")</f>
        <v/>
      </c>
      <c r="P647" s="5">
        <f>IF(AND($A647&gt;=DATE(2018,10,1),$A647&lt;=DATE(2018,12,31)),$M647,"")</f>
        <v/>
      </c>
      <c r="Q647" s="5">
        <f>SUMPRODUCT(Exposures!$B$8:$K$8,B647:K647)</f>
        <v/>
      </c>
      <c r="R647" s="5">
        <f>SUMPRODUCT(Exposures!$B$9:$K$9,B647:K647)</f>
        <v/>
      </c>
      <c r="S647" s="5">
        <f>SUMPRODUCT(Exposures!$B$10:$K$10,B647:K647)</f>
        <v/>
      </c>
    </row>
    <row r="648">
      <c r="A648" s="1" t="n">
        <v>43396</v>
      </c>
      <c r="B648" s="5" t="n">
        <v>-0.00181892337654793</v>
      </c>
      <c r="C648" s="5" t="n">
        <v>-0.002992189111306424</v>
      </c>
      <c r="D648" s="5" t="n">
        <v>-0.003278614299451826</v>
      </c>
      <c r="E648" s="5" t="n">
        <v>-0.0006394741577423972</v>
      </c>
      <c r="F648" s="5" t="n">
        <v>0.00361923319565683</v>
      </c>
      <c r="G648" s="5" t="n">
        <v>-0.003995685702961902</v>
      </c>
      <c r="H648" s="5" t="n">
        <v>-0.002998068135752368</v>
      </c>
      <c r="I648" s="5" t="n">
        <v>0.0008104120005761072</v>
      </c>
      <c r="J648" s="5" t="n">
        <v>0.0006934491496762738</v>
      </c>
      <c r="K648" s="5" t="n">
        <v>-0.003735833679906895</v>
      </c>
      <c r="L648" s="5" t="n">
        <v>0.0001237659964352072</v>
      </c>
      <c r="M648" s="5">
        <f>SUMPRODUCT(Exposures!$B$6:$K$6,B648:K648)</f>
        <v/>
      </c>
      <c r="N648" s="5">
        <f>IF(AND($A648&gt;=DATE(2020,2,1),$A648&lt;=DATE(2020,5,31)),$M648,"")</f>
        <v/>
      </c>
      <c r="O648" s="5">
        <f>IF(AND($A648&gt;=DATE(2022,1,1),$A648&lt;=DATE(2022,10,31)),$M648,"")</f>
        <v/>
      </c>
      <c r="P648" s="5">
        <f>IF(AND($A648&gt;=DATE(2018,10,1),$A648&lt;=DATE(2018,12,31)),$M648,"")</f>
        <v/>
      </c>
      <c r="Q648" s="5">
        <f>SUMPRODUCT(Exposures!$B$8:$K$8,B648:K648)</f>
        <v/>
      </c>
      <c r="R648" s="5">
        <f>SUMPRODUCT(Exposures!$B$9:$K$9,B648:K648)</f>
        <v/>
      </c>
      <c r="S648" s="5">
        <f>SUMPRODUCT(Exposures!$B$10:$K$10,B648:K648)</f>
        <v/>
      </c>
    </row>
    <row r="649">
      <c r="A649" s="1" t="n">
        <v>43397</v>
      </c>
      <c r="B649" s="5" t="n">
        <v>-0.01883706368693779</v>
      </c>
      <c r="C649" s="5" t="n">
        <v>-0.0008355660144390652</v>
      </c>
      <c r="D649" s="5" t="n">
        <v>-0.004034183127145259</v>
      </c>
      <c r="E649" s="5" t="n">
        <v>-0.002910598857429351</v>
      </c>
      <c r="F649" s="5" t="n">
        <v>-0.0006043794118572223</v>
      </c>
      <c r="G649" s="5" t="n">
        <v>-0.03155070874860669</v>
      </c>
      <c r="H649" s="5" t="n">
        <v>0.000903630788458747</v>
      </c>
      <c r="I649" s="5" t="n">
        <v>0.001358030612251791</v>
      </c>
      <c r="J649" s="5" t="n">
        <v>-0.008247639250928605</v>
      </c>
      <c r="K649" s="5" t="n">
        <v>0.002586928452782127</v>
      </c>
      <c r="L649" s="5" t="n">
        <v>0.001424013534684871</v>
      </c>
      <c r="M649" s="5">
        <f>SUMPRODUCT(Exposures!$B$6:$K$6,B649:K649)</f>
        <v/>
      </c>
      <c r="N649" s="5">
        <f>IF(AND($A649&gt;=DATE(2020,2,1),$A649&lt;=DATE(2020,5,31)),$M649,"")</f>
        <v/>
      </c>
      <c r="O649" s="5">
        <f>IF(AND($A649&gt;=DATE(2022,1,1),$A649&lt;=DATE(2022,10,31)),$M649,"")</f>
        <v/>
      </c>
      <c r="P649" s="5">
        <f>IF(AND($A649&gt;=DATE(2018,10,1),$A649&lt;=DATE(2018,12,31)),$M649,"")</f>
        <v/>
      </c>
      <c r="Q649" s="5">
        <f>SUMPRODUCT(Exposures!$B$8:$K$8,B649:K649)</f>
        <v/>
      </c>
      <c r="R649" s="5">
        <f>SUMPRODUCT(Exposures!$B$9:$K$9,B649:K649)</f>
        <v/>
      </c>
      <c r="S649" s="5">
        <f>SUMPRODUCT(Exposures!$B$10:$K$10,B649:K649)</f>
        <v/>
      </c>
    </row>
    <row r="650">
      <c r="A650" s="1" t="n">
        <v>43398</v>
      </c>
      <c r="B650" s="5" t="n">
        <v>0.009907463546107265</v>
      </c>
      <c r="C650" s="5" t="n">
        <v>-7.290922108287782e-05</v>
      </c>
      <c r="D650" s="5" t="n">
        <v>-0.001825548796356625</v>
      </c>
      <c r="E650" s="5" t="n">
        <v>-0.002657509934438206</v>
      </c>
      <c r="F650" s="5" t="n">
        <v>-0.003728279664727788</v>
      </c>
      <c r="G650" s="5" t="n">
        <v>0.01679844144417314</v>
      </c>
      <c r="H650" s="5" t="n">
        <v>-0.007770578186334323</v>
      </c>
      <c r="I650" s="5" t="n">
        <v>0.003069891034937197</v>
      </c>
      <c r="J650" s="5" t="n">
        <v>-0.002035851142982297</v>
      </c>
      <c r="K650" s="5" t="n">
        <v>-0.002708748476667722</v>
      </c>
      <c r="L650" s="5" t="n">
        <v>0.001744583734490861</v>
      </c>
      <c r="M650" s="5">
        <f>SUMPRODUCT(Exposures!$B$6:$K$6,B650:K650)</f>
        <v/>
      </c>
      <c r="N650" s="5">
        <f>IF(AND($A650&gt;=DATE(2020,2,1),$A650&lt;=DATE(2020,5,31)),$M650,"")</f>
        <v/>
      </c>
      <c r="O650" s="5">
        <f>IF(AND($A650&gt;=DATE(2022,1,1),$A650&lt;=DATE(2022,10,31)),$M650,"")</f>
        <v/>
      </c>
      <c r="P650" s="5">
        <f>IF(AND($A650&gt;=DATE(2018,10,1),$A650&lt;=DATE(2018,12,31)),$M650,"")</f>
        <v/>
      </c>
      <c r="Q650" s="5">
        <f>SUMPRODUCT(Exposures!$B$8:$K$8,B650:K650)</f>
        <v/>
      </c>
      <c r="R650" s="5">
        <f>SUMPRODUCT(Exposures!$B$9:$K$9,B650:K650)</f>
        <v/>
      </c>
      <c r="S650" s="5">
        <f>SUMPRODUCT(Exposures!$B$10:$K$10,B650:K650)</f>
        <v/>
      </c>
    </row>
    <row r="651">
      <c r="A651" s="1" t="n">
        <v>43399</v>
      </c>
      <c r="B651" s="5" t="n">
        <v>0.003137092444002192</v>
      </c>
      <c r="C651" s="5" t="n">
        <v>0.0004600227464901896</v>
      </c>
      <c r="D651" s="5" t="n">
        <v>-0.003563593436804153</v>
      </c>
      <c r="E651" s="5" t="n">
        <v>-0.004951596305027907</v>
      </c>
      <c r="F651" s="5" t="n">
        <v>-0.01136876470967954</v>
      </c>
      <c r="G651" s="5" t="n">
        <v>-0.01155003642027578</v>
      </c>
      <c r="H651" s="5" t="n">
        <v>-0.003643701216070597</v>
      </c>
      <c r="I651" s="5" t="n">
        <v>0.00108633433525859</v>
      </c>
      <c r="J651" s="5" t="n">
        <v>-0.003573597223627866</v>
      </c>
      <c r="K651" s="5" t="n">
        <v>0.003756666262858709</v>
      </c>
      <c r="L651" s="5" t="n">
        <v>0.001404546845612997</v>
      </c>
      <c r="M651" s="5">
        <f>SUMPRODUCT(Exposures!$B$6:$K$6,B651:K651)</f>
        <v/>
      </c>
      <c r="N651" s="5">
        <f>IF(AND($A651&gt;=DATE(2020,2,1),$A651&lt;=DATE(2020,5,31)),$M651,"")</f>
        <v/>
      </c>
      <c r="O651" s="5">
        <f>IF(AND($A651&gt;=DATE(2022,1,1),$A651&lt;=DATE(2022,10,31)),$M651,"")</f>
        <v/>
      </c>
      <c r="P651" s="5">
        <f>IF(AND($A651&gt;=DATE(2018,10,1),$A651&lt;=DATE(2018,12,31)),$M651,"")</f>
        <v/>
      </c>
      <c r="Q651" s="5">
        <f>SUMPRODUCT(Exposures!$B$8:$K$8,B651:K651)</f>
        <v/>
      </c>
      <c r="R651" s="5">
        <f>SUMPRODUCT(Exposures!$B$9:$K$9,B651:K651)</f>
        <v/>
      </c>
      <c r="S651" s="5">
        <f>SUMPRODUCT(Exposures!$B$10:$K$10,B651:K651)</f>
        <v/>
      </c>
    </row>
    <row r="652">
      <c r="A652" s="1" t="n">
        <v>43402</v>
      </c>
      <c r="B652" s="5" t="n">
        <v>-0.009777430901735435</v>
      </c>
      <c r="C652" s="5" t="n">
        <v>-0.002396016926437304</v>
      </c>
      <c r="D652" s="5" t="n">
        <v>0.006054651056468139</v>
      </c>
      <c r="E652" s="5" t="n">
        <v>0.004413417222243736</v>
      </c>
      <c r="F652" s="5" t="n">
        <v>0.0005520381742138997</v>
      </c>
      <c r="G652" s="5" t="n">
        <v>-0.005269678762635684</v>
      </c>
      <c r="H652" s="5" t="n">
        <v>-0.005634585606918477</v>
      </c>
      <c r="I652" s="5" t="n">
        <v>-0.0003885776000314496</v>
      </c>
      <c r="J652" s="5" t="n">
        <v>-0.005826013571191865</v>
      </c>
      <c r="K652" s="5" t="n">
        <v>-0.001726178008085684</v>
      </c>
      <c r="L652" s="5" t="n">
        <v>-0.001930431994432008</v>
      </c>
      <c r="M652" s="5">
        <f>SUMPRODUCT(Exposures!$B$6:$K$6,B652:K652)</f>
        <v/>
      </c>
      <c r="N652" s="5">
        <f>IF(AND($A652&gt;=DATE(2020,2,1),$A652&lt;=DATE(2020,5,31)),$M652,"")</f>
        <v/>
      </c>
      <c r="O652" s="5">
        <f>IF(AND($A652&gt;=DATE(2022,1,1),$A652&lt;=DATE(2022,10,31)),$M652,"")</f>
        <v/>
      </c>
      <c r="P652" s="5">
        <f>IF(AND($A652&gt;=DATE(2018,10,1),$A652&lt;=DATE(2018,12,31)),$M652,"")</f>
        <v/>
      </c>
      <c r="Q652" s="5">
        <f>SUMPRODUCT(Exposures!$B$8:$K$8,B652:K652)</f>
        <v/>
      </c>
      <c r="R652" s="5">
        <f>SUMPRODUCT(Exposures!$B$9:$K$9,B652:K652)</f>
        <v/>
      </c>
      <c r="S652" s="5">
        <f>SUMPRODUCT(Exposures!$B$10:$K$10,B652:K652)</f>
        <v/>
      </c>
    </row>
    <row r="653">
      <c r="A653" s="1" t="n">
        <v>43403</v>
      </c>
      <c r="B653" s="5" t="n">
        <v>-0.00182040057333347</v>
      </c>
      <c r="C653" s="5" t="n">
        <v>-0.002107600413755416</v>
      </c>
      <c r="D653" s="5" t="n">
        <v>0.001979173387583101</v>
      </c>
      <c r="E653" s="5" t="n">
        <v>-0.001594421743167256</v>
      </c>
      <c r="F653" s="5" t="n">
        <v>0.003362549539463413</v>
      </c>
      <c r="G653" s="5" t="n">
        <v>0.01777295341032127</v>
      </c>
      <c r="H653" s="5" t="n">
        <v>0.0004082942956708587</v>
      </c>
      <c r="I653" s="5" t="n">
        <v>-0.002457899206537969</v>
      </c>
      <c r="J653" s="5" t="n">
        <v>0.003525038769858162</v>
      </c>
      <c r="K653" s="5" t="n">
        <v>0.001414530268848931</v>
      </c>
      <c r="L653" s="5" t="n">
        <v>0.0006021661290688515</v>
      </c>
      <c r="M653" s="5">
        <f>SUMPRODUCT(Exposures!$B$6:$K$6,B653:K653)</f>
        <v/>
      </c>
      <c r="N653" s="5">
        <f>IF(AND($A653&gt;=DATE(2020,2,1),$A653&lt;=DATE(2020,5,31)),$M653,"")</f>
        <v/>
      </c>
      <c r="O653" s="5">
        <f>IF(AND($A653&gt;=DATE(2022,1,1),$A653&lt;=DATE(2022,10,31)),$M653,"")</f>
        <v/>
      </c>
      <c r="P653" s="5">
        <f>IF(AND($A653&gt;=DATE(2018,10,1),$A653&lt;=DATE(2018,12,31)),$M653,"")</f>
        <v/>
      </c>
      <c r="Q653" s="5">
        <f>SUMPRODUCT(Exposures!$B$8:$K$8,B653:K653)</f>
        <v/>
      </c>
      <c r="R653" s="5">
        <f>SUMPRODUCT(Exposures!$B$9:$K$9,B653:K653)</f>
        <v/>
      </c>
      <c r="S653" s="5">
        <f>SUMPRODUCT(Exposures!$B$10:$K$10,B653:K653)</f>
        <v/>
      </c>
    </row>
    <row r="654">
      <c r="A654" s="1" t="n">
        <v>43404</v>
      </c>
      <c r="B654" s="5" t="n">
        <v>0.004589615843401371</v>
      </c>
      <c r="C654" s="5" t="n">
        <v>-0.0052705923462799</v>
      </c>
      <c r="D654" s="5" t="n">
        <v>0.003677694919993594</v>
      </c>
      <c r="E654" s="5" t="n">
        <v>-0.0006370546831253544</v>
      </c>
      <c r="F654" s="5" t="n">
        <v>0.003410537234924275</v>
      </c>
      <c r="G654" s="5" t="n">
        <v>0.007507432461572111</v>
      </c>
      <c r="H654" s="5" t="n">
        <v>0.004722857717522387</v>
      </c>
      <c r="I654" s="5" t="n">
        <v>0.0006293716075029569</v>
      </c>
      <c r="J654" s="5" t="n">
        <v>0.003812637660462174</v>
      </c>
      <c r="K654" s="5" t="n">
        <v>0.001230378935086526</v>
      </c>
      <c r="L654" s="5" t="n">
        <v>0.007634119071046757</v>
      </c>
      <c r="M654" s="5">
        <f>SUMPRODUCT(Exposures!$B$6:$K$6,B654:K654)</f>
        <v/>
      </c>
      <c r="N654" s="5">
        <f>IF(AND($A654&gt;=DATE(2020,2,1),$A654&lt;=DATE(2020,5,31)),$M654,"")</f>
        <v/>
      </c>
      <c r="O654" s="5">
        <f>IF(AND($A654&gt;=DATE(2022,1,1),$A654&lt;=DATE(2022,10,31)),$M654,"")</f>
        <v/>
      </c>
      <c r="P654" s="5">
        <f>IF(AND($A654&gt;=DATE(2018,10,1),$A654&lt;=DATE(2018,12,31)),$M654,"")</f>
        <v/>
      </c>
      <c r="Q654" s="5">
        <f>SUMPRODUCT(Exposures!$B$8:$K$8,B654:K654)</f>
        <v/>
      </c>
      <c r="R654" s="5">
        <f>SUMPRODUCT(Exposures!$B$9:$K$9,B654:K654)</f>
        <v/>
      </c>
      <c r="S654" s="5">
        <f>SUMPRODUCT(Exposures!$B$10:$K$10,B654:K654)</f>
        <v/>
      </c>
    </row>
    <row r="655">
      <c r="A655" s="1" t="n">
        <v>43405</v>
      </c>
      <c r="B655" s="5" t="n">
        <v>0.01016208983448317</v>
      </c>
      <c r="C655" s="5" t="n">
        <v>-0.000218752317282695</v>
      </c>
      <c r="D655" s="5" t="n">
        <v>0.002325083258326164</v>
      </c>
      <c r="E655" s="5" t="n">
        <v>0.000305780158628541</v>
      </c>
      <c r="F655" s="5" t="n">
        <v>0.01044349251391519</v>
      </c>
      <c r="G655" s="5" t="n">
        <v>0.02147330472239252</v>
      </c>
      <c r="H655" s="5" t="n">
        <v>-0.007884788286237312</v>
      </c>
      <c r="I655" s="5" t="n">
        <v>-0.004139719761684215</v>
      </c>
      <c r="J655" s="5" t="n">
        <v>0.01116723697812265</v>
      </c>
      <c r="K655" s="5" t="n">
        <v>-0.008512317390572219</v>
      </c>
      <c r="L655" s="5" t="n">
        <v>-0.005162391639574938</v>
      </c>
      <c r="M655" s="5">
        <f>SUMPRODUCT(Exposures!$B$6:$K$6,B655:K655)</f>
        <v/>
      </c>
      <c r="N655" s="5">
        <f>IF(AND($A655&gt;=DATE(2020,2,1),$A655&lt;=DATE(2020,5,31)),$M655,"")</f>
        <v/>
      </c>
      <c r="O655" s="5">
        <f>IF(AND($A655&gt;=DATE(2022,1,1),$A655&lt;=DATE(2022,10,31)),$M655,"")</f>
        <v/>
      </c>
      <c r="P655" s="5">
        <f>IF(AND($A655&gt;=DATE(2018,10,1),$A655&lt;=DATE(2018,12,31)),$M655,"")</f>
        <v/>
      </c>
      <c r="Q655" s="5">
        <f>SUMPRODUCT(Exposures!$B$8:$K$8,B655:K655)</f>
        <v/>
      </c>
      <c r="R655" s="5">
        <f>SUMPRODUCT(Exposures!$B$9:$K$9,B655:K655)</f>
        <v/>
      </c>
      <c r="S655" s="5">
        <f>SUMPRODUCT(Exposures!$B$10:$K$10,B655:K655)</f>
        <v/>
      </c>
    </row>
    <row r="656">
      <c r="A656" s="1" t="n">
        <v>43406</v>
      </c>
      <c r="B656" s="5" t="n">
        <v>0.001588406103603009</v>
      </c>
      <c r="C656" s="5" t="n">
        <v>-0.0005726176502881522</v>
      </c>
      <c r="D656" s="5" t="n">
        <v>0.001643586591741626</v>
      </c>
      <c r="E656" s="5" t="n">
        <v>-0.001715730441432466</v>
      </c>
      <c r="F656" s="5" t="n">
        <v>-0.01014869264977458</v>
      </c>
      <c r="G656" s="5" t="n">
        <v>0.0004275546725858741</v>
      </c>
      <c r="H656" s="5" t="n">
        <v>5.589458780405122e-06</v>
      </c>
      <c r="I656" s="5" t="n">
        <v>0.00104047411952567</v>
      </c>
      <c r="J656" s="5" t="n">
        <v>0.001962532749796995</v>
      </c>
      <c r="K656" s="5" t="n">
        <v>0.002017193153767121</v>
      </c>
      <c r="L656" s="5" t="n">
        <v>0.002901322974806921</v>
      </c>
      <c r="M656" s="5">
        <f>SUMPRODUCT(Exposures!$B$6:$K$6,B656:K656)</f>
        <v/>
      </c>
      <c r="N656" s="5">
        <f>IF(AND($A656&gt;=DATE(2020,2,1),$A656&lt;=DATE(2020,5,31)),$M656,"")</f>
        <v/>
      </c>
      <c r="O656" s="5">
        <f>IF(AND($A656&gt;=DATE(2022,1,1),$A656&lt;=DATE(2022,10,31)),$M656,"")</f>
        <v/>
      </c>
      <c r="P656" s="5">
        <f>IF(AND($A656&gt;=DATE(2018,10,1),$A656&lt;=DATE(2018,12,31)),$M656,"")</f>
        <v/>
      </c>
      <c r="Q656" s="5">
        <f>SUMPRODUCT(Exposures!$B$8:$K$8,B656:K656)</f>
        <v/>
      </c>
      <c r="R656" s="5">
        <f>SUMPRODUCT(Exposures!$B$9:$K$9,B656:K656)</f>
        <v/>
      </c>
      <c r="S656" s="5">
        <f>SUMPRODUCT(Exposures!$B$10:$K$10,B656:K656)</f>
        <v/>
      </c>
    </row>
    <row r="657">
      <c r="A657" s="1" t="n">
        <v>43409</v>
      </c>
      <c r="B657" s="5" t="n">
        <v>-0.005740701369369388</v>
      </c>
      <c r="C657" s="5" t="n">
        <v>-0.00154466449307161</v>
      </c>
      <c r="D657" s="5" t="n">
        <v>-0.001667463531416272</v>
      </c>
      <c r="E657" s="5" t="n">
        <v>0.00242154349888521</v>
      </c>
      <c r="F657" s="5" t="n">
        <v>-0.01280367465288179</v>
      </c>
      <c r="G657" s="5" t="n">
        <v>0.002050439604502563</v>
      </c>
      <c r="H657" s="5" t="n">
        <v>0.003285703981496378</v>
      </c>
      <c r="I657" s="5" t="n">
        <v>-0.0005636242369405022</v>
      </c>
      <c r="J657" s="5" t="n">
        <v>0.0002609997661247082</v>
      </c>
      <c r="K657" s="5" t="n">
        <v>0.01667016011757894</v>
      </c>
      <c r="L657" s="5" t="n">
        <v>0.002550939425781101</v>
      </c>
      <c r="M657" s="5">
        <f>SUMPRODUCT(Exposures!$B$6:$K$6,B657:K657)</f>
        <v/>
      </c>
      <c r="N657" s="5">
        <f>IF(AND($A657&gt;=DATE(2020,2,1),$A657&lt;=DATE(2020,5,31)),$M657,"")</f>
        <v/>
      </c>
      <c r="O657" s="5">
        <f>IF(AND($A657&gt;=DATE(2022,1,1),$A657&lt;=DATE(2022,10,31)),$M657,"")</f>
        <v/>
      </c>
      <c r="P657" s="5">
        <f>IF(AND($A657&gt;=DATE(2018,10,1),$A657&lt;=DATE(2018,12,31)),$M657,"")</f>
        <v/>
      </c>
      <c r="Q657" s="5">
        <f>SUMPRODUCT(Exposures!$B$8:$K$8,B657:K657)</f>
        <v/>
      </c>
      <c r="R657" s="5">
        <f>SUMPRODUCT(Exposures!$B$9:$K$9,B657:K657)</f>
        <v/>
      </c>
      <c r="S657" s="5">
        <f>SUMPRODUCT(Exposures!$B$10:$K$10,B657:K657)</f>
        <v/>
      </c>
    </row>
    <row r="658">
      <c r="A658" s="1" t="n">
        <v>43410</v>
      </c>
      <c r="B658" s="5" t="n">
        <v>-0.000925549525005693</v>
      </c>
      <c r="C658" s="5" t="n">
        <v>0.001051093992434481</v>
      </c>
      <c r="D658" s="5" t="n">
        <v>-0.002524351282329528</v>
      </c>
      <c r="E658" s="5" t="n">
        <v>0.001528048017687646</v>
      </c>
      <c r="F658" s="5" t="n">
        <v>0.008759921136770312</v>
      </c>
      <c r="G658" s="5" t="n">
        <v>0.01006224555065843</v>
      </c>
      <c r="H658" s="5" t="n">
        <v>0.0003528386981344198</v>
      </c>
      <c r="I658" s="5" t="n">
        <v>0.001980491433417824</v>
      </c>
      <c r="J658" s="5" t="n">
        <v>-0.000944320915605674</v>
      </c>
      <c r="K658" s="5" t="n">
        <v>-0.01078079041332347</v>
      </c>
      <c r="L658" s="5" t="n">
        <v>-0.002067194395930985</v>
      </c>
      <c r="M658" s="5">
        <f>SUMPRODUCT(Exposures!$B$6:$K$6,B658:K658)</f>
        <v/>
      </c>
      <c r="N658" s="5">
        <f>IF(AND($A658&gt;=DATE(2020,2,1),$A658&lt;=DATE(2020,5,31)),$M658,"")</f>
        <v/>
      </c>
      <c r="O658" s="5">
        <f>IF(AND($A658&gt;=DATE(2022,1,1),$A658&lt;=DATE(2022,10,31)),$M658,"")</f>
        <v/>
      </c>
      <c r="P658" s="5">
        <f>IF(AND($A658&gt;=DATE(2018,10,1),$A658&lt;=DATE(2018,12,31)),$M658,"")</f>
        <v/>
      </c>
      <c r="Q658" s="5">
        <f>SUMPRODUCT(Exposures!$B$8:$K$8,B658:K658)</f>
        <v/>
      </c>
      <c r="R658" s="5">
        <f>SUMPRODUCT(Exposures!$B$9:$K$9,B658:K658)</f>
        <v/>
      </c>
      <c r="S658" s="5">
        <f>SUMPRODUCT(Exposures!$B$10:$K$10,B658:K658)</f>
        <v/>
      </c>
    </row>
    <row r="659">
      <c r="A659" s="1" t="n">
        <v>43411</v>
      </c>
      <c r="B659" s="5" t="n">
        <v>0.004258141735646198</v>
      </c>
      <c r="C659" s="5" t="n">
        <v>-0.001282857720300805</v>
      </c>
      <c r="D659" s="5" t="n">
        <v>-0.003076664145269319</v>
      </c>
      <c r="E659" s="5" t="n">
        <v>-6.699693821905794e-05</v>
      </c>
      <c r="F659" s="5" t="n">
        <v>0.008143766311964607</v>
      </c>
      <c r="G659" s="5" t="n">
        <v>0.01501433568049156</v>
      </c>
      <c r="H659" s="5" t="n">
        <v>0.008684978958972746</v>
      </c>
      <c r="I659" s="5" t="n">
        <v>0.001046841471736998</v>
      </c>
      <c r="J659" s="5" t="n">
        <v>-0.005671281987310067</v>
      </c>
      <c r="K659" s="5" t="n">
        <v>-0.005525599130932358</v>
      </c>
      <c r="L659" s="5" t="n">
        <v>-0.0026292500252304</v>
      </c>
      <c r="M659" s="5">
        <f>SUMPRODUCT(Exposures!$B$6:$K$6,B659:K659)</f>
        <v/>
      </c>
      <c r="N659" s="5">
        <f>IF(AND($A659&gt;=DATE(2020,2,1),$A659&lt;=DATE(2020,5,31)),$M659,"")</f>
        <v/>
      </c>
      <c r="O659" s="5">
        <f>IF(AND($A659&gt;=DATE(2022,1,1),$A659&lt;=DATE(2022,10,31)),$M659,"")</f>
        <v/>
      </c>
      <c r="P659" s="5">
        <f>IF(AND($A659&gt;=DATE(2018,10,1),$A659&lt;=DATE(2018,12,31)),$M659,"")</f>
        <v/>
      </c>
      <c r="Q659" s="5">
        <f>SUMPRODUCT(Exposures!$B$8:$K$8,B659:K659)</f>
        <v/>
      </c>
      <c r="R659" s="5">
        <f>SUMPRODUCT(Exposures!$B$9:$K$9,B659:K659)</f>
        <v/>
      </c>
      <c r="S659" s="5">
        <f>SUMPRODUCT(Exposures!$B$10:$K$10,B659:K659)</f>
        <v/>
      </c>
    </row>
    <row r="660">
      <c r="A660" s="1" t="n">
        <v>43412</v>
      </c>
      <c r="B660" s="5" t="n">
        <v>-0.002077236013223728</v>
      </c>
      <c r="C660" s="5" t="n">
        <v>-0.0002374155653505884</v>
      </c>
      <c r="D660" s="5" t="n">
        <v>0.0009818883586246658</v>
      </c>
      <c r="E660" s="5" t="n">
        <v>0.0005429356233428234</v>
      </c>
      <c r="F660" s="5" t="n">
        <v>-0.00980427038048351</v>
      </c>
      <c r="G660" s="5" t="n">
        <v>0.0008072443489020995</v>
      </c>
      <c r="H660" s="5" t="n">
        <v>0.004397729656106723</v>
      </c>
      <c r="I660" s="5" t="n">
        <v>-0.001265190299496259</v>
      </c>
      <c r="J660" s="5" t="n">
        <v>0.002824102309026185</v>
      </c>
      <c r="K660" s="5" t="n">
        <v>0.009941855804157318</v>
      </c>
      <c r="L660" s="5" t="n">
        <v>0.003359762815151875</v>
      </c>
      <c r="M660" s="5">
        <f>SUMPRODUCT(Exposures!$B$6:$K$6,B660:K660)</f>
        <v/>
      </c>
      <c r="N660" s="5">
        <f>IF(AND($A660&gt;=DATE(2020,2,1),$A660&lt;=DATE(2020,5,31)),$M660,"")</f>
        <v/>
      </c>
      <c r="O660" s="5">
        <f>IF(AND($A660&gt;=DATE(2022,1,1),$A660&lt;=DATE(2022,10,31)),$M660,"")</f>
        <v/>
      </c>
      <c r="P660" s="5">
        <f>IF(AND($A660&gt;=DATE(2018,10,1),$A660&lt;=DATE(2018,12,31)),$M660,"")</f>
        <v/>
      </c>
      <c r="Q660" s="5">
        <f>SUMPRODUCT(Exposures!$B$8:$K$8,B660:K660)</f>
        <v/>
      </c>
      <c r="R660" s="5">
        <f>SUMPRODUCT(Exposures!$B$9:$K$9,B660:K660)</f>
        <v/>
      </c>
      <c r="S660" s="5">
        <f>SUMPRODUCT(Exposures!$B$10:$K$10,B660:K660)</f>
        <v/>
      </c>
    </row>
    <row r="661">
      <c r="A661" s="1" t="n">
        <v>43413</v>
      </c>
      <c r="B661" s="5" t="n">
        <v>-0.008300834921978813</v>
      </c>
      <c r="C661" s="5" t="n">
        <v>0.0001372720796683052</v>
      </c>
      <c r="D661" s="5" t="n">
        <v>0.001790438178175279</v>
      </c>
      <c r="E661" s="5" t="n">
        <v>0.001239107914959705</v>
      </c>
      <c r="F661" s="5" t="n">
        <v>0.004799172544049917</v>
      </c>
      <c r="G661" s="5" t="n">
        <v>-0.01291465576500368</v>
      </c>
      <c r="H661" s="5" t="n">
        <v>-0.001477403078974125</v>
      </c>
      <c r="I661" s="5" t="n">
        <v>0.002188735560369333</v>
      </c>
      <c r="J661" s="5" t="n">
        <v>-0.008336448368113598</v>
      </c>
      <c r="K661" s="5" t="n">
        <v>-0.005823772697115549</v>
      </c>
      <c r="L661" s="5" t="n">
        <v>-0.003981268222309419</v>
      </c>
      <c r="M661" s="5">
        <f>SUMPRODUCT(Exposures!$B$6:$K$6,B661:K661)</f>
        <v/>
      </c>
      <c r="N661" s="5">
        <f>IF(AND($A661&gt;=DATE(2020,2,1),$A661&lt;=DATE(2020,5,31)),$M661,"")</f>
        <v/>
      </c>
      <c r="O661" s="5">
        <f>IF(AND($A661&gt;=DATE(2022,1,1),$A661&lt;=DATE(2022,10,31)),$M661,"")</f>
        <v/>
      </c>
      <c r="P661" s="5">
        <f>IF(AND($A661&gt;=DATE(2018,10,1),$A661&lt;=DATE(2018,12,31)),$M661,"")</f>
        <v/>
      </c>
      <c r="Q661" s="5">
        <f>SUMPRODUCT(Exposures!$B$8:$K$8,B661:K661)</f>
        <v/>
      </c>
      <c r="R661" s="5">
        <f>SUMPRODUCT(Exposures!$B$9:$K$9,B661:K661)</f>
        <v/>
      </c>
      <c r="S661" s="5">
        <f>SUMPRODUCT(Exposures!$B$10:$K$10,B661:K661)</f>
        <v/>
      </c>
    </row>
    <row r="662">
      <c r="A662" s="1" t="n">
        <v>43416</v>
      </c>
      <c r="B662" s="5" t="n">
        <v>-0.01029817479625576</v>
      </c>
      <c r="C662" s="5" t="n">
        <v>0.001279230484147983</v>
      </c>
      <c r="D662" s="5" t="n">
        <v>-0.0017697299256103</v>
      </c>
      <c r="E662" s="5" t="n">
        <v>0.001595874023944182</v>
      </c>
      <c r="F662" s="5" t="n">
        <v>-0.005340076495495133</v>
      </c>
      <c r="G662" s="5" t="n">
        <v>-0.01792571660841965</v>
      </c>
      <c r="H662" s="5" t="n">
        <v>-0.004517339021772327</v>
      </c>
      <c r="I662" s="5" t="n">
        <v>-4.893017912754091e-05</v>
      </c>
      <c r="J662" s="5" t="n">
        <v>-0.0004895609612548799</v>
      </c>
      <c r="K662" s="5" t="n">
        <v>0.005995341230428565</v>
      </c>
      <c r="L662" s="5" t="n">
        <v>-0.001143815095242142</v>
      </c>
      <c r="M662" s="5">
        <f>SUMPRODUCT(Exposures!$B$6:$K$6,B662:K662)</f>
        <v/>
      </c>
      <c r="N662" s="5">
        <f>IF(AND($A662&gt;=DATE(2020,2,1),$A662&lt;=DATE(2020,5,31)),$M662,"")</f>
        <v/>
      </c>
      <c r="O662" s="5">
        <f>IF(AND($A662&gt;=DATE(2022,1,1),$A662&lt;=DATE(2022,10,31)),$M662,"")</f>
        <v/>
      </c>
      <c r="P662" s="5">
        <f>IF(AND($A662&gt;=DATE(2018,10,1),$A662&lt;=DATE(2018,12,31)),$M662,"")</f>
        <v/>
      </c>
      <c r="Q662" s="5">
        <f>SUMPRODUCT(Exposures!$B$8:$K$8,B662:K662)</f>
        <v/>
      </c>
      <c r="R662" s="5">
        <f>SUMPRODUCT(Exposures!$B$9:$K$9,B662:K662)</f>
        <v/>
      </c>
      <c r="S662" s="5">
        <f>SUMPRODUCT(Exposures!$B$10:$K$10,B662:K662)</f>
        <v/>
      </c>
    </row>
    <row r="663">
      <c r="A663" s="1" t="n">
        <v>43417</v>
      </c>
      <c r="B663" s="5" t="n">
        <v>0.002714627541201443</v>
      </c>
      <c r="C663" s="5" t="n">
        <v>0.002636365397953194</v>
      </c>
      <c r="D663" s="5" t="n">
        <v>0.002529045681520533</v>
      </c>
      <c r="E663" s="5" t="n">
        <v>0.002530048272105856</v>
      </c>
      <c r="F663" s="5" t="n">
        <v>0.00666215782506055</v>
      </c>
      <c r="G663" s="5" t="n">
        <v>0.0004790783803259617</v>
      </c>
      <c r="H663" s="5" t="n">
        <v>-0.001893652117386085</v>
      </c>
      <c r="I663" s="5" t="n">
        <v>-0.001161953355964024</v>
      </c>
      <c r="J663" s="5" t="n">
        <v>-0.002274437001762422</v>
      </c>
      <c r="K663" s="5" t="n">
        <v>-0.007344820658996643</v>
      </c>
      <c r="L663" s="5" t="n">
        <v>-0.00206870306204591</v>
      </c>
      <c r="M663" s="5">
        <f>SUMPRODUCT(Exposures!$B$6:$K$6,B663:K663)</f>
        <v/>
      </c>
      <c r="N663" s="5">
        <f>IF(AND($A663&gt;=DATE(2020,2,1),$A663&lt;=DATE(2020,5,31)),$M663,"")</f>
        <v/>
      </c>
      <c r="O663" s="5">
        <f>IF(AND($A663&gt;=DATE(2022,1,1),$A663&lt;=DATE(2022,10,31)),$M663,"")</f>
        <v/>
      </c>
      <c r="P663" s="5">
        <f>IF(AND($A663&gt;=DATE(2018,10,1),$A663&lt;=DATE(2018,12,31)),$M663,"")</f>
        <v/>
      </c>
      <c r="Q663" s="5">
        <f>SUMPRODUCT(Exposures!$B$8:$K$8,B663:K663)</f>
        <v/>
      </c>
      <c r="R663" s="5">
        <f>SUMPRODUCT(Exposures!$B$9:$K$9,B663:K663)</f>
        <v/>
      </c>
      <c r="S663" s="5">
        <f>SUMPRODUCT(Exposures!$B$10:$K$10,B663:K663)</f>
        <v/>
      </c>
    </row>
    <row r="664">
      <c r="A664" s="1" t="n">
        <v>43418</v>
      </c>
      <c r="B664" s="5" t="n">
        <v>-0.002820478803362174</v>
      </c>
      <c r="C664" s="5" t="n">
        <v>0.003121653186360459</v>
      </c>
      <c r="D664" s="5" t="n">
        <v>-0.001034381989844239</v>
      </c>
      <c r="E664" s="5" t="n">
        <v>-0.001505163339628344</v>
      </c>
      <c r="F664" s="5" t="n">
        <v>0.008065278049363116</v>
      </c>
      <c r="G664" s="5" t="n">
        <v>-0.005847403139193606</v>
      </c>
      <c r="H664" s="5" t="n">
        <v>-0.003781050744354073</v>
      </c>
      <c r="I664" s="5" t="n">
        <v>0.0002766844140763694</v>
      </c>
      <c r="J664" s="5" t="n">
        <v>0.000316865498183833</v>
      </c>
      <c r="K664" s="5" t="n">
        <v>-0.006709743935807819</v>
      </c>
      <c r="L664" s="5" t="n">
        <v>-0.004419849295044105</v>
      </c>
      <c r="M664" s="5">
        <f>SUMPRODUCT(Exposures!$B$6:$K$6,B664:K664)</f>
        <v/>
      </c>
      <c r="N664" s="5">
        <f>IF(AND($A664&gt;=DATE(2020,2,1),$A664&lt;=DATE(2020,5,31)),$M664,"")</f>
        <v/>
      </c>
      <c r="O664" s="5">
        <f>IF(AND($A664&gt;=DATE(2022,1,1),$A664&lt;=DATE(2022,10,31)),$M664,"")</f>
        <v/>
      </c>
      <c r="P664" s="5">
        <f>IF(AND($A664&gt;=DATE(2018,10,1),$A664&lt;=DATE(2018,12,31)),$M664,"")</f>
        <v/>
      </c>
      <c r="Q664" s="5">
        <f>SUMPRODUCT(Exposures!$B$8:$K$8,B664:K664)</f>
        <v/>
      </c>
      <c r="R664" s="5">
        <f>SUMPRODUCT(Exposures!$B$9:$K$9,B664:K664)</f>
        <v/>
      </c>
      <c r="S664" s="5">
        <f>SUMPRODUCT(Exposures!$B$10:$K$10,B664:K664)</f>
        <v/>
      </c>
    </row>
    <row r="665">
      <c r="A665" s="1" t="n">
        <v>43419</v>
      </c>
      <c r="B665" s="5" t="n">
        <v>0.009230062756598163</v>
      </c>
      <c r="C665" s="5" t="n">
        <v>-0.001920498143367523</v>
      </c>
      <c r="D665" s="5" t="n">
        <v>-0.0003515966353120894</v>
      </c>
      <c r="E665" s="5" t="n">
        <v>-0.001558224658580661</v>
      </c>
      <c r="F665" s="5" t="n">
        <v>-0.003270607239437975</v>
      </c>
      <c r="G665" s="5" t="n">
        <v>0.01242065608434698</v>
      </c>
      <c r="H665" s="5" t="n">
        <v>-7.77052740621532e-05</v>
      </c>
      <c r="I665" s="5" t="n">
        <v>-0.001282725447783128</v>
      </c>
      <c r="J665" s="5" t="n">
        <v>0.0002514841264483832</v>
      </c>
      <c r="K665" s="5" t="n">
        <v>0.004735715249611204</v>
      </c>
      <c r="L665" s="5" t="n">
        <v>0.00208006614682996</v>
      </c>
      <c r="M665" s="5">
        <f>SUMPRODUCT(Exposures!$B$6:$K$6,B665:K665)</f>
        <v/>
      </c>
      <c r="N665" s="5">
        <f>IF(AND($A665&gt;=DATE(2020,2,1),$A665&lt;=DATE(2020,5,31)),$M665,"")</f>
        <v/>
      </c>
      <c r="O665" s="5">
        <f>IF(AND($A665&gt;=DATE(2022,1,1),$A665&lt;=DATE(2022,10,31)),$M665,"")</f>
        <v/>
      </c>
      <c r="P665" s="5">
        <f>IF(AND($A665&gt;=DATE(2018,10,1),$A665&lt;=DATE(2018,12,31)),$M665,"")</f>
        <v/>
      </c>
      <c r="Q665" s="5">
        <f>SUMPRODUCT(Exposures!$B$8:$K$8,B665:K665)</f>
        <v/>
      </c>
      <c r="R665" s="5">
        <f>SUMPRODUCT(Exposures!$B$9:$K$9,B665:K665)</f>
        <v/>
      </c>
      <c r="S665" s="5">
        <f>SUMPRODUCT(Exposures!$B$10:$K$10,B665:K665)</f>
        <v/>
      </c>
    </row>
    <row r="666">
      <c r="A666" s="1" t="n">
        <v>43420</v>
      </c>
      <c r="B666" s="5" t="n">
        <v>-1.260262878745137e-05</v>
      </c>
      <c r="C666" s="5" t="n">
        <v>-0.002197710997311534</v>
      </c>
      <c r="D666" s="5" t="n">
        <v>0.002762654152888284</v>
      </c>
      <c r="E666" s="5" t="n">
        <v>-0.001855457413015314</v>
      </c>
      <c r="F666" s="5" t="n">
        <v>-0.008715599988854988</v>
      </c>
      <c r="G666" s="5" t="n">
        <v>0.001278549118310628</v>
      </c>
      <c r="H666" s="5" t="n">
        <v>-0.001082030539879472</v>
      </c>
      <c r="I666" s="5" t="n">
        <v>0.0001365297748097791</v>
      </c>
      <c r="J666" s="5" t="n">
        <v>-0.002404089283427521</v>
      </c>
      <c r="K666" s="5" t="n">
        <v>0.008169425554369019</v>
      </c>
      <c r="L666" s="5" t="n">
        <v>2.683541949817854e-05</v>
      </c>
      <c r="M666" s="5">
        <f>SUMPRODUCT(Exposures!$B$6:$K$6,B666:K666)</f>
        <v/>
      </c>
      <c r="N666" s="5">
        <f>IF(AND($A666&gt;=DATE(2020,2,1),$A666&lt;=DATE(2020,5,31)),$M666,"")</f>
        <v/>
      </c>
      <c r="O666" s="5">
        <f>IF(AND($A666&gt;=DATE(2022,1,1),$A666&lt;=DATE(2022,10,31)),$M666,"")</f>
        <v/>
      </c>
      <c r="P666" s="5">
        <f>IF(AND($A666&gt;=DATE(2018,10,1),$A666&lt;=DATE(2018,12,31)),$M666,"")</f>
        <v/>
      </c>
      <c r="Q666" s="5">
        <f>SUMPRODUCT(Exposures!$B$8:$K$8,B666:K666)</f>
        <v/>
      </c>
      <c r="R666" s="5">
        <f>SUMPRODUCT(Exposures!$B$9:$K$9,B666:K666)</f>
        <v/>
      </c>
      <c r="S666" s="5">
        <f>SUMPRODUCT(Exposures!$B$10:$K$10,B666:K666)</f>
        <v/>
      </c>
    </row>
    <row r="667">
      <c r="A667" s="1" t="n">
        <v>43423</v>
      </c>
      <c r="B667" s="5" t="n">
        <v>-0.008224897587299555</v>
      </c>
      <c r="C667" s="5" t="n">
        <v>0.002025858713947198</v>
      </c>
      <c r="D667" s="5" t="n">
        <v>0.002115600408115753</v>
      </c>
      <c r="E667" s="5" t="n">
        <v>0.003634537704647397</v>
      </c>
      <c r="F667" s="5" t="n">
        <v>-0.009113154330256418</v>
      </c>
      <c r="G667" s="5" t="n">
        <v>-0.01877120048631231</v>
      </c>
      <c r="H667" s="5" t="n">
        <v>-0.005088295696809509</v>
      </c>
      <c r="I667" s="5" t="n">
        <v>0.00120679753184741</v>
      </c>
      <c r="J667" s="5" t="n">
        <v>-0.006125350671591225</v>
      </c>
      <c r="K667" s="5" t="n">
        <v>0.006533005580282122</v>
      </c>
      <c r="L667" s="5" t="n">
        <v>0.00144513743079533</v>
      </c>
      <c r="M667" s="5">
        <f>SUMPRODUCT(Exposures!$B$6:$K$6,B667:K667)</f>
        <v/>
      </c>
      <c r="N667" s="5">
        <f>IF(AND($A667&gt;=DATE(2020,2,1),$A667&lt;=DATE(2020,5,31)),$M667,"")</f>
        <v/>
      </c>
      <c r="O667" s="5">
        <f>IF(AND($A667&gt;=DATE(2022,1,1),$A667&lt;=DATE(2022,10,31)),$M667,"")</f>
        <v/>
      </c>
      <c r="P667" s="5">
        <f>IF(AND($A667&gt;=DATE(2018,10,1),$A667&lt;=DATE(2018,12,31)),$M667,"")</f>
        <v/>
      </c>
      <c r="Q667" s="5">
        <f>SUMPRODUCT(Exposures!$B$8:$K$8,B667:K667)</f>
        <v/>
      </c>
      <c r="R667" s="5">
        <f>SUMPRODUCT(Exposures!$B$9:$K$9,B667:K667)</f>
        <v/>
      </c>
      <c r="S667" s="5">
        <f>SUMPRODUCT(Exposures!$B$10:$K$10,B667:K667)</f>
        <v/>
      </c>
    </row>
    <row r="668">
      <c r="A668" s="1" t="n">
        <v>43424</v>
      </c>
      <c r="B668" s="5" t="n">
        <v>0.0006748855821475201</v>
      </c>
      <c r="C668" s="5" t="n">
        <v>0.0009786325909306752</v>
      </c>
      <c r="D668" s="5" t="n">
        <v>-0.0007502608809706649</v>
      </c>
      <c r="E668" s="5" t="n">
        <v>-0.0009078918437237431</v>
      </c>
      <c r="F668" s="5" t="n">
        <v>0.007375183453163642</v>
      </c>
      <c r="G668" s="5" t="n">
        <v>-0.01247330225822496</v>
      </c>
      <c r="H668" s="5" t="n">
        <v>-0.004647455606758597</v>
      </c>
      <c r="I668" s="5" t="n">
        <v>0.001789116686580239</v>
      </c>
      <c r="J668" s="5" t="n">
        <v>-0.002918766439358669</v>
      </c>
      <c r="K668" s="5" t="n">
        <v>-0.01148887645330744</v>
      </c>
      <c r="L668" s="5" t="n">
        <v>-0.005154402399653835</v>
      </c>
      <c r="M668" s="5">
        <f>SUMPRODUCT(Exposures!$B$6:$K$6,B668:K668)</f>
        <v/>
      </c>
      <c r="N668" s="5">
        <f>IF(AND($A668&gt;=DATE(2020,2,1),$A668&lt;=DATE(2020,5,31)),$M668,"")</f>
        <v/>
      </c>
      <c r="O668" s="5">
        <f>IF(AND($A668&gt;=DATE(2022,1,1),$A668&lt;=DATE(2022,10,31)),$M668,"")</f>
        <v/>
      </c>
      <c r="P668" s="5">
        <f>IF(AND($A668&gt;=DATE(2018,10,1),$A668&lt;=DATE(2018,12,31)),$M668,"")</f>
        <v/>
      </c>
      <c r="Q668" s="5">
        <f>SUMPRODUCT(Exposures!$B$8:$K$8,B668:K668)</f>
        <v/>
      </c>
      <c r="R668" s="5">
        <f>SUMPRODUCT(Exposures!$B$9:$K$9,B668:K668)</f>
        <v/>
      </c>
      <c r="S668" s="5">
        <f>SUMPRODUCT(Exposures!$B$10:$K$10,B668:K668)</f>
        <v/>
      </c>
    </row>
    <row r="669">
      <c r="A669" s="1" t="n">
        <v>43425</v>
      </c>
      <c r="B669" s="5" t="n">
        <v>0.007485617239232568</v>
      </c>
      <c r="C669" s="5" t="n">
        <v>0.0008587190985123151</v>
      </c>
      <c r="D669" s="5" t="n">
        <v>-0.0003545192041813616</v>
      </c>
      <c r="E669" s="5" t="n">
        <v>-0.003697059772786971</v>
      </c>
      <c r="F669" s="5" t="n">
        <v>-0.004083764272663448</v>
      </c>
      <c r="G669" s="5" t="n">
        <v>0.01015178596187218</v>
      </c>
      <c r="H669" s="5" t="n">
        <v>0.001707258766416223</v>
      </c>
      <c r="I669" s="5" t="n">
        <v>-0.002356026564261042</v>
      </c>
      <c r="J669" s="5" t="n">
        <v>0.002234511492749241</v>
      </c>
      <c r="K669" s="5" t="n">
        <v>-0.0004218858461978985</v>
      </c>
      <c r="L669" s="5" t="n">
        <v>0.00273688608567433</v>
      </c>
      <c r="M669" s="5">
        <f>SUMPRODUCT(Exposures!$B$6:$K$6,B669:K669)</f>
        <v/>
      </c>
      <c r="N669" s="5">
        <f>IF(AND($A669&gt;=DATE(2020,2,1),$A669&lt;=DATE(2020,5,31)),$M669,"")</f>
        <v/>
      </c>
      <c r="O669" s="5">
        <f>IF(AND($A669&gt;=DATE(2022,1,1),$A669&lt;=DATE(2022,10,31)),$M669,"")</f>
        <v/>
      </c>
      <c r="P669" s="5">
        <f>IF(AND($A669&gt;=DATE(2018,10,1),$A669&lt;=DATE(2018,12,31)),$M669,"")</f>
        <v/>
      </c>
      <c r="Q669" s="5">
        <f>SUMPRODUCT(Exposures!$B$8:$K$8,B669:K669)</f>
        <v/>
      </c>
      <c r="R669" s="5">
        <f>SUMPRODUCT(Exposures!$B$9:$K$9,B669:K669)</f>
        <v/>
      </c>
      <c r="S669" s="5">
        <f>SUMPRODUCT(Exposures!$B$10:$K$10,B669:K669)</f>
        <v/>
      </c>
    </row>
    <row r="670">
      <c r="A670" s="1" t="n">
        <v>43427</v>
      </c>
      <c r="B670" s="5" t="n">
        <v>-0.001175793064650051</v>
      </c>
      <c r="C670" s="5" t="n">
        <v>0.001265980765422171</v>
      </c>
      <c r="D670" s="5" t="n">
        <v>0.002583002718442561</v>
      </c>
      <c r="E670" s="5" t="n">
        <v>0.0006131091167176216</v>
      </c>
      <c r="F670" s="5" t="n">
        <v>-0.002272349665522088</v>
      </c>
      <c r="G670" s="5" t="n">
        <v>0.002000141798120973</v>
      </c>
      <c r="H670" s="5" t="n">
        <v>0.0007678443880735477</v>
      </c>
      <c r="I670" s="5" t="n">
        <v>-0.001274946961577201</v>
      </c>
      <c r="J670" s="5" t="n">
        <v>0.004078201671623412</v>
      </c>
      <c r="K670" s="5" t="n">
        <v>-0.0003825620934006049</v>
      </c>
      <c r="L670" s="5" t="n">
        <v>-0.002926704710864737</v>
      </c>
      <c r="M670" s="5">
        <f>SUMPRODUCT(Exposures!$B$6:$K$6,B670:K670)</f>
        <v/>
      </c>
      <c r="N670" s="5">
        <f>IF(AND($A670&gt;=DATE(2020,2,1),$A670&lt;=DATE(2020,5,31)),$M670,"")</f>
        <v/>
      </c>
      <c r="O670" s="5">
        <f>IF(AND($A670&gt;=DATE(2022,1,1),$A670&lt;=DATE(2022,10,31)),$M670,"")</f>
        <v/>
      </c>
      <c r="P670" s="5">
        <f>IF(AND($A670&gt;=DATE(2018,10,1),$A670&lt;=DATE(2018,12,31)),$M670,"")</f>
        <v/>
      </c>
      <c r="Q670" s="5">
        <f>SUMPRODUCT(Exposures!$B$8:$K$8,B670:K670)</f>
        <v/>
      </c>
      <c r="R670" s="5">
        <f>SUMPRODUCT(Exposures!$B$9:$K$9,B670:K670)</f>
        <v/>
      </c>
      <c r="S670" s="5">
        <f>SUMPRODUCT(Exposures!$B$10:$K$10,B670:K670)</f>
        <v/>
      </c>
    </row>
    <row r="671">
      <c r="A671" s="1" t="n">
        <v>43430</v>
      </c>
      <c r="B671" s="5" t="n">
        <v>0.00764273520658322</v>
      </c>
      <c r="C671" s="5" t="n">
        <v>-0.004045474220930423</v>
      </c>
      <c r="D671" s="5" t="n">
        <v>-0.001238897463125908</v>
      </c>
      <c r="E671" s="5" t="n">
        <v>0.001583564180844363</v>
      </c>
      <c r="F671" s="5" t="n">
        <v>0.002327100873627226</v>
      </c>
      <c r="G671" s="5" t="n">
        <v>0.01368241236332784</v>
      </c>
      <c r="H671" s="5" t="n">
        <v>0.001713598635776066</v>
      </c>
      <c r="I671" s="5" t="n">
        <v>-0.001818783760039888</v>
      </c>
      <c r="J671" s="5" t="n">
        <v>0.00325111003695622</v>
      </c>
      <c r="K671" s="5" t="n">
        <v>0.001075826237308215</v>
      </c>
      <c r="L671" s="5" t="n">
        <v>0.003934660764431436</v>
      </c>
      <c r="M671" s="5">
        <f>SUMPRODUCT(Exposures!$B$6:$K$6,B671:K671)</f>
        <v/>
      </c>
      <c r="N671" s="5">
        <f>IF(AND($A671&gt;=DATE(2020,2,1),$A671&lt;=DATE(2020,5,31)),$M671,"")</f>
        <v/>
      </c>
      <c r="O671" s="5">
        <f>IF(AND($A671&gt;=DATE(2022,1,1),$A671&lt;=DATE(2022,10,31)),$M671,"")</f>
        <v/>
      </c>
      <c r="P671" s="5">
        <f>IF(AND($A671&gt;=DATE(2018,10,1),$A671&lt;=DATE(2018,12,31)),$M671,"")</f>
        <v/>
      </c>
      <c r="Q671" s="5">
        <f>SUMPRODUCT(Exposures!$B$8:$K$8,B671:K671)</f>
        <v/>
      </c>
      <c r="R671" s="5">
        <f>SUMPRODUCT(Exposures!$B$9:$K$9,B671:K671)</f>
        <v/>
      </c>
      <c r="S671" s="5">
        <f>SUMPRODUCT(Exposures!$B$10:$K$10,B671:K671)</f>
        <v/>
      </c>
    </row>
    <row r="672">
      <c r="A672" s="1" t="n">
        <v>43431</v>
      </c>
      <c r="B672" s="5" t="n">
        <v>-0.006336143606692582</v>
      </c>
      <c r="C672" s="5" t="n">
        <v>-0.0004999186498463321</v>
      </c>
      <c r="D672" s="5" t="n">
        <v>-0.0005176278993211897</v>
      </c>
      <c r="E672" s="5" t="n">
        <v>0.001320423047759008</v>
      </c>
      <c r="F672" s="5" t="n">
        <v>0.007090986588532869</v>
      </c>
      <c r="G672" s="5" t="n">
        <v>-0.004128968126577408</v>
      </c>
      <c r="H672" s="5" t="n">
        <v>0.003024916127113092</v>
      </c>
      <c r="I672" s="5" t="n">
        <v>0.002031294764528211</v>
      </c>
      <c r="J672" s="5" t="n">
        <v>0.001131072482851955</v>
      </c>
      <c r="K672" s="5" t="n">
        <v>-4.127191389556302e-05</v>
      </c>
      <c r="L672" s="5" t="n">
        <v>-0.001108377898909376</v>
      </c>
      <c r="M672" s="5">
        <f>SUMPRODUCT(Exposures!$B$6:$K$6,B672:K672)</f>
        <v/>
      </c>
      <c r="N672" s="5">
        <f>IF(AND($A672&gt;=DATE(2020,2,1),$A672&lt;=DATE(2020,5,31)),$M672,"")</f>
        <v/>
      </c>
      <c r="O672" s="5">
        <f>IF(AND($A672&gt;=DATE(2022,1,1),$A672&lt;=DATE(2022,10,31)),$M672,"")</f>
        <v/>
      </c>
      <c r="P672" s="5">
        <f>IF(AND($A672&gt;=DATE(2018,10,1),$A672&lt;=DATE(2018,12,31)),$M672,"")</f>
        <v/>
      </c>
      <c r="Q672" s="5">
        <f>SUMPRODUCT(Exposures!$B$8:$K$8,B672:K672)</f>
        <v/>
      </c>
      <c r="R672" s="5">
        <f>SUMPRODUCT(Exposures!$B$9:$K$9,B672:K672)</f>
        <v/>
      </c>
      <c r="S672" s="5">
        <f>SUMPRODUCT(Exposures!$B$10:$K$10,B672:K672)</f>
        <v/>
      </c>
    </row>
    <row r="673">
      <c r="A673" s="1" t="n">
        <v>43432</v>
      </c>
      <c r="B673" s="5" t="n">
        <v>0.01114268426387961</v>
      </c>
      <c r="C673" s="5" t="n">
        <v>-0.001053565608254306</v>
      </c>
      <c r="D673" s="5" t="n">
        <v>0.003986903376622442</v>
      </c>
      <c r="E673" s="5" t="n">
        <v>-0.001379153070214438</v>
      </c>
      <c r="F673" s="5" t="n">
        <v>-0.002972408774189877</v>
      </c>
      <c r="G673" s="5" t="n">
        <v>0.02481910304881085</v>
      </c>
      <c r="H673" s="5" t="n">
        <v>0.0007377027345765856</v>
      </c>
      <c r="I673" s="5" t="n">
        <v>0.002776675483157324</v>
      </c>
      <c r="J673" s="5" t="n">
        <v>0.002308800250504319</v>
      </c>
      <c r="K673" s="5" t="n">
        <v>-0.0005266560873636392</v>
      </c>
      <c r="L673" s="5" t="n">
        <v>0.0007663455534704959</v>
      </c>
      <c r="M673" s="5">
        <f>SUMPRODUCT(Exposures!$B$6:$K$6,B673:K673)</f>
        <v/>
      </c>
      <c r="N673" s="5">
        <f>IF(AND($A673&gt;=DATE(2020,2,1),$A673&lt;=DATE(2020,5,31)),$M673,"")</f>
        <v/>
      </c>
      <c r="O673" s="5">
        <f>IF(AND($A673&gt;=DATE(2022,1,1),$A673&lt;=DATE(2022,10,31)),$M673,"")</f>
        <v/>
      </c>
      <c r="P673" s="5">
        <f>IF(AND($A673&gt;=DATE(2018,10,1),$A673&lt;=DATE(2018,12,31)),$M673,"")</f>
        <v/>
      </c>
      <c r="Q673" s="5">
        <f>SUMPRODUCT(Exposures!$B$8:$K$8,B673:K673)</f>
        <v/>
      </c>
      <c r="R673" s="5">
        <f>SUMPRODUCT(Exposures!$B$9:$K$9,B673:K673)</f>
        <v/>
      </c>
      <c r="S673" s="5">
        <f>SUMPRODUCT(Exposures!$B$10:$K$10,B673:K673)</f>
        <v/>
      </c>
    </row>
    <row r="674">
      <c r="A674" s="1" t="n">
        <v>43433</v>
      </c>
      <c r="B674" s="5" t="n">
        <v>-0.003665586492342567</v>
      </c>
      <c r="C674" s="5" t="n">
        <v>-0.001438457422948502</v>
      </c>
      <c r="D674" s="5" t="n">
        <v>-0.005039062833771083</v>
      </c>
      <c r="E674" s="5" t="n">
        <v>-0.002785149560273801</v>
      </c>
      <c r="F674" s="5" t="n">
        <v>0.0005054887827473584</v>
      </c>
      <c r="G674" s="5" t="n">
        <v>-0.002849231691963888</v>
      </c>
      <c r="H674" s="5" t="n">
        <v>0.004669420402961429</v>
      </c>
      <c r="I674" s="5" t="n">
        <v>0.002269105374242732</v>
      </c>
      <c r="J674" s="5" t="n">
        <v>0.00316222070552443</v>
      </c>
      <c r="K674" s="5" t="n">
        <v>0.0005162339185328054</v>
      </c>
      <c r="L674" s="5" t="n">
        <v>0.001529607912519787</v>
      </c>
      <c r="M674" s="5">
        <f>SUMPRODUCT(Exposures!$B$6:$K$6,B674:K674)</f>
        <v/>
      </c>
      <c r="N674" s="5">
        <f>IF(AND($A674&gt;=DATE(2020,2,1),$A674&lt;=DATE(2020,5,31)),$M674,"")</f>
        <v/>
      </c>
      <c r="O674" s="5">
        <f>IF(AND($A674&gt;=DATE(2022,1,1),$A674&lt;=DATE(2022,10,31)),$M674,"")</f>
        <v/>
      </c>
      <c r="P674" s="5">
        <f>IF(AND($A674&gt;=DATE(2018,10,1),$A674&lt;=DATE(2018,12,31)),$M674,"")</f>
        <v/>
      </c>
      <c r="Q674" s="5">
        <f>SUMPRODUCT(Exposures!$B$8:$K$8,B674:K674)</f>
        <v/>
      </c>
      <c r="R674" s="5">
        <f>SUMPRODUCT(Exposures!$B$9:$K$9,B674:K674)</f>
        <v/>
      </c>
      <c r="S674" s="5">
        <f>SUMPRODUCT(Exposures!$B$10:$K$10,B674:K674)</f>
        <v/>
      </c>
    </row>
    <row r="675">
      <c r="A675" s="1" t="n">
        <v>43434</v>
      </c>
      <c r="B675" s="5" t="n">
        <v>0.001707526484624004</v>
      </c>
      <c r="C675" s="5" t="n">
        <v>-0.001379640354528372</v>
      </c>
      <c r="D675" s="5" t="n">
        <v>-0.001854880324817702</v>
      </c>
      <c r="E675" s="5" t="n">
        <v>0.001020877686464025</v>
      </c>
      <c r="F675" s="5" t="n">
        <v>0.0008820043369656356</v>
      </c>
      <c r="G675" s="5" t="n">
        <v>0.005344201568820985</v>
      </c>
      <c r="H675" s="5" t="n">
        <v>-0.003334180659208854</v>
      </c>
      <c r="I675" s="5" t="n">
        <v>0.0005783488931478414</v>
      </c>
      <c r="J675" s="5" t="n">
        <v>-0.001683021781678449</v>
      </c>
      <c r="K675" s="5" t="n">
        <v>0.001900118325914885</v>
      </c>
      <c r="L675" s="5" t="n">
        <v>-0.0008708326671018616</v>
      </c>
      <c r="M675" s="5">
        <f>SUMPRODUCT(Exposures!$B$6:$K$6,B675:K675)</f>
        <v/>
      </c>
      <c r="N675" s="5">
        <f>IF(AND($A675&gt;=DATE(2020,2,1),$A675&lt;=DATE(2020,5,31)),$M675,"")</f>
        <v/>
      </c>
      <c r="O675" s="5">
        <f>IF(AND($A675&gt;=DATE(2022,1,1),$A675&lt;=DATE(2022,10,31)),$M675,"")</f>
        <v/>
      </c>
      <c r="P675" s="5">
        <f>IF(AND($A675&gt;=DATE(2018,10,1),$A675&lt;=DATE(2018,12,31)),$M675,"")</f>
        <v/>
      </c>
      <c r="Q675" s="5">
        <f>SUMPRODUCT(Exposures!$B$8:$K$8,B675:K675)</f>
        <v/>
      </c>
      <c r="R675" s="5">
        <f>SUMPRODUCT(Exposures!$B$9:$K$9,B675:K675)</f>
        <v/>
      </c>
      <c r="S675" s="5">
        <f>SUMPRODUCT(Exposures!$B$10:$K$10,B675:K675)</f>
        <v/>
      </c>
    </row>
    <row r="676">
      <c r="A676" s="1" t="n">
        <v>43437</v>
      </c>
      <c r="B676" s="5" t="n">
        <v>0.0032481985178102</v>
      </c>
      <c r="C676" s="5" t="n">
        <v>0.0006345167225288682</v>
      </c>
      <c r="D676" s="5" t="n">
        <v>0.0003369968108237292</v>
      </c>
      <c r="E676" s="5" t="n">
        <v>-0.001390019884686574</v>
      </c>
      <c r="F676" s="5" t="n">
        <v>0.01368312082980786</v>
      </c>
      <c r="G676" s="5" t="n">
        <v>0.007220508035799378</v>
      </c>
      <c r="H676" s="5" t="n">
        <v>0.003536634608693985</v>
      </c>
      <c r="I676" s="5" t="n">
        <v>-0.001303128372831151</v>
      </c>
      <c r="J676" s="5" t="n">
        <v>-0.002936097090318218</v>
      </c>
      <c r="K676" s="5" t="n">
        <v>-0.0116250946634294</v>
      </c>
      <c r="L676" s="5" t="n">
        <v>-0.003260371071287392</v>
      </c>
      <c r="M676" s="5">
        <f>SUMPRODUCT(Exposures!$B$6:$K$6,B676:K676)</f>
        <v/>
      </c>
      <c r="N676" s="5">
        <f>IF(AND($A676&gt;=DATE(2020,2,1),$A676&lt;=DATE(2020,5,31)),$M676,"")</f>
        <v/>
      </c>
      <c r="O676" s="5">
        <f>IF(AND($A676&gt;=DATE(2022,1,1),$A676&lt;=DATE(2022,10,31)),$M676,"")</f>
        <v/>
      </c>
      <c r="P676" s="5">
        <f>IF(AND($A676&gt;=DATE(2018,10,1),$A676&lt;=DATE(2018,12,31)),$M676,"")</f>
        <v/>
      </c>
      <c r="Q676" s="5">
        <f>SUMPRODUCT(Exposures!$B$8:$K$8,B676:K676)</f>
        <v/>
      </c>
      <c r="R676" s="5">
        <f>SUMPRODUCT(Exposures!$B$9:$K$9,B676:K676)</f>
        <v/>
      </c>
      <c r="S676" s="5">
        <f>SUMPRODUCT(Exposures!$B$10:$K$10,B676:K676)</f>
        <v/>
      </c>
    </row>
    <row r="677">
      <c r="A677" s="1" t="n">
        <v>43438</v>
      </c>
      <c r="B677" s="5" t="n">
        <v>-0.01774895148665956</v>
      </c>
      <c r="C677" s="5" t="n">
        <v>-0.0006857076480451445</v>
      </c>
      <c r="D677" s="5" t="n">
        <v>-0.00179842855917233</v>
      </c>
      <c r="E677" s="5" t="n">
        <v>-0.003953675880279137</v>
      </c>
      <c r="F677" s="5" t="n">
        <v>-6.530789852169511e-05</v>
      </c>
      <c r="G677" s="5" t="n">
        <v>-0.03531887472915436</v>
      </c>
      <c r="H677" s="5" t="n">
        <v>0.002960240499526522</v>
      </c>
      <c r="I677" s="5" t="n">
        <v>-0.0002344049867566756</v>
      </c>
      <c r="J677" s="5" t="n">
        <v>-0.0007828326141788551</v>
      </c>
      <c r="K677" s="5" t="n">
        <v>0.006349274800059155</v>
      </c>
      <c r="L677" s="5" t="n">
        <v>-0.00179807989861495</v>
      </c>
      <c r="M677" s="5">
        <f>SUMPRODUCT(Exposures!$B$6:$K$6,B677:K677)</f>
        <v/>
      </c>
      <c r="N677" s="5">
        <f>IF(AND($A677&gt;=DATE(2020,2,1),$A677&lt;=DATE(2020,5,31)),$M677,"")</f>
        <v/>
      </c>
      <c r="O677" s="5">
        <f>IF(AND($A677&gt;=DATE(2022,1,1),$A677&lt;=DATE(2022,10,31)),$M677,"")</f>
        <v/>
      </c>
      <c r="P677" s="5">
        <f>IF(AND($A677&gt;=DATE(2018,10,1),$A677&lt;=DATE(2018,12,31)),$M677,"")</f>
        <v/>
      </c>
      <c r="Q677" s="5">
        <f>SUMPRODUCT(Exposures!$B$8:$K$8,B677:K677)</f>
        <v/>
      </c>
      <c r="R677" s="5">
        <f>SUMPRODUCT(Exposures!$B$9:$K$9,B677:K677)</f>
        <v/>
      </c>
      <c r="S677" s="5">
        <f>SUMPRODUCT(Exposures!$B$10:$K$10,B677:K677)</f>
        <v/>
      </c>
    </row>
    <row r="678">
      <c r="A678" s="1" t="n">
        <v>43440</v>
      </c>
      <c r="B678" s="5" t="n">
        <v>-0.002455058840788607</v>
      </c>
      <c r="C678" s="5" t="n">
        <v>-0.003946229797124342</v>
      </c>
      <c r="D678" s="5" t="n">
        <v>-0.003660977671094693</v>
      </c>
      <c r="E678" s="5" t="n">
        <v>0.0009167711188128629</v>
      </c>
      <c r="F678" s="5" t="n">
        <v>0.007288089731303089</v>
      </c>
      <c r="G678" s="5" t="n">
        <v>-0.002345120323475939</v>
      </c>
      <c r="H678" s="5" t="n">
        <v>0.001365090612621416</v>
      </c>
      <c r="I678" s="5" t="n">
        <v>0.001555558696790332</v>
      </c>
      <c r="J678" s="5" t="n">
        <v>-0.001602174707468048</v>
      </c>
      <c r="K678" s="5" t="n">
        <v>-0.008113547428270307</v>
      </c>
      <c r="L678" s="5" t="n">
        <v>-0.002941004548027197</v>
      </c>
      <c r="M678" s="5">
        <f>SUMPRODUCT(Exposures!$B$6:$K$6,B678:K678)</f>
        <v/>
      </c>
      <c r="N678" s="5">
        <f>IF(AND($A678&gt;=DATE(2020,2,1),$A678&lt;=DATE(2020,5,31)),$M678,"")</f>
        <v/>
      </c>
      <c r="O678" s="5">
        <f>IF(AND($A678&gt;=DATE(2022,1,1),$A678&lt;=DATE(2022,10,31)),$M678,"")</f>
        <v/>
      </c>
      <c r="P678" s="5">
        <f>IF(AND($A678&gt;=DATE(2018,10,1),$A678&lt;=DATE(2018,12,31)),$M678,"")</f>
        <v/>
      </c>
      <c r="Q678" s="5">
        <f>SUMPRODUCT(Exposures!$B$8:$K$8,B678:K678)</f>
        <v/>
      </c>
      <c r="R678" s="5">
        <f>SUMPRODUCT(Exposures!$B$9:$K$9,B678:K678)</f>
        <v/>
      </c>
      <c r="S678" s="5">
        <f>SUMPRODUCT(Exposures!$B$10:$K$10,B678:K678)</f>
        <v/>
      </c>
    </row>
    <row r="679">
      <c r="A679" s="1" t="n">
        <v>43441</v>
      </c>
      <c r="B679" s="5" t="n">
        <v>-0.01200293209372261</v>
      </c>
      <c r="C679" s="5" t="n">
        <v>0.001885202457620111</v>
      </c>
      <c r="D679" s="5" t="n">
        <v>-0.003899198786298259</v>
      </c>
      <c r="E679" s="5" t="n">
        <v>-0.001635570510887953</v>
      </c>
      <c r="F679" s="5" t="n">
        <v>-0.00790612576727999</v>
      </c>
      <c r="G679" s="5" t="n">
        <v>-0.02259724341810529</v>
      </c>
      <c r="H679" s="5" t="n">
        <v>0.0008507063300014273</v>
      </c>
      <c r="I679" s="5" t="n">
        <v>-0.0008590999240597362</v>
      </c>
      <c r="J679" s="5" t="n">
        <v>0.0009809710329772392</v>
      </c>
      <c r="K679" s="5" t="n">
        <v>0.008848817307648074</v>
      </c>
      <c r="L679" s="5" t="n">
        <v>0.003323414919450899</v>
      </c>
      <c r="M679" s="5">
        <f>SUMPRODUCT(Exposures!$B$6:$K$6,B679:K679)</f>
        <v/>
      </c>
      <c r="N679" s="5">
        <f>IF(AND($A679&gt;=DATE(2020,2,1),$A679&lt;=DATE(2020,5,31)),$M679,"")</f>
        <v/>
      </c>
      <c r="O679" s="5">
        <f>IF(AND($A679&gt;=DATE(2022,1,1),$A679&lt;=DATE(2022,10,31)),$M679,"")</f>
        <v/>
      </c>
      <c r="P679" s="5">
        <f>IF(AND($A679&gt;=DATE(2018,10,1),$A679&lt;=DATE(2018,12,31)),$M679,"")</f>
        <v/>
      </c>
      <c r="Q679" s="5">
        <f>SUMPRODUCT(Exposures!$B$8:$K$8,B679:K679)</f>
        <v/>
      </c>
      <c r="R679" s="5">
        <f>SUMPRODUCT(Exposures!$B$9:$K$9,B679:K679)</f>
        <v/>
      </c>
      <c r="S679" s="5">
        <f>SUMPRODUCT(Exposures!$B$10:$K$10,B679:K679)</f>
        <v/>
      </c>
    </row>
    <row r="680">
      <c r="A680" s="1" t="n">
        <v>43444</v>
      </c>
      <c r="B680" s="5" t="n">
        <v>-0.0001305919816935116</v>
      </c>
      <c r="C680" s="5" t="n">
        <v>-0.002029862999690886</v>
      </c>
      <c r="D680" s="5" t="n">
        <v>-0.002758713149820941</v>
      </c>
      <c r="E680" s="5" t="n">
        <v>-0.003163915278186493</v>
      </c>
      <c r="F680" s="5" t="n">
        <v>0.009281806146105786</v>
      </c>
      <c r="G680" s="5" t="n">
        <v>-0.001097341912436303</v>
      </c>
      <c r="H680" s="5" t="n">
        <v>0.002725755701299006</v>
      </c>
      <c r="I680" s="5" t="n">
        <v>0.001926980460364312</v>
      </c>
      <c r="J680" s="5" t="n">
        <v>0.0001869229724852102</v>
      </c>
      <c r="K680" s="5" t="n">
        <v>-0.008356194126960625</v>
      </c>
      <c r="L680" s="5" t="n">
        <v>-0.003266791511956267</v>
      </c>
      <c r="M680" s="5">
        <f>SUMPRODUCT(Exposures!$B$6:$K$6,B680:K680)</f>
        <v/>
      </c>
      <c r="N680" s="5">
        <f>IF(AND($A680&gt;=DATE(2020,2,1),$A680&lt;=DATE(2020,5,31)),$M680,"")</f>
        <v/>
      </c>
      <c r="O680" s="5">
        <f>IF(AND($A680&gt;=DATE(2022,1,1),$A680&lt;=DATE(2022,10,31)),$M680,"")</f>
        <v/>
      </c>
      <c r="P680" s="5">
        <f>IF(AND($A680&gt;=DATE(2018,10,1),$A680&lt;=DATE(2018,12,31)),$M680,"")</f>
        <v/>
      </c>
      <c r="Q680" s="5">
        <f>SUMPRODUCT(Exposures!$B$8:$K$8,B680:K680)</f>
        <v/>
      </c>
      <c r="R680" s="5">
        <f>SUMPRODUCT(Exposures!$B$9:$K$9,B680:K680)</f>
        <v/>
      </c>
      <c r="S680" s="5">
        <f>SUMPRODUCT(Exposures!$B$10:$K$10,B680:K680)</f>
        <v/>
      </c>
    </row>
    <row r="681">
      <c r="A681" s="1" t="n">
        <v>43445</v>
      </c>
      <c r="B681" s="5" t="n">
        <v>-0.00256580293332456</v>
      </c>
      <c r="C681" s="5" t="n">
        <v>-0.0003828976341128171</v>
      </c>
      <c r="D681" s="5" t="n">
        <v>-0.007463501841118557</v>
      </c>
      <c r="E681" s="5" t="n">
        <v>-0.001624355189196848</v>
      </c>
      <c r="F681" s="5" t="n">
        <v>0.001743617168195594</v>
      </c>
      <c r="G681" s="5" t="n">
        <v>-9.632223240515246e-05</v>
      </c>
      <c r="H681" s="5" t="n">
        <v>0.0003769143471080613</v>
      </c>
      <c r="I681" s="5" t="n">
        <v>0.0003484968096625365</v>
      </c>
      <c r="J681" s="5" t="n">
        <v>0.0007271287441516628</v>
      </c>
      <c r="K681" s="5" t="n">
        <v>-0.001173421304951551</v>
      </c>
      <c r="L681" s="5" t="n">
        <v>-0.001728442870297008</v>
      </c>
      <c r="M681" s="5">
        <f>SUMPRODUCT(Exposures!$B$6:$K$6,B681:K681)</f>
        <v/>
      </c>
      <c r="N681" s="5">
        <f>IF(AND($A681&gt;=DATE(2020,2,1),$A681&lt;=DATE(2020,5,31)),$M681,"")</f>
        <v/>
      </c>
      <c r="O681" s="5">
        <f>IF(AND($A681&gt;=DATE(2022,1,1),$A681&lt;=DATE(2022,10,31)),$M681,"")</f>
        <v/>
      </c>
      <c r="P681" s="5">
        <f>IF(AND($A681&gt;=DATE(2018,10,1),$A681&lt;=DATE(2018,12,31)),$M681,"")</f>
        <v/>
      </c>
      <c r="Q681" s="5">
        <f>SUMPRODUCT(Exposures!$B$8:$K$8,B681:K681)</f>
        <v/>
      </c>
      <c r="R681" s="5">
        <f>SUMPRODUCT(Exposures!$B$9:$K$9,B681:K681)</f>
        <v/>
      </c>
      <c r="S681" s="5">
        <f>SUMPRODUCT(Exposures!$B$10:$K$10,B681:K681)</f>
        <v/>
      </c>
    </row>
    <row r="682">
      <c r="A682" s="1" t="n">
        <v>43446</v>
      </c>
      <c r="B682" s="5" t="n">
        <v>0.005629221176511101</v>
      </c>
      <c r="C682" s="5" t="n">
        <v>-0.0006985761214369026</v>
      </c>
      <c r="D682" s="5" t="n">
        <v>-0.000510978446394377</v>
      </c>
      <c r="E682" s="5" t="n">
        <v>0.001483822898186795</v>
      </c>
      <c r="F682" s="5" t="n">
        <v>0.003442198316403483</v>
      </c>
      <c r="G682" s="5" t="n">
        <v>0.008559837257557467</v>
      </c>
      <c r="H682" s="5" t="n">
        <v>0.0004434426244882632</v>
      </c>
      <c r="I682" s="5" t="n">
        <v>3.421587562388436e-05</v>
      </c>
      <c r="J682" s="5" t="n">
        <v>-0.0005777389420643004</v>
      </c>
      <c r="K682" s="5" t="n">
        <v>-0.007138089789277184</v>
      </c>
      <c r="L682" s="5" t="n">
        <v>-0.0009561341979194816</v>
      </c>
      <c r="M682" s="5">
        <f>SUMPRODUCT(Exposures!$B$6:$K$6,B682:K682)</f>
        <v/>
      </c>
      <c r="N682" s="5">
        <f>IF(AND($A682&gt;=DATE(2020,2,1),$A682&lt;=DATE(2020,5,31)),$M682,"")</f>
        <v/>
      </c>
      <c r="O682" s="5">
        <f>IF(AND($A682&gt;=DATE(2022,1,1),$A682&lt;=DATE(2022,10,31)),$M682,"")</f>
        <v/>
      </c>
      <c r="P682" s="5">
        <f>IF(AND($A682&gt;=DATE(2018,10,1),$A682&lt;=DATE(2018,12,31)),$M682,"")</f>
        <v/>
      </c>
      <c r="Q682" s="5">
        <f>SUMPRODUCT(Exposures!$B$8:$K$8,B682:K682)</f>
        <v/>
      </c>
      <c r="R682" s="5">
        <f>SUMPRODUCT(Exposures!$B$9:$K$9,B682:K682)</f>
        <v/>
      </c>
      <c r="S682" s="5">
        <f>SUMPRODUCT(Exposures!$B$10:$K$10,B682:K682)</f>
        <v/>
      </c>
    </row>
    <row r="683">
      <c r="A683" s="1" t="n">
        <v>43447</v>
      </c>
      <c r="B683" s="5" t="n">
        <v>-0.00731562155074191</v>
      </c>
      <c r="C683" s="5" t="n">
        <v>-0.0001419142506766101</v>
      </c>
      <c r="D683" s="5" t="n">
        <v>-0.002945413255000501</v>
      </c>
      <c r="E683" s="5" t="n">
        <v>-0.0007761399164986479</v>
      </c>
      <c r="F683" s="5" t="n">
        <v>0.003192024406730199</v>
      </c>
      <c r="G683" s="5" t="n">
        <v>-0.01056001234718129</v>
      </c>
      <c r="H683" s="5" t="n">
        <v>0.00250606681364909</v>
      </c>
      <c r="I683" s="5" t="n">
        <v>-0.0001080016705138403</v>
      </c>
      <c r="J683" s="5" t="n">
        <v>-0.005120276189321794</v>
      </c>
      <c r="K683" s="5" t="n">
        <v>0.003341363771016443</v>
      </c>
      <c r="L683" s="5" t="n">
        <v>-0.0003984074480423191</v>
      </c>
      <c r="M683" s="5">
        <f>SUMPRODUCT(Exposures!$B$6:$K$6,B683:K683)</f>
        <v/>
      </c>
      <c r="N683" s="5">
        <f>IF(AND($A683&gt;=DATE(2020,2,1),$A683&lt;=DATE(2020,5,31)),$M683,"")</f>
        <v/>
      </c>
      <c r="O683" s="5">
        <f>IF(AND($A683&gt;=DATE(2022,1,1),$A683&lt;=DATE(2022,10,31)),$M683,"")</f>
        <v/>
      </c>
      <c r="P683" s="5">
        <f>IF(AND($A683&gt;=DATE(2018,10,1),$A683&lt;=DATE(2018,12,31)),$M683,"")</f>
        <v/>
      </c>
      <c r="Q683" s="5">
        <f>SUMPRODUCT(Exposures!$B$8:$K$8,B683:K683)</f>
        <v/>
      </c>
      <c r="R683" s="5">
        <f>SUMPRODUCT(Exposures!$B$9:$K$9,B683:K683)</f>
        <v/>
      </c>
      <c r="S683" s="5">
        <f>SUMPRODUCT(Exposures!$B$10:$K$10,B683:K683)</f>
        <v/>
      </c>
    </row>
    <row r="684">
      <c r="A684" s="1" t="n">
        <v>43448</v>
      </c>
      <c r="B684" s="5" t="n">
        <v>-0.004764864656602596</v>
      </c>
      <c r="C684" s="5" t="n">
        <v>-0.0005137407781510826</v>
      </c>
      <c r="D684" s="5" t="n">
        <v>-0.004146240070801937</v>
      </c>
      <c r="E684" s="5" t="n">
        <v>0.002344662845794449</v>
      </c>
      <c r="F684" s="5" t="n">
        <v>0.0005210860803691688</v>
      </c>
      <c r="G684" s="5" t="n">
        <v>-0.01531480354209202</v>
      </c>
      <c r="H684" s="5" t="n">
        <v>-0.00326133847235386</v>
      </c>
      <c r="I684" s="5" t="n">
        <v>-0.0018420581915003</v>
      </c>
      <c r="J684" s="5" t="n">
        <v>0.0004407619355980778</v>
      </c>
      <c r="K684" s="5" t="n">
        <v>-1.545278658952182e-06</v>
      </c>
      <c r="L684" s="5" t="n">
        <v>-0.001464148904108489</v>
      </c>
      <c r="M684" s="5">
        <f>SUMPRODUCT(Exposures!$B$6:$K$6,B684:K684)</f>
        <v/>
      </c>
      <c r="N684" s="5">
        <f>IF(AND($A684&gt;=DATE(2020,2,1),$A684&lt;=DATE(2020,5,31)),$M684,"")</f>
        <v/>
      </c>
      <c r="O684" s="5">
        <f>IF(AND($A684&gt;=DATE(2022,1,1),$A684&lt;=DATE(2022,10,31)),$M684,"")</f>
        <v/>
      </c>
      <c r="P684" s="5">
        <f>IF(AND($A684&gt;=DATE(2018,10,1),$A684&lt;=DATE(2018,12,31)),$M684,"")</f>
        <v/>
      </c>
      <c r="Q684" s="5">
        <f>SUMPRODUCT(Exposures!$B$8:$K$8,B684:K684)</f>
        <v/>
      </c>
      <c r="R684" s="5">
        <f>SUMPRODUCT(Exposures!$B$9:$K$9,B684:K684)</f>
        <v/>
      </c>
      <c r="S684" s="5">
        <f>SUMPRODUCT(Exposures!$B$10:$K$10,B684:K684)</f>
        <v/>
      </c>
    </row>
    <row r="685">
      <c r="A685" s="1" t="n">
        <v>43451</v>
      </c>
      <c r="B685" s="5" t="n">
        <v>0.002238121651303302</v>
      </c>
      <c r="C685" s="5" t="n">
        <v>0.001320938745429754</v>
      </c>
      <c r="D685" s="5" t="n">
        <v>0.00252837051415752</v>
      </c>
      <c r="E685" s="5" t="n">
        <v>-0.002329845205050991</v>
      </c>
      <c r="F685" s="5" t="n">
        <v>-0.01300860512831759</v>
      </c>
      <c r="G685" s="5" t="n">
        <v>-0.02020417390051405</v>
      </c>
      <c r="H685" s="5" t="n">
        <v>-0.003237088891352288</v>
      </c>
      <c r="I685" s="5" t="n">
        <v>-0.001712347114887623</v>
      </c>
      <c r="J685" s="5" t="n">
        <v>0.004704383455707134</v>
      </c>
      <c r="K685" s="5" t="n">
        <v>0.0149921965549741</v>
      </c>
      <c r="L685" s="5" t="n">
        <v>0.005825023625927295</v>
      </c>
      <c r="M685" s="5">
        <f>SUMPRODUCT(Exposures!$B$6:$K$6,B685:K685)</f>
        <v/>
      </c>
      <c r="N685" s="5">
        <f>IF(AND($A685&gt;=DATE(2020,2,1),$A685&lt;=DATE(2020,5,31)),$M685,"")</f>
        <v/>
      </c>
      <c r="O685" s="5">
        <f>IF(AND($A685&gt;=DATE(2022,1,1),$A685&lt;=DATE(2022,10,31)),$M685,"")</f>
        <v/>
      </c>
      <c r="P685" s="5">
        <f>IF(AND($A685&gt;=DATE(2018,10,1),$A685&lt;=DATE(2018,12,31)),$M685,"")</f>
        <v/>
      </c>
      <c r="Q685" s="5">
        <f>SUMPRODUCT(Exposures!$B$8:$K$8,B685:K685)</f>
        <v/>
      </c>
      <c r="R685" s="5">
        <f>SUMPRODUCT(Exposures!$B$9:$K$9,B685:K685)</f>
        <v/>
      </c>
      <c r="S685" s="5">
        <f>SUMPRODUCT(Exposures!$B$10:$K$10,B685:K685)</f>
        <v/>
      </c>
    </row>
    <row r="686">
      <c r="A686" s="1" t="n">
        <v>43452</v>
      </c>
      <c r="B686" s="5" t="n">
        <v>0.004022888668907808</v>
      </c>
      <c r="C686" s="5" t="n">
        <v>1.910842698034967e-05</v>
      </c>
      <c r="D686" s="5" t="n">
        <v>0.006909925115968159</v>
      </c>
      <c r="E686" s="5" t="n">
        <v>-0.001608680498464537</v>
      </c>
      <c r="F686" s="5" t="n">
        <v>0.0145250950416692</v>
      </c>
      <c r="G686" s="5" t="n">
        <v>-0.001722440620975794</v>
      </c>
      <c r="H686" s="5" t="n">
        <v>0.001585894055100565</v>
      </c>
      <c r="I686" s="5" t="n">
        <v>-0.00243246254361518</v>
      </c>
      <c r="J686" s="5" t="n">
        <v>-0.008113778712176441</v>
      </c>
      <c r="K686" s="5" t="n">
        <v>-0.01559012639856591</v>
      </c>
      <c r="L686" s="5" t="n">
        <v>-0.003551456286714867</v>
      </c>
      <c r="M686" s="5">
        <f>SUMPRODUCT(Exposures!$B$6:$K$6,B686:K686)</f>
        <v/>
      </c>
      <c r="N686" s="5">
        <f>IF(AND($A686&gt;=DATE(2020,2,1),$A686&lt;=DATE(2020,5,31)),$M686,"")</f>
        <v/>
      </c>
      <c r="O686" s="5">
        <f>IF(AND($A686&gt;=DATE(2022,1,1),$A686&lt;=DATE(2022,10,31)),$M686,"")</f>
        <v/>
      </c>
      <c r="P686" s="5">
        <f>IF(AND($A686&gt;=DATE(2018,10,1),$A686&lt;=DATE(2018,12,31)),$M686,"")</f>
        <v/>
      </c>
      <c r="Q686" s="5">
        <f>SUMPRODUCT(Exposures!$B$8:$K$8,B686:K686)</f>
        <v/>
      </c>
      <c r="R686" s="5">
        <f>SUMPRODUCT(Exposures!$B$9:$K$9,B686:K686)</f>
        <v/>
      </c>
      <c r="S686" s="5">
        <f>SUMPRODUCT(Exposures!$B$10:$K$10,B686:K686)</f>
        <v/>
      </c>
    </row>
    <row r="687">
      <c r="A687" s="1" t="n">
        <v>43453</v>
      </c>
      <c r="B687" s="5" t="n">
        <v>-0.006416007177655319</v>
      </c>
      <c r="C687" s="5" t="n">
        <v>-0.001841544303699974</v>
      </c>
      <c r="D687" s="5" t="n">
        <v>-0.009087967487112377</v>
      </c>
      <c r="E687" s="5" t="n">
        <v>-0.0005687460015251044</v>
      </c>
      <c r="F687" s="5" t="n">
        <v>-0.001801008043306046</v>
      </c>
      <c r="G687" s="5" t="n">
        <v>-0.01883250582359049</v>
      </c>
      <c r="H687" s="5" t="n">
        <v>-0.0004342165698611789</v>
      </c>
      <c r="I687" s="5" t="n">
        <v>0.0002765184583109797</v>
      </c>
      <c r="J687" s="5" t="n">
        <v>-0.004318054793155834</v>
      </c>
      <c r="K687" s="5" t="n">
        <v>0.003483891836623025</v>
      </c>
      <c r="L687" s="5" t="n">
        <v>0.0007386309236520062</v>
      </c>
      <c r="M687" s="5">
        <f>SUMPRODUCT(Exposures!$B$6:$K$6,B687:K687)</f>
        <v/>
      </c>
      <c r="N687" s="5">
        <f>IF(AND($A687&gt;=DATE(2020,2,1),$A687&lt;=DATE(2020,5,31)),$M687,"")</f>
        <v/>
      </c>
      <c r="O687" s="5">
        <f>IF(AND($A687&gt;=DATE(2022,1,1),$A687&lt;=DATE(2022,10,31)),$M687,"")</f>
        <v/>
      </c>
      <c r="P687" s="5">
        <f>IF(AND($A687&gt;=DATE(2018,10,1),$A687&lt;=DATE(2018,12,31)),$M687,"")</f>
        <v/>
      </c>
      <c r="Q687" s="5">
        <f>SUMPRODUCT(Exposures!$B$8:$K$8,B687:K687)</f>
        <v/>
      </c>
      <c r="R687" s="5">
        <f>SUMPRODUCT(Exposures!$B$9:$K$9,B687:K687)</f>
        <v/>
      </c>
      <c r="S687" s="5">
        <f>SUMPRODUCT(Exposures!$B$10:$K$10,B687:K687)</f>
        <v/>
      </c>
    </row>
    <row r="688">
      <c r="A688" s="1" t="n">
        <v>43454</v>
      </c>
      <c r="B688" s="5" t="n">
        <v>-0.004245038007694062</v>
      </c>
      <c r="C688" s="5" t="n">
        <v>0.003980393692108317</v>
      </c>
      <c r="D688" s="5" t="n">
        <v>0.0003430795135699018</v>
      </c>
      <c r="E688" s="5" t="n">
        <v>-0.001805836192436923</v>
      </c>
      <c r="F688" s="5" t="n">
        <v>-0.003198095144858454</v>
      </c>
      <c r="G688" s="5" t="n">
        <v>-0.01731745539598693</v>
      </c>
      <c r="H688" s="5" t="n">
        <v>-0.001133018806569612</v>
      </c>
      <c r="I688" s="5" t="n">
        <v>-0.003421604924775332</v>
      </c>
      <c r="J688" s="5" t="n">
        <v>0.0004242969859279895</v>
      </c>
      <c r="K688" s="5" t="n">
        <v>0.008743375417184869</v>
      </c>
      <c r="L688" s="5" t="n">
        <v>0.000200172970864316</v>
      </c>
      <c r="M688" s="5">
        <f>SUMPRODUCT(Exposures!$B$6:$K$6,B688:K688)</f>
        <v/>
      </c>
      <c r="N688" s="5">
        <f>IF(AND($A688&gt;=DATE(2020,2,1),$A688&lt;=DATE(2020,5,31)),$M688,"")</f>
        <v/>
      </c>
      <c r="O688" s="5">
        <f>IF(AND($A688&gt;=DATE(2022,1,1),$A688&lt;=DATE(2022,10,31)),$M688,"")</f>
        <v/>
      </c>
      <c r="P688" s="5">
        <f>IF(AND($A688&gt;=DATE(2018,10,1),$A688&lt;=DATE(2018,12,31)),$M688,"")</f>
        <v/>
      </c>
      <c r="Q688" s="5">
        <f>SUMPRODUCT(Exposures!$B$8:$K$8,B688:K688)</f>
        <v/>
      </c>
      <c r="R688" s="5">
        <f>SUMPRODUCT(Exposures!$B$9:$K$9,B688:K688)</f>
        <v/>
      </c>
      <c r="S688" s="5">
        <f>SUMPRODUCT(Exposures!$B$10:$K$10,B688:K688)</f>
        <v/>
      </c>
    </row>
    <row r="689">
      <c r="A689" s="1" t="n">
        <v>43455</v>
      </c>
      <c r="B689" s="5" t="n">
        <v>-0.004467073963221557</v>
      </c>
      <c r="C689" s="5" t="n">
        <v>0.002410429337067135</v>
      </c>
      <c r="D689" s="5" t="n">
        <v>-0.002925963667060853</v>
      </c>
      <c r="E689" s="5" t="n">
        <v>-0.002853667509599427</v>
      </c>
      <c r="F689" s="5" t="n">
        <v>-0.003329279940150345</v>
      </c>
      <c r="G689" s="5" t="n">
        <v>-0.02342904323561171</v>
      </c>
      <c r="H689" s="5" t="n">
        <v>-0.002148724660186101</v>
      </c>
      <c r="I689" s="5" t="n">
        <v>-0.001607800821656551</v>
      </c>
      <c r="J689" s="5" t="n">
        <v>-0.006393671697519481</v>
      </c>
      <c r="K689" s="5" t="n">
        <v>0.002620531080712595</v>
      </c>
      <c r="L689" s="5" t="n">
        <v>-0.0009806418601255628</v>
      </c>
      <c r="M689" s="5">
        <f>SUMPRODUCT(Exposures!$B$6:$K$6,B689:K689)</f>
        <v/>
      </c>
      <c r="N689" s="5">
        <f>IF(AND($A689&gt;=DATE(2020,2,1),$A689&lt;=DATE(2020,5,31)),$M689,"")</f>
        <v/>
      </c>
      <c r="O689" s="5">
        <f>IF(AND($A689&gt;=DATE(2022,1,1),$A689&lt;=DATE(2022,10,31)),$M689,"")</f>
        <v/>
      </c>
      <c r="P689" s="5">
        <f>IF(AND($A689&gt;=DATE(2018,10,1),$A689&lt;=DATE(2018,12,31)),$M689,"")</f>
        <v/>
      </c>
      <c r="Q689" s="5">
        <f>SUMPRODUCT(Exposures!$B$8:$K$8,B689:K689)</f>
        <v/>
      </c>
      <c r="R689" s="5">
        <f>SUMPRODUCT(Exposures!$B$9:$K$9,B689:K689)</f>
        <v/>
      </c>
      <c r="S689" s="5">
        <f>SUMPRODUCT(Exposures!$B$10:$K$10,B689:K689)</f>
        <v/>
      </c>
    </row>
    <row r="690">
      <c r="A690" s="1" t="n">
        <v>43458</v>
      </c>
      <c r="B690" s="5" t="n">
        <v>0.00506950045335644</v>
      </c>
      <c r="C690" s="5" t="n">
        <v>0.002407327150369981</v>
      </c>
      <c r="D690" s="5" t="n">
        <v>-0.00421372963569499</v>
      </c>
      <c r="E690" s="5" t="n">
        <v>-0.002629518704004657</v>
      </c>
      <c r="F690" s="5" t="n">
        <v>-0.01845461637635108</v>
      </c>
      <c r="G690" s="5" t="n">
        <v>-0.020486041738322</v>
      </c>
      <c r="H690" s="5" t="n">
        <v>0.005722824256501053</v>
      </c>
      <c r="I690" s="5" t="n">
        <v>-1.851503149935681e-05</v>
      </c>
      <c r="J690" s="5" t="n">
        <v>0.009470943121689786</v>
      </c>
      <c r="K690" s="5" t="n">
        <v>0.0168216387341308</v>
      </c>
      <c r="L690" s="5" t="n">
        <v>0.005977098597217084</v>
      </c>
      <c r="M690" s="5">
        <f>SUMPRODUCT(Exposures!$B$6:$K$6,B690:K690)</f>
        <v/>
      </c>
      <c r="N690" s="5">
        <f>IF(AND($A690&gt;=DATE(2020,2,1),$A690&lt;=DATE(2020,5,31)),$M690,"")</f>
        <v/>
      </c>
      <c r="O690" s="5">
        <f>IF(AND($A690&gt;=DATE(2022,1,1),$A690&lt;=DATE(2022,10,31)),$M690,"")</f>
        <v/>
      </c>
      <c r="P690" s="5">
        <f>IF(AND($A690&gt;=DATE(2018,10,1),$A690&lt;=DATE(2018,12,31)),$M690,"")</f>
        <v/>
      </c>
      <c r="Q690" s="5">
        <f>SUMPRODUCT(Exposures!$B$8:$K$8,B690:K690)</f>
        <v/>
      </c>
      <c r="R690" s="5">
        <f>SUMPRODUCT(Exposures!$B$9:$K$9,B690:K690)</f>
        <v/>
      </c>
      <c r="S690" s="5">
        <f>SUMPRODUCT(Exposures!$B$10:$K$10,B690:K690)</f>
        <v/>
      </c>
    </row>
    <row r="691">
      <c r="A691" s="1" t="n">
        <v>43460</v>
      </c>
      <c r="B691" s="5" t="n">
        <v>0.01083565801980452</v>
      </c>
      <c r="C691" s="5" t="n">
        <v>-0.004459521314787799</v>
      </c>
      <c r="D691" s="5" t="n">
        <v>-0.001576647565959638</v>
      </c>
      <c r="E691" s="5" t="n">
        <v>-0.0001045399833339694</v>
      </c>
      <c r="F691" s="5" t="n">
        <v>0.0130018464586637</v>
      </c>
      <c r="G691" s="5" t="n">
        <v>0.04975714552833427</v>
      </c>
      <c r="H691" s="5" t="n">
        <v>-0.0007100728044728299</v>
      </c>
      <c r="I691" s="5" t="n">
        <v>0.004418868399691358</v>
      </c>
      <c r="J691" s="5" t="n">
        <v>0.002703766295622783</v>
      </c>
      <c r="K691" s="5" t="n">
        <v>-0.01515786834781372</v>
      </c>
      <c r="L691" s="5" t="n">
        <v>-0.0008828596287509714</v>
      </c>
      <c r="M691" s="5">
        <f>SUMPRODUCT(Exposures!$B$6:$K$6,B691:K691)</f>
        <v/>
      </c>
      <c r="N691" s="5">
        <f>IF(AND($A691&gt;=DATE(2020,2,1),$A691&lt;=DATE(2020,5,31)),$M691,"")</f>
        <v/>
      </c>
      <c r="O691" s="5">
        <f>IF(AND($A691&gt;=DATE(2022,1,1),$A691&lt;=DATE(2022,10,31)),$M691,"")</f>
        <v/>
      </c>
      <c r="P691" s="5">
        <f>IF(AND($A691&gt;=DATE(2018,10,1),$A691&lt;=DATE(2018,12,31)),$M691,"")</f>
        <v/>
      </c>
      <c r="Q691" s="5">
        <f>SUMPRODUCT(Exposures!$B$8:$K$8,B691:K691)</f>
        <v/>
      </c>
      <c r="R691" s="5">
        <f>SUMPRODUCT(Exposures!$B$9:$K$9,B691:K691)</f>
        <v/>
      </c>
      <c r="S691" s="5">
        <f>SUMPRODUCT(Exposures!$B$10:$K$10,B691:K691)</f>
        <v/>
      </c>
    </row>
    <row r="692">
      <c r="A692" s="1" t="n">
        <v>43461</v>
      </c>
      <c r="B692" s="5" t="n">
        <v>0.002839894696191325</v>
      </c>
      <c r="C692" s="5" t="n">
        <v>0.0003326522576441254</v>
      </c>
      <c r="D692" s="5" t="n">
        <v>-0.006070069273009139</v>
      </c>
      <c r="E692" s="5" t="n">
        <v>-0.001232279967980825</v>
      </c>
      <c r="F692" s="5" t="n">
        <v>-0.0117957148636029</v>
      </c>
      <c r="G692" s="5" t="n">
        <v>0.007010940256074683</v>
      </c>
      <c r="H692" s="5" t="n">
        <v>0.001651524858883012</v>
      </c>
      <c r="I692" s="5" t="n">
        <v>-0.002678129827032554</v>
      </c>
      <c r="J692" s="5" t="n">
        <v>-0.003295177139677543</v>
      </c>
      <c r="K692" s="5" t="n">
        <v>0.0108328006117773</v>
      </c>
      <c r="L692" s="5" t="n">
        <v>0.00149968357859508</v>
      </c>
      <c r="M692" s="5">
        <f>SUMPRODUCT(Exposures!$B$6:$K$6,B692:K692)</f>
        <v/>
      </c>
      <c r="N692" s="5">
        <f>IF(AND($A692&gt;=DATE(2020,2,1),$A692&lt;=DATE(2020,5,31)),$M692,"")</f>
        <v/>
      </c>
      <c r="O692" s="5">
        <f>IF(AND($A692&gt;=DATE(2022,1,1),$A692&lt;=DATE(2022,10,31)),$M692,"")</f>
        <v/>
      </c>
      <c r="P692" s="5">
        <f>IF(AND($A692&gt;=DATE(2018,10,1),$A692&lt;=DATE(2018,12,31)),$M692,"")</f>
        <v/>
      </c>
      <c r="Q692" s="5">
        <f>SUMPRODUCT(Exposures!$B$8:$K$8,B692:K692)</f>
        <v/>
      </c>
      <c r="R692" s="5">
        <f>SUMPRODUCT(Exposures!$B$9:$K$9,B692:K692)</f>
        <v/>
      </c>
      <c r="S692" s="5">
        <f>SUMPRODUCT(Exposures!$B$10:$K$10,B692:K692)</f>
        <v/>
      </c>
    </row>
    <row r="693">
      <c r="A693" s="1" t="n">
        <v>43462</v>
      </c>
      <c r="B693" s="5" t="n">
        <v>-0.001132550993756497</v>
      </c>
      <c r="C693" s="5" t="n">
        <v>-0.001243052802773424</v>
      </c>
      <c r="D693" s="5" t="n">
        <v>-0.003210773246790231</v>
      </c>
      <c r="E693" s="5" t="n">
        <v>0.000117099734325222</v>
      </c>
      <c r="F693" s="5" t="n">
        <v>0.006327256050688009</v>
      </c>
      <c r="G693" s="5" t="n">
        <v>0.000410495160040058</v>
      </c>
      <c r="H693" s="5" t="n">
        <v>-0.002784260020952051</v>
      </c>
      <c r="I693" s="5" t="n">
        <v>0.00338748380598745</v>
      </c>
      <c r="J693" s="5" t="n">
        <v>-0.002135574573484708</v>
      </c>
      <c r="K693" s="5" t="n">
        <v>-0.009106358820838927</v>
      </c>
      <c r="L693" s="5" t="n">
        <v>-0.002242643591115397</v>
      </c>
      <c r="M693" s="5">
        <f>SUMPRODUCT(Exposures!$B$6:$K$6,B693:K693)</f>
        <v/>
      </c>
      <c r="N693" s="5">
        <f>IF(AND($A693&gt;=DATE(2020,2,1),$A693&lt;=DATE(2020,5,31)),$M693,"")</f>
        <v/>
      </c>
      <c r="O693" s="5">
        <f>IF(AND($A693&gt;=DATE(2022,1,1),$A693&lt;=DATE(2022,10,31)),$M693,"")</f>
        <v/>
      </c>
      <c r="P693" s="5">
        <f>IF(AND($A693&gt;=DATE(2018,10,1),$A693&lt;=DATE(2018,12,31)),$M693,"")</f>
        <v/>
      </c>
      <c r="Q693" s="5">
        <f>SUMPRODUCT(Exposures!$B$8:$K$8,B693:K693)</f>
        <v/>
      </c>
      <c r="R693" s="5">
        <f>SUMPRODUCT(Exposures!$B$9:$K$9,B693:K693)</f>
        <v/>
      </c>
      <c r="S693" s="5">
        <f>SUMPRODUCT(Exposures!$B$10:$K$10,B693:K693)</f>
        <v/>
      </c>
    </row>
    <row r="694">
      <c r="A694" s="1" t="n">
        <v>43465</v>
      </c>
      <c r="B694" s="5" t="n">
        <v>0.001055125202301813</v>
      </c>
      <c r="C694" s="5" t="n">
        <v>-0.003197641821052616</v>
      </c>
      <c r="D694" s="5" t="n">
        <v>0.000280437082485505</v>
      </c>
      <c r="E694" s="5" t="n">
        <v>0.0005141316245272197</v>
      </c>
      <c r="F694" s="5" t="n">
        <v>0.007106945735391989</v>
      </c>
      <c r="G694" s="5" t="n">
        <v>0.008898249037253081</v>
      </c>
      <c r="H694" s="5" t="n">
        <v>4.57522872364563e-05</v>
      </c>
      <c r="I694" s="5" t="n">
        <v>0.001082983685100714</v>
      </c>
      <c r="J694" s="5" t="n">
        <v>-0.00103136304986166</v>
      </c>
      <c r="K694" s="5" t="n">
        <v>-0.007167920478694205</v>
      </c>
      <c r="L694" s="5" t="n">
        <v>-0.003644276087873243</v>
      </c>
      <c r="M694" s="5">
        <f>SUMPRODUCT(Exposures!$B$6:$K$6,B694:K694)</f>
        <v/>
      </c>
      <c r="N694" s="5">
        <f>IF(AND($A694&gt;=DATE(2020,2,1),$A694&lt;=DATE(2020,5,31)),$M694,"")</f>
        <v/>
      </c>
      <c r="O694" s="5">
        <f>IF(AND($A694&gt;=DATE(2022,1,1),$A694&lt;=DATE(2022,10,31)),$M694,"")</f>
        <v/>
      </c>
      <c r="P694" s="5">
        <f>IF(AND($A694&gt;=DATE(2018,10,1),$A694&lt;=DATE(2018,12,31)),$M694,"")</f>
        <v/>
      </c>
      <c r="Q694" s="5">
        <f>SUMPRODUCT(Exposures!$B$8:$K$8,B694:K694)</f>
        <v/>
      </c>
      <c r="R694" s="5">
        <f>SUMPRODUCT(Exposures!$B$9:$K$9,B694:K694)</f>
        <v/>
      </c>
      <c r="S694" s="5">
        <f>SUMPRODUCT(Exposures!$B$10:$K$10,B694:K694)</f>
        <v/>
      </c>
    </row>
    <row r="695">
      <c r="A695" s="1" t="n">
        <v>43467</v>
      </c>
      <c r="B695" s="5" t="n">
        <v>0.006827929399789776</v>
      </c>
      <c r="C695" s="5" t="n">
        <v>0.0003090017788130825</v>
      </c>
      <c r="D695" s="5" t="n">
        <v>0.003720839899392726</v>
      </c>
      <c r="E695" s="5" t="n">
        <v>0.005221262183163522</v>
      </c>
      <c r="F695" s="5" t="n">
        <v>-0.006855256823464334</v>
      </c>
      <c r="G695" s="5" t="n">
        <v>0.00602680816458638</v>
      </c>
      <c r="H695" s="5" t="n">
        <v>-0.003035493762987323</v>
      </c>
      <c r="I695" s="5" t="n">
        <v>0.002339316902577661</v>
      </c>
      <c r="J695" s="5" t="n">
        <v>0.01051097587827998</v>
      </c>
      <c r="K695" s="5" t="n">
        <v>0.001997307259092468</v>
      </c>
      <c r="L695" s="5" t="n">
        <v>0.005370991048446652</v>
      </c>
      <c r="M695" s="5">
        <f>SUMPRODUCT(Exposures!$B$6:$K$6,B695:K695)</f>
        <v/>
      </c>
      <c r="N695" s="5">
        <f>IF(AND($A695&gt;=DATE(2020,2,1),$A695&lt;=DATE(2020,5,31)),$M695,"")</f>
        <v/>
      </c>
      <c r="O695" s="5">
        <f>IF(AND($A695&gt;=DATE(2022,1,1),$A695&lt;=DATE(2022,10,31)),$M695,"")</f>
        <v/>
      </c>
      <c r="P695" s="5">
        <f>IF(AND($A695&gt;=DATE(2018,10,1),$A695&lt;=DATE(2018,12,31)),$M695,"")</f>
        <v/>
      </c>
      <c r="Q695" s="5">
        <f>SUMPRODUCT(Exposures!$B$8:$K$8,B695:K695)</f>
        <v/>
      </c>
      <c r="R695" s="5">
        <f>SUMPRODUCT(Exposures!$B$9:$K$9,B695:K695)</f>
        <v/>
      </c>
      <c r="S695" s="5">
        <f>SUMPRODUCT(Exposures!$B$10:$K$10,B695:K695)</f>
        <v/>
      </c>
    </row>
    <row r="696">
      <c r="A696" s="1" t="n">
        <v>43468</v>
      </c>
      <c r="B696" s="5" t="n">
        <v>-0.01143127968343028</v>
      </c>
      <c r="C696" s="5" t="n">
        <v>-0.001218067020398008</v>
      </c>
      <c r="D696" s="5" t="n">
        <v>-0.0001710712879257189</v>
      </c>
      <c r="E696" s="5" t="n">
        <v>0.002695044336272675</v>
      </c>
      <c r="F696" s="5" t="n">
        <v>-0.008879541050836048</v>
      </c>
      <c r="G696" s="5" t="n">
        <v>-0.02152615246845042</v>
      </c>
      <c r="H696" s="5" t="n">
        <v>0.001412532609532274</v>
      </c>
      <c r="I696" s="5" t="n">
        <v>-0.00292236945344719</v>
      </c>
      <c r="J696" s="5" t="n">
        <v>0.0004627763249668067</v>
      </c>
      <c r="K696" s="5" t="n">
        <v>0.006779222301530177</v>
      </c>
      <c r="L696" s="5" t="n">
        <v>0.003554008326604842</v>
      </c>
      <c r="M696" s="5">
        <f>SUMPRODUCT(Exposures!$B$6:$K$6,B696:K696)</f>
        <v/>
      </c>
      <c r="N696" s="5">
        <f>IF(AND($A696&gt;=DATE(2020,2,1),$A696&lt;=DATE(2020,5,31)),$M696,"")</f>
        <v/>
      </c>
      <c r="O696" s="5">
        <f>IF(AND($A696&gt;=DATE(2022,1,1),$A696&lt;=DATE(2022,10,31)),$M696,"")</f>
        <v/>
      </c>
      <c r="P696" s="5">
        <f>IF(AND($A696&gt;=DATE(2018,10,1),$A696&lt;=DATE(2018,12,31)),$M696,"")</f>
        <v/>
      </c>
      <c r="Q696" s="5">
        <f>SUMPRODUCT(Exposures!$B$8:$K$8,B696:K696)</f>
        <v/>
      </c>
      <c r="R696" s="5">
        <f>SUMPRODUCT(Exposures!$B$9:$K$9,B696:K696)</f>
        <v/>
      </c>
      <c r="S696" s="5">
        <f>SUMPRODUCT(Exposures!$B$10:$K$10,B696:K696)</f>
        <v/>
      </c>
    </row>
    <row r="697">
      <c r="A697" s="1" t="n">
        <v>43469</v>
      </c>
      <c r="B697" s="5" t="n">
        <v>0.01336814085864755</v>
      </c>
      <c r="C697" s="5" t="n">
        <v>0.001787858304964389</v>
      </c>
      <c r="D697" s="5" t="n">
        <v>0.003309930761130901</v>
      </c>
      <c r="E697" s="5" t="n">
        <v>0.003905578329724008</v>
      </c>
      <c r="F697" s="5" t="n">
        <v>-0.003404770281319005</v>
      </c>
      <c r="G697" s="5" t="n">
        <v>0.03481326880121011</v>
      </c>
      <c r="H697" s="5" t="n">
        <v>-0.001654244108903283</v>
      </c>
      <c r="I697" s="5" t="n">
        <v>0.001705442341699241</v>
      </c>
      <c r="J697" s="5" t="n">
        <v>0.002942230994348522</v>
      </c>
      <c r="K697" s="5" t="n">
        <v>0.001546335095047882</v>
      </c>
      <c r="L697" s="5" t="n">
        <v>0.0001118338751516388</v>
      </c>
      <c r="M697" s="5">
        <f>SUMPRODUCT(Exposures!$B$6:$K$6,B697:K697)</f>
        <v/>
      </c>
      <c r="N697" s="5">
        <f>IF(AND($A697&gt;=DATE(2020,2,1),$A697&lt;=DATE(2020,5,31)),$M697,"")</f>
        <v/>
      </c>
      <c r="O697" s="5">
        <f>IF(AND($A697&gt;=DATE(2022,1,1),$A697&lt;=DATE(2022,10,31)),$M697,"")</f>
        <v/>
      </c>
      <c r="P697" s="5">
        <f>IF(AND($A697&gt;=DATE(2018,10,1),$A697&lt;=DATE(2018,12,31)),$M697,"")</f>
        <v/>
      </c>
      <c r="Q697" s="5">
        <f>SUMPRODUCT(Exposures!$B$8:$K$8,B697:K697)</f>
        <v/>
      </c>
      <c r="R697" s="5">
        <f>SUMPRODUCT(Exposures!$B$9:$K$9,B697:K697)</f>
        <v/>
      </c>
      <c r="S697" s="5">
        <f>SUMPRODUCT(Exposures!$B$10:$K$10,B697:K697)</f>
        <v/>
      </c>
    </row>
    <row r="698">
      <c r="A698" s="1" t="n">
        <v>43472</v>
      </c>
      <c r="B698" s="5" t="n">
        <v>0.006209089216128531</v>
      </c>
      <c r="C698" s="5" t="n">
        <v>-0.002598649064019562</v>
      </c>
      <c r="D698" s="5" t="n">
        <v>-0.00450744195377902</v>
      </c>
      <c r="E698" s="5" t="n">
        <v>0.0007234245803230368</v>
      </c>
      <c r="F698" s="5" t="n">
        <v>0.006841967368981502</v>
      </c>
      <c r="G698" s="5" t="n">
        <v>0.01472930490884549</v>
      </c>
      <c r="H698" s="5" t="n">
        <v>-4.625011717147582e-05</v>
      </c>
      <c r="I698" s="5" t="n">
        <v>0.001111098094024731</v>
      </c>
      <c r="J698" s="5" t="n">
        <v>0.006918910678065389</v>
      </c>
      <c r="K698" s="5" t="n">
        <v>-0.009845775664439475</v>
      </c>
      <c r="L698" s="5" t="n">
        <v>-0.002078090200944297</v>
      </c>
      <c r="M698" s="5">
        <f>SUMPRODUCT(Exposures!$B$6:$K$6,B698:K698)</f>
        <v/>
      </c>
      <c r="N698" s="5">
        <f>IF(AND($A698&gt;=DATE(2020,2,1),$A698&lt;=DATE(2020,5,31)),$M698,"")</f>
        <v/>
      </c>
      <c r="O698" s="5">
        <f>IF(AND($A698&gt;=DATE(2022,1,1),$A698&lt;=DATE(2022,10,31)),$M698,"")</f>
        <v/>
      </c>
      <c r="P698" s="5">
        <f>IF(AND($A698&gt;=DATE(2018,10,1),$A698&lt;=DATE(2018,12,31)),$M698,"")</f>
        <v/>
      </c>
      <c r="Q698" s="5">
        <f>SUMPRODUCT(Exposures!$B$8:$K$8,B698:K698)</f>
        <v/>
      </c>
      <c r="R698" s="5">
        <f>SUMPRODUCT(Exposures!$B$9:$K$9,B698:K698)</f>
        <v/>
      </c>
      <c r="S698" s="5">
        <f>SUMPRODUCT(Exposures!$B$10:$K$10,B698:K698)</f>
        <v/>
      </c>
    </row>
    <row r="699">
      <c r="A699" s="1" t="n">
        <v>43473</v>
      </c>
      <c r="B699" s="5" t="n">
        <v>0.003059618115277188</v>
      </c>
      <c r="C699" s="5" t="n">
        <v>-0.0005250113106879512</v>
      </c>
      <c r="D699" s="5" t="n">
        <v>-0.0001127014600629311</v>
      </c>
      <c r="E699" s="5" t="n">
        <v>-0.0007831836172435055</v>
      </c>
      <c r="F699" s="5" t="n">
        <v>-0.001774234039363082</v>
      </c>
      <c r="G699" s="5" t="n">
        <v>0.0109251358595916</v>
      </c>
      <c r="H699" s="5" t="n">
        <v>0.001691951339206002</v>
      </c>
      <c r="I699" s="5" t="n">
        <v>-0.0007359989418399542</v>
      </c>
      <c r="J699" s="5" t="n">
        <v>-0.00234913158318896</v>
      </c>
      <c r="K699" s="5" t="n">
        <v>-0.002122057561016937</v>
      </c>
      <c r="L699" s="5" t="n">
        <v>-0.001149279458356084</v>
      </c>
      <c r="M699" s="5">
        <f>SUMPRODUCT(Exposures!$B$6:$K$6,B699:K699)</f>
        <v/>
      </c>
      <c r="N699" s="5">
        <f>IF(AND($A699&gt;=DATE(2020,2,1),$A699&lt;=DATE(2020,5,31)),$M699,"")</f>
        <v/>
      </c>
      <c r="O699" s="5">
        <f>IF(AND($A699&gt;=DATE(2022,1,1),$A699&lt;=DATE(2022,10,31)),$M699,"")</f>
        <v/>
      </c>
      <c r="P699" s="5">
        <f>IF(AND($A699&gt;=DATE(2018,10,1),$A699&lt;=DATE(2018,12,31)),$M699,"")</f>
        <v/>
      </c>
      <c r="Q699" s="5">
        <f>SUMPRODUCT(Exposures!$B$8:$K$8,B699:K699)</f>
        <v/>
      </c>
      <c r="R699" s="5">
        <f>SUMPRODUCT(Exposures!$B$9:$K$9,B699:K699)</f>
        <v/>
      </c>
      <c r="S699" s="5">
        <f>SUMPRODUCT(Exposures!$B$10:$K$10,B699:K699)</f>
        <v/>
      </c>
    </row>
    <row r="700">
      <c r="A700" s="1" t="n">
        <v>43474</v>
      </c>
      <c r="B700" s="5" t="n">
        <v>0.006499115341374786</v>
      </c>
      <c r="C700" s="5" t="n">
        <v>0.0004814089568322942</v>
      </c>
      <c r="D700" s="5" t="n">
        <v>0.001001300928879533</v>
      </c>
      <c r="E700" s="5" t="n">
        <v>-0.001603750973944318</v>
      </c>
      <c r="F700" s="5" t="n">
        <v>-0.004334621652461968</v>
      </c>
      <c r="G700" s="5" t="n">
        <v>0.007731287310573241</v>
      </c>
      <c r="H700" s="5" t="n">
        <v>-0.003739838271054704</v>
      </c>
      <c r="I700" s="5" t="n">
        <v>-0.001946659559150242</v>
      </c>
      <c r="J700" s="5" t="n">
        <v>0.001141182016237445</v>
      </c>
      <c r="K700" s="5" t="n">
        <v>0.002802865018628478</v>
      </c>
      <c r="L700" s="5" t="n">
        <v>0.002605824306852221</v>
      </c>
      <c r="M700" s="5">
        <f>SUMPRODUCT(Exposures!$B$6:$K$6,B700:K700)</f>
        <v/>
      </c>
      <c r="N700" s="5">
        <f>IF(AND($A700&gt;=DATE(2020,2,1),$A700&lt;=DATE(2020,5,31)),$M700,"")</f>
        <v/>
      </c>
      <c r="O700" s="5">
        <f>IF(AND($A700&gt;=DATE(2022,1,1),$A700&lt;=DATE(2022,10,31)),$M700,"")</f>
        <v/>
      </c>
      <c r="P700" s="5">
        <f>IF(AND($A700&gt;=DATE(2018,10,1),$A700&lt;=DATE(2018,12,31)),$M700,"")</f>
        <v/>
      </c>
      <c r="Q700" s="5">
        <f>SUMPRODUCT(Exposures!$B$8:$K$8,B700:K700)</f>
        <v/>
      </c>
      <c r="R700" s="5">
        <f>SUMPRODUCT(Exposures!$B$9:$K$9,B700:K700)</f>
        <v/>
      </c>
      <c r="S700" s="5">
        <f>SUMPRODUCT(Exposures!$B$10:$K$10,B700:K700)</f>
        <v/>
      </c>
    </row>
    <row r="701">
      <c r="A701" s="1" t="n">
        <v>43475</v>
      </c>
      <c r="B701" s="5" t="n">
        <v>0.0005584983624846603</v>
      </c>
      <c r="C701" s="5" t="n">
        <v>-0.001776337361922439</v>
      </c>
      <c r="D701" s="5" t="n">
        <v>0.0005255049320642856</v>
      </c>
      <c r="E701" s="5" t="n">
        <v>-0.001483622301988448</v>
      </c>
      <c r="F701" s="5" t="n">
        <v>-0.0008204597937958752</v>
      </c>
      <c r="G701" s="5" t="n">
        <v>0.005413219176088552</v>
      </c>
      <c r="H701" s="5" t="n">
        <v>-0.00107339629143077</v>
      </c>
      <c r="I701" s="5" t="n">
        <v>-0.001456316838575846</v>
      </c>
      <c r="J701" s="5" t="n">
        <v>-0.00358788304210671</v>
      </c>
      <c r="K701" s="5" t="n">
        <v>-0.0008332318800617481</v>
      </c>
      <c r="L701" s="5" t="n">
        <v>-0.001865691568495425</v>
      </c>
      <c r="M701" s="5">
        <f>SUMPRODUCT(Exposures!$B$6:$K$6,B701:K701)</f>
        <v/>
      </c>
      <c r="N701" s="5">
        <f>IF(AND($A701&gt;=DATE(2020,2,1),$A701&lt;=DATE(2020,5,31)),$M701,"")</f>
        <v/>
      </c>
      <c r="O701" s="5">
        <f>IF(AND($A701&gt;=DATE(2022,1,1),$A701&lt;=DATE(2022,10,31)),$M701,"")</f>
        <v/>
      </c>
      <c r="P701" s="5">
        <f>IF(AND($A701&gt;=DATE(2018,10,1),$A701&lt;=DATE(2018,12,31)),$M701,"")</f>
        <v/>
      </c>
      <c r="Q701" s="5">
        <f>SUMPRODUCT(Exposures!$B$8:$K$8,B701:K701)</f>
        <v/>
      </c>
      <c r="R701" s="5">
        <f>SUMPRODUCT(Exposures!$B$9:$K$9,B701:K701)</f>
        <v/>
      </c>
      <c r="S701" s="5">
        <f>SUMPRODUCT(Exposures!$B$10:$K$10,B701:K701)</f>
        <v/>
      </c>
    </row>
    <row r="702">
      <c r="A702" s="1" t="n">
        <v>43476</v>
      </c>
      <c r="B702" s="5" t="n">
        <v>6.225180662259677e-05</v>
      </c>
      <c r="C702" s="5" t="n">
        <v>-0.0006580794836047077</v>
      </c>
      <c r="D702" s="5" t="n">
        <v>-0.0008878537572285665</v>
      </c>
      <c r="E702" s="5" t="n">
        <v>0.002371367740603399</v>
      </c>
      <c r="F702" s="5" t="n">
        <v>-0.001663833974039265</v>
      </c>
      <c r="G702" s="5" t="n">
        <v>0.002415930012708248</v>
      </c>
      <c r="H702" s="5" t="n">
        <v>-0.0002725771650660266</v>
      </c>
      <c r="I702" s="5" t="n">
        <v>0.0006827488123913482</v>
      </c>
      <c r="J702" s="5" t="n">
        <v>0.001481135472191089</v>
      </c>
      <c r="K702" s="5" t="n">
        <v>0.000752194359084871</v>
      </c>
      <c r="L702" s="5" t="n">
        <v>0.001215286644222533</v>
      </c>
      <c r="M702" s="5">
        <f>SUMPRODUCT(Exposures!$B$6:$K$6,B702:K702)</f>
        <v/>
      </c>
      <c r="N702" s="5">
        <f>IF(AND($A702&gt;=DATE(2020,2,1),$A702&lt;=DATE(2020,5,31)),$M702,"")</f>
        <v/>
      </c>
      <c r="O702" s="5">
        <f>IF(AND($A702&gt;=DATE(2022,1,1),$A702&lt;=DATE(2022,10,31)),$M702,"")</f>
        <v/>
      </c>
      <c r="P702" s="5">
        <f>IF(AND($A702&gt;=DATE(2018,10,1),$A702&lt;=DATE(2018,12,31)),$M702,"")</f>
        <v/>
      </c>
      <c r="Q702" s="5">
        <f>SUMPRODUCT(Exposures!$B$8:$K$8,B702:K702)</f>
        <v/>
      </c>
      <c r="R702" s="5">
        <f>SUMPRODUCT(Exposures!$B$9:$K$9,B702:K702)</f>
        <v/>
      </c>
      <c r="S702" s="5">
        <f>SUMPRODUCT(Exposures!$B$10:$K$10,B702:K702)</f>
        <v/>
      </c>
    </row>
    <row r="703">
      <c r="A703" s="1" t="n">
        <v>43479</v>
      </c>
      <c r="B703" s="5" t="n">
        <v>-0.0007113550173612608</v>
      </c>
      <c r="C703" s="5" t="n">
        <v>-0.0005852880368069514</v>
      </c>
      <c r="D703" s="5" t="n">
        <v>0.0006527841675944028</v>
      </c>
      <c r="E703" s="5" t="n">
        <v>0.002613713935808442</v>
      </c>
      <c r="F703" s="5" t="n">
        <v>0.0005363140385694289</v>
      </c>
      <c r="G703" s="5" t="n">
        <v>-0.007058365601579648</v>
      </c>
      <c r="H703" s="5" t="n">
        <v>0.0002632037902574437</v>
      </c>
      <c r="I703" s="5" t="n">
        <v>-0.001514293650922943</v>
      </c>
      <c r="J703" s="5" t="n">
        <v>-0.003801472763125587</v>
      </c>
      <c r="K703" s="5" t="n">
        <v>-2.869468974352733e-05</v>
      </c>
      <c r="L703" s="5" t="n">
        <v>0.003004799174320916</v>
      </c>
      <c r="M703" s="5">
        <f>SUMPRODUCT(Exposures!$B$6:$K$6,B703:K703)</f>
        <v/>
      </c>
      <c r="N703" s="5">
        <f>IF(AND($A703&gt;=DATE(2020,2,1),$A703&lt;=DATE(2020,5,31)),$M703,"")</f>
        <v/>
      </c>
      <c r="O703" s="5">
        <f>IF(AND($A703&gt;=DATE(2022,1,1),$A703&lt;=DATE(2022,10,31)),$M703,"")</f>
        <v/>
      </c>
      <c r="P703" s="5">
        <f>IF(AND($A703&gt;=DATE(2018,10,1),$A703&lt;=DATE(2018,12,31)),$M703,"")</f>
        <v/>
      </c>
      <c r="Q703" s="5">
        <f>SUMPRODUCT(Exposures!$B$8:$K$8,B703:K703)</f>
        <v/>
      </c>
      <c r="R703" s="5">
        <f>SUMPRODUCT(Exposures!$B$9:$K$9,B703:K703)</f>
        <v/>
      </c>
      <c r="S703" s="5">
        <f>SUMPRODUCT(Exposures!$B$10:$K$10,B703:K703)</f>
        <v/>
      </c>
    </row>
    <row r="704">
      <c r="A704" s="1" t="n">
        <v>43480</v>
      </c>
      <c r="B704" s="5" t="n">
        <v>0.001063816999826391</v>
      </c>
      <c r="C704" s="5" t="n">
        <v>-0.003282068462539634</v>
      </c>
      <c r="D704" s="5" t="n">
        <v>0.002033146017028442</v>
      </c>
      <c r="E704" s="5" t="n">
        <v>-0.0001152623993345828</v>
      </c>
      <c r="F704" s="5" t="n">
        <v>-0.0004633558829916765</v>
      </c>
      <c r="G704" s="5" t="n">
        <v>0.009741087327656111</v>
      </c>
      <c r="H704" s="5" t="n">
        <v>0.004774436172108181</v>
      </c>
      <c r="I704" s="5" t="n">
        <v>0.002838360325769055</v>
      </c>
      <c r="J704" s="5" t="n">
        <v>-0.0008171074840027553</v>
      </c>
      <c r="K704" s="5" t="n">
        <v>0.0005159508482225005</v>
      </c>
      <c r="L704" s="5" t="n">
        <v>0.003241845533277386</v>
      </c>
      <c r="M704" s="5">
        <f>SUMPRODUCT(Exposures!$B$6:$K$6,B704:K704)</f>
        <v/>
      </c>
      <c r="N704" s="5">
        <f>IF(AND($A704&gt;=DATE(2020,2,1),$A704&lt;=DATE(2020,5,31)),$M704,"")</f>
        <v/>
      </c>
      <c r="O704" s="5">
        <f>IF(AND($A704&gt;=DATE(2022,1,1),$A704&lt;=DATE(2022,10,31)),$M704,"")</f>
        <v/>
      </c>
      <c r="P704" s="5">
        <f>IF(AND($A704&gt;=DATE(2018,10,1),$A704&lt;=DATE(2018,12,31)),$M704,"")</f>
        <v/>
      </c>
      <c r="Q704" s="5">
        <f>SUMPRODUCT(Exposures!$B$8:$K$8,B704:K704)</f>
        <v/>
      </c>
      <c r="R704" s="5">
        <f>SUMPRODUCT(Exposures!$B$9:$K$9,B704:K704)</f>
        <v/>
      </c>
      <c r="S704" s="5">
        <f>SUMPRODUCT(Exposures!$B$10:$K$10,B704:K704)</f>
        <v/>
      </c>
    </row>
    <row r="705">
      <c r="A705" s="1" t="n">
        <v>43481</v>
      </c>
      <c r="B705" s="5" t="n">
        <v>0.003325266494614535</v>
      </c>
      <c r="C705" s="5" t="n">
        <v>0.0005764054807519462</v>
      </c>
      <c r="D705" s="5" t="n">
        <v>0.00205329342490008</v>
      </c>
      <c r="E705" s="5" t="n">
        <v>0.002562180924903624</v>
      </c>
      <c r="F705" s="5" t="n">
        <v>-0.01165397496644242</v>
      </c>
      <c r="G705" s="5" t="n">
        <v>0.007700390927623285</v>
      </c>
      <c r="H705" s="5" t="n">
        <v>-0.001344831686003011</v>
      </c>
      <c r="I705" s="5" t="n">
        <v>-0.001885459818646068</v>
      </c>
      <c r="J705" s="5" t="n">
        <v>0.0036036714121467</v>
      </c>
      <c r="K705" s="5" t="n">
        <v>0.01150326627961194</v>
      </c>
      <c r="L705" s="5" t="n">
        <v>0.005814013932837372</v>
      </c>
      <c r="M705" s="5">
        <f>SUMPRODUCT(Exposures!$B$6:$K$6,B705:K705)</f>
        <v/>
      </c>
      <c r="N705" s="5">
        <f>IF(AND($A705&gt;=DATE(2020,2,1),$A705&lt;=DATE(2020,5,31)),$M705,"")</f>
        <v/>
      </c>
      <c r="O705" s="5">
        <f>IF(AND($A705&gt;=DATE(2022,1,1),$A705&lt;=DATE(2022,10,31)),$M705,"")</f>
        <v/>
      </c>
      <c r="P705" s="5">
        <f>IF(AND($A705&gt;=DATE(2018,10,1),$A705&lt;=DATE(2018,12,31)),$M705,"")</f>
        <v/>
      </c>
      <c r="Q705" s="5">
        <f>SUMPRODUCT(Exposures!$B$8:$K$8,B705:K705)</f>
        <v/>
      </c>
      <c r="R705" s="5">
        <f>SUMPRODUCT(Exposures!$B$9:$K$9,B705:K705)</f>
        <v/>
      </c>
      <c r="S705" s="5">
        <f>SUMPRODUCT(Exposures!$B$10:$K$10,B705:K705)</f>
        <v/>
      </c>
    </row>
    <row r="706">
      <c r="A706" s="1" t="n">
        <v>43482</v>
      </c>
      <c r="B706" s="5" t="n">
        <v>0.001488238694694175</v>
      </c>
      <c r="C706" s="5" t="n">
        <v>-0.0003758426451016285</v>
      </c>
      <c r="D706" s="5" t="n">
        <v>-0.0006648543714934105</v>
      </c>
      <c r="E706" s="5" t="n">
        <v>-0.000334676776241007</v>
      </c>
      <c r="F706" s="5" t="n">
        <v>0.002418526908947916</v>
      </c>
      <c r="G706" s="5" t="n">
        <v>0.008492683380716255</v>
      </c>
      <c r="H706" s="5" t="n">
        <v>-0.0003471833745733604</v>
      </c>
      <c r="I706" s="5" t="n">
        <v>-0.0001324201181660963</v>
      </c>
      <c r="J706" s="5" t="n">
        <v>0.0002693906531631723</v>
      </c>
      <c r="K706" s="5" t="n">
        <v>-0.001827949164689816</v>
      </c>
      <c r="L706" s="5" t="n">
        <v>-0.001107031668369734</v>
      </c>
      <c r="M706" s="5">
        <f>SUMPRODUCT(Exposures!$B$6:$K$6,B706:K706)</f>
        <v/>
      </c>
      <c r="N706" s="5">
        <f>IF(AND($A706&gt;=DATE(2020,2,1),$A706&lt;=DATE(2020,5,31)),$M706,"")</f>
        <v/>
      </c>
      <c r="O706" s="5">
        <f>IF(AND($A706&gt;=DATE(2022,1,1),$A706&lt;=DATE(2022,10,31)),$M706,"")</f>
        <v/>
      </c>
      <c r="P706" s="5">
        <f>IF(AND($A706&gt;=DATE(2018,10,1),$A706&lt;=DATE(2018,12,31)),$M706,"")</f>
        <v/>
      </c>
      <c r="Q706" s="5">
        <f>SUMPRODUCT(Exposures!$B$8:$K$8,B706:K706)</f>
        <v/>
      </c>
      <c r="R706" s="5">
        <f>SUMPRODUCT(Exposures!$B$9:$K$9,B706:K706)</f>
        <v/>
      </c>
      <c r="S706" s="5">
        <f>SUMPRODUCT(Exposures!$B$10:$K$10,B706:K706)</f>
        <v/>
      </c>
    </row>
    <row r="707">
      <c r="A707" s="1" t="n">
        <v>43483</v>
      </c>
      <c r="B707" s="5" t="n">
        <v>0.005360904814866988</v>
      </c>
      <c r="C707" s="5" t="n">
        <v>0.001526696157546262</v>
      </c>
      <c r="D707" s="5" t="n">
        <v>0.0006695938572143731</v>
      </c>
      <c r="E707" s="5" t="n">
        <v>0.0004828349746576729</v>
      </c>
      <c r="F707" s="5" t="n">
        <v>-0.004015987076522559</v>
      </c>
      <c r="G707" s="5" t="n">
        <v>0.01323000458860758</v>
      </c>
      <c r="H707" s="5" t="n">
        <v>0.0009045444236759105</v>
      </c>
      <c r="I707" s="5" t="n">
        <v>-0.002763970419106068</v>
      </c>
      <c r="J707" s="5" t="n">
        <v>-0.001777779337297923</v>
      </c>
      <c r="K707" s="5" t="n">
        <v>0.003842073140388289</v>
      </c>
      <c r="L707" s="5" t="n">
        <v>-0.0004873576885455204</v>
      </c>
      <c r="M707" s="5">
        <f>SUMPRODUCT(Exposures!$B$6:$K$6,B707:K707)</f>
        <v/>
      </c>
      <c r="N707" s="5">
        <f>IF(AND($A707&gt;=DATE(2020,2,1),$A707&lt;=DATE(2020,5,31)),$M707,"")</f>
        <v/>
      </c>
      <c r="O707" s="5">
        <f>IF(AND($A707&gt;=DATE(2022,1,1),$A707&lt;=DATE(2022,10,31)),$M707,"")</f>
        <v/>
      </c>
      <c r="P707" s="5">
        <f>IF(AND($A707&gt;=DATE(2018,10,1),$A707&lt;=DATE(2018,12,31)),$M707,"")</f>
        <v/>
      </c>
      <c r="Q707" s="5">
        <f>SUMPRODUCT(Exposures!$B$8:$K$8,B707:K707)</f>
        <v/>
      </c>
      <c r="R707" s="5">
        <f>SUMPRODUCT(Exposures!$B$9:$K$9,B707:K707)</f>
        <v/>
      </c>
      <c r="S707" s="5">
        <f>SUMPRODUCT(Exposures!$B$10:$K$10,B707:K707)</f>
        <v/>
      </c>
    </row>
    <row r="708">
      <c r="A708" s="1" t="n">
        <v>43487</v>
      </c>
      <c r="B708" s="5" t="n">
        <v>-0.004908246069346403</v>
      </c>
      <c r="C708" s="5" t="n">
        <v>-0.001923613098626053</v>
      </c>
      <c r="D708" s="5" t="n">
        <v>-0.001393923793683833</v>
      </c>
      <c r="E708" s="5" t="n">
        <v>-7.436739427372806e-05</v>
      </c>
      <c r="F708" s="5" t="n">
        <v>-0.003638645991260243</v>
      </c>
      <c r="G708" s="5" t="n">
        <v>-0.01466072004138859</v>
      </c>
      <c r="H708" s="5" t="n">
        <v>0.001328048860030548</v>
      </c>
      <c r="I708" s="5" t="n">
        <v>0.001264432577219523</v>
      </c>
      <c r="J708" s="5" t="n">
        <v>-0.004931722917752062</v>
      </c>
      <c r="K708" s="5" t="n">
        <v>0.001220930936834578</v>
      </c>
      <c r="L708" s="5" t="n">
        <v>-7.761206808273638e-05</v>
      </c>
      <c r="M708" s="5">
        <f>SUMPRODUCT(Exposures!$B$6:$K$6,B708:K708)</f>
        <v/>
      </c>
      <c r="N708" s="5">
        <f>IF(AND($A708&gt;=DATE(2020,2,1),$A708&lt;=DATE(2020,5,31)),$M708,"")</f>
        <v/>
      </c>
      <c r="O708" s="5">
        <f>IF(AND($A708&gt;=DATE(2022,1,1),$A708&lt;=DATE(2022,10,31)),$M708,"")</f>
        <v/>
      </c>
      <c r="P708" s="5">
        <f>IF(AND($A708&gt;=DATE(2018,10,1),$A708&lt;=DATE(2018,12,31)),$M708,"")</f>
        <v/>
      </c>
      <c r="Q708" s="5">
        <f>SUMPRODUCT(Exposures!$B$8:$K$8,B708:K708)</f>
        <v/>
      </c>
      <c r="R708" s="5">
        <f>SUMPRODUCT(Exposures!$B$9:$K$9,B708:K708)</f>
        <v/>
      </c>
      <c r="S708" s="5">
        <f>SUMPRODUCT(Exposures!$B$10:$K$10,B708:K708)</f>
        <v/>
      </c>
    </row>
    <row r="709">
      <c r="A709" s="1" t="n">
        <v>43488</v>
      </c>
      <c r="B709" s="5" t="n">
        <v>-0.003237583353933271</v>
      </c>
      <c r="C709" s="5" t="n">
        <v>-0.001306648382131564</v>
      </c>
      <c r="D709" s="5" t="n">
        <v>0.000719121541365913</v>
      </c>
      <c r="E709" s="5" t="n">
        <v>0.00103473105894465</v>
      </c>
      <c r="F709" s="5" t="n">
        <v>0.008236266623778766</v>
      </c>
      <c r="G709" s="5" t="n">
        <v>-0.001551701158865615</v>
      </c>
      <c r="H709" s="5" t="n">
        <v>0.001947516073975616</v>
      </c>
      <c r="I709" s="5" t="n">
        <v>0.002017554945078416</v>
      </c>
      <c r="J709" s="5" t="n">
        <v>-0.001638404115018085</v>
      </c>
      <c r="K709" s="5" t="n">
        <v>-0.007683114567985075</v>
      </c>
      <c r="L709" s="5" t="n">
        <v>-0.002160618311123147</v>
      </c>
      <c r="M709" s="5">
        <f>SUMPRODUCT(Exposures!$B$6:$K$6,B709:K709)</f>
        <v/>
      </c>
      <c r="N709" s="5">
        <f>IF(AND($A709&gt;=DATE(2020,2,1),$A709&lt;=DATE(2020,5,31)),$M709,"")</f>
        <v/>
      </c>
      <c r="O709" s="5">
        <f>IF(AND($A709&gt;=DATE(2022,1,1),$A709&lt;=DATE(2022,10,31)),$M709,"")</f>
        <v/>
      </c>
      <c r="P709" s="5">
        <f>IF(AND($A709&gt;=DATE(2018,10,1),$A709&lt;=DATE(2018,12,31)),$M709,"")</f>
        <v/>
      </c>
      <c r="Q709" s="5">
        <f>SUMPRODUCT(Exposures!$B$8:$K$8,B709:K709)</f>
        <v/>
      </c>
      <c r="R709" s="5">
        <f>SUMPRODUCT(Exposures!$B$9:$K$9,B709:K709)</f>
        <v/>
      </c>
      <c r="S709" s="5">
        <f>SUMPRODUCT(Exposures!$B$10:$K$10,B709:K709)</f>
        <v/>
      </c>
    </row>
    <row r="710">
      <c r="A710" s="1" t="n">
        <v>43489</v>
      </c>
      <c r="B710" s="5" t="n">
        <v>0.006557972166158204</v>
      </c>
      <c r="C710" s="5" t="n">
        <v>0.0008652342346887646</v>
      </c>
      <c r="D710" s="5" t="n">
        <v>0.0002486470949633043</v>
      </c>
      <c r="E710" s="5" t="n">
        <v>0.001092125501878765</v>
      </c>
      <c r="F710" s="5" t="n">
        <v>-9.327464588774299e-05</v>
      </c>
      <c r="G710" s="5" t="n">
        <v>0.007396949641953602</v>
      </c>
      <c r="H710" s="5" t="n">
        <v>-0.00407754806813331</v>
      </c>
      <c r="I710" s="5" t="n">
        <v>-0.001046089828087424</v>
      </c>
      <c r="J710" s="5" t="n">
        <v>0.00111271041746824</v>
      </c>
      <c r="K710" s="5" t="n">
        <v>-0.003091066227764182</v>
      </c>
      <c r="L710" s="5" t="n">
        <v>0.0004811740455026762</v>
      </c>
      <c r="M710" s="5">
        <f>SUMPRODUCT(Exposures!$B$6:$K$6,B710:K710)</f>
        <v/>
      </c>
      <c r="N710" s="5">
        <f>IF(AND($A710&gt;=DATE(2020,2,1),$A710&lt;=DATE(2020,5,31)),$M710,"")</f>
        <v/>
      </c>
      <c r="O710" s="5">
        <f>IF(AND($A710&gt;=DATE(2022,1,1),$A710&lt;=DATE(2022,10,31)),$M710,"")</f>
        <v/>
      </c>
      <c r="P710" s="5">
        <f>IF(AND($A710&gt;=DATE(2018,10,1),$A710&lt;=DATE(2018,12,31)),$M710,"")</f>
        <v/>
      </c>
      <c r="Q710" s="5">
        <f>SUMPRODUCT(Exposures!$B$8:$K$8,B710:K710)</f>
        <v/>
      </c>
      <c r="R710" s="5">
        <f>SUMPRODUCT(Exposures!$B$9:$K$9,B710:K710)</f>
        <v/>
      </c>
      <c r="S710" s="5">
        <f>SUMPRODUCT(Exposures!$B$10:$K$10,B710:K710)</f>
        <v/>
      </c>
    </row>
    <row r="711">
      <c r="A711" s="1" t="n">
        <v>43490</v>
      </c>
      <c r="B711" s="5" t="n">
        <v>0.007345729013339337</v>
      </c>
      <c r="C711" s="5" t="n">
        <v>0.001381191710859551</v>
      </c>
      <c r="D711" s="5" t="n">
        <v>0.001694337065128679</v>
      </c>
      <c r="E711" s="5" t="n">
        <v>0.001481571279568729</v>
      </c>
      <c r="F711" s="5" t="n">
        <v>-0.0006598172637551198</v>
      </c>
      <c r="G711" s="5" t="n">
        <v>0.01449198310095932</v>
      </c>
      <c r="H711" s="5" t="n">
        <v>-2.264944653138445e-05</v>
      </c>
      <c r="I711" s="5" t="n">
        <v>0.0005525189639194654</v>
      </c>
      <c r="J711" s="5" t="n">
        <v>0.003730655526633965</v>
      </c>
      <c r="K711" s="5" t="n">
        <v>-0.003498563694921543</v>
      </c>
      <c r="L711" s="5" t="n">
        <v>4.01652499756637e-05</v>
      </c>
      <c r="M711" s="5">
        <f>SUMPRODUCT(Exposures!$B$6:$K$6,B711:K711)</f>
        <v/>
      </c>
      <c r="N711" s="5">
        <f>IF(AND($A711&gt;=DATE(2020,2,1),$A711&lt;=DATE(2020,5,31)),$M711,"")</f>
        <v/>
      </c>
      <c r="O711" s="5">
        <f>IF(AND($A711&gt;=DATE(2022,1,1),$A711&lt;=DATE(2022,10,31)),$M711,"")</f>
        <v/>
      </c>
      <c r="P711" s="5">
        <f>IF(AND($A711&gt;=DATE(2018,10,1),$A711&lt;=DATE(2018,12,31)),$M711,"")</f>
        <v/>
      </c>
      <c r="Q711" s="5">
        <f>SUMPRODUCT(Exposures!$B$8:$K$8,B711:K711)</f>
        <v/>
      </c>
      <c r="R711" s="5">
        <f>SUMPRODUCT(Exposures!$B$9:$K$9,B711:K711)</f>
        <v/>
      </c>
      <c r="S711" s="5">
        <f>SUMPRODUCT(Exposures!$B$10:$K$10,B711:K711)</f>
        <v/>
      </c>
    </row>
    <row r="712">
      <c r="A712" s="1" t="n">
        <v>43493</v>
      </c>
      <c r="B712" s="5" t="n">
        <v>-0.00426414614828275</v>
      </c>
      <c r="C712" s="5" t="n">
        <v>0.001272295920830609</v>
      </c>
      <c r="D712" s="5" t="n">
        <v>0.003414512904087547</v>
      </c>
      <c r="E712" s="5" t="n">
        <v>-0.001087441045711687</v>
      </c>
      <c r="F712" s="5" t="n">
        <v>-0.0005405569400373828</v>
      </c>
      <c r="G712" s="5" t="n">
        <v>-0.00428421608819486</v>
      </c>
      <c r="H712" s="5" t="n">
        <v>-0.004078315770133771</v>
      </c>
      <c r="I712" s="5" t="n">
        <v>-0.0002870335182308347</v>
      </c>
      <c r="J712" s="5" t="n">
        <v>-0.00599111019180735</v>
      </c>
      <c r="K712" s="5" t="n">
        <v>-0.004254996768718121</v>
      </c>
      <c r="L712" s="5" t="n">
        <v>-0.001323261652312599</v>
      </c>
      <c r="M712" s="5">
        <f>SUMPRODUCT(Exposures!$B$6:$K$6,B712:K712)</f>
        <v/>
      </c>
      <c r="N712" s="5">
        <f>IF(AND($A712&gt;=DATE(2020,2,1),$A712&lt;=DATE(2020,5,31)),$M712,"")</f>
        <v/>
      </c>
      <c r="O712" s="5">
        <f>IF(AND($A712&gt;=DATE(2022,1,1),$A712&lt;=DATE(2022,10,31)),$M712,"")</f>
        <v/>
      </c>
      <c r="P712" s="5">
        <f>IF(AND($A712&gt;=DATE(2018,10,1),$A712&lt;=DATE(2018,12,31)),$M712,"")</f>
        <v/>
      </c>
      <c r="Q712" s="5">
        <f>SUMPRODUCT(Exposures!$B$8:$K$8,B712:K712)</f>
        <v/>
      </c>
      <c r="R712" s="5">
        <f>SUMPRODUCT(Exposures!$B$9:$K$9,B712:K712)</f>
        <v/>
      </c>
      <c r="S712" s="5">
        <f>SUMPRODUCT(Exposures!$B$10:$K$10,B712:K712)</f>
        <v/>
      </c>
    </row>
    <row r="713">
      <c r="A713" s="1" t="n">
        <v>43494</v>
      </c>
      <c r="B713" s="5" t="n">
        <v>-0.003008418954507455</v>
      </c>
      <c r="C713" s="5" t="n">
        <v>6.819096434319789e-06</v>
      </c>
      <c r="D713" s="5" t="n">
        <v>0.0007354941016911191</v>
      </c>
      <c r="E713" s="5" t="n">
        <v>-0.002294996374118252</v>
      </c>
      <c r="F713" s="5" t="n">
        <v>-0.005885955610436119</v>
      </c>
      <c r="G713" s="5" t="n">
        <v>-0.003017326963089523</v>
      </c>
      <c r="H713" s="5" t="n">
        <v>-0.002220965469744771</v>
      </c>
      <c r="I713" s="5" t="n">
        <v>-0.0008045392359896607</v>
      </c>
      <c r="J713" s="5" t="n">
        <v>-0.001605007159690983</v>
      </c>
      <c r="K713" s="5" t="n">
        <v>0.006848005572592719</v>
      </c>
      <c r="L713" s="5" t="n">
        <v>-0.0008354291452871752</v>
      </c>
      <c r="M713" s="5">
        <f>SUMPRODUCT(Exposures!$B$6:$K$6,B713:K713)</f>
        <v/>
      </c>
      <c r="N713" s="5">
        <f>IF(AND($A713&gt;=DATE(2020,2,1),$A713&lt;=DATE(2020,5,31)),$M713,"")</f>
        <v/>
      </c>
      <c r="O713" s="5">
        <f>IF(AND($A713&gt;=DATE(2022,1,1),$A713&lt;=DATE(2022,10,31)),$M713,"")</f>
        <v/>
      </c>
      <c r="P713" s="5">
        <f>IF(AND($A713&gt;=DATE(2018,10,1),$A713&lt;=DATE(2018,12,31)),$M713,"")</f>
        <v/>
      </c>
      <c r="Q713" s="5">
        <f>SUMPRODUCT(Exposures!$B$8:$K$8,B713:K713)</f>
        <v/>
      </c>
      <c r="R713" s="5">
        <f>SUMPRODUCT(Exposures!$B$9:$K$9,B713:K713)</f>
        <v/>
      </c>
      <c r="S713" s="5">
        <f>SUMPRODUCT(Exposures!$B$10:$K$10,B713:K713)</f>
        <v/>
      </c>
    </row>
    <row r="714">
      <c r="A714" s="1" t="n">
        <v>43495</v>
      </c>
      <c r="B714" s="5" t="n">
        <v>0.005481713153441321</v>
      </c>
      <c r="C714" s="5" t="n">
        <v>0.006218733839356833</v>
      </c>
      <c r="D714" s="5" t="n">
        <v>-0.001940913163058271</v>
      </c>
      <c r="E714" s="5" t="n">
        <v>0.0001506660472555863</v>
      </c>
      <c r="F714" s="5" t="n">
        <v>0.009834787137059216</v>
      </c>
      <c r="G714" s="5" t="n">
        <v>0.01410572598685019</v>
      </c>
      <c r="H714" s="5" t="n">
        <v>0.00607644369370841</v>
      </c>
      <c r="I714" s="5" t="n">
        <v>8.099390865352039e-05</v>
      </c>
      <c r="J714" s="5" t="n">
        <v>0.008882949818441597</v>
      </c>
      <c r="K714" s="5" t="n">
        <v>-0.001520092741779219</v>
      </c>
      <c r="L714" s="5" t="n">
        <v>-0.002204615193073183</v>
      </c>
      <c r="M714" s="5">
        <f>SUMPRODUCT(Exposures!$B$6:$K$6,B714:K714)</f>
        <v/>
      </c>
      <c r="N714" s="5">
        <f>IF(AND($A714&gt;=DATE(2020,2,1),$A714&lt;=DATE(2020,5,31)),$M714,"")</f>
        <v/>
      </c>
      <c r="O714" s="5">
        <f>IF(AND($A714&gt;=DATE(2022,1,1),$A714&lt;=DATE(2022,10,31)),$M714,"")</f>
        <v/>
      </c>
      <c r="P714" s="5">
        <f>IF(AND($A714&gt;=DATE(2018,10,1),$A714&lt;=DATE(2018,12,31)),$M714,"")</f>
        <v/>
      </c>
      <c r="Q714" s="5">
        <f>SUMPRODUCT(Exposures!$B$8:$K$8,B714:K714)</f>
        <v/>
      </c>
      <c r="R714" s="5">
        <f>SUMPRODUCT(Exposures!$B$9:$K$9,B714:K714)</f>
        <v/>
      </c>
      <c r="S714" s="5">
        <f>SUMPRODUCT(Exposures!$B$10:$K$10,B714:K714)</f>
        <v/>
      </c>
    </row>
    <row r="715">
      <c r="A715" s="1" t="n">
        <v>43496</v>
      </c>
      <c r="B715" s="5" t="n">
        <v>-0.001154953698084053</v>
      </c>
      <c r="C715" s="5" t="n">
        <v>-0.001422452045067385</v>
      </c>
      <c r="D715" s="5" t="n">
        <v>0.002642421932549284</v>
      </c>
      <c r="E715" s="5" t="n">
        <v>0.00264150921080863</v>
      </c>
      <c r="F715" s="5" t="n">
        <v>-0.00206558191187114</v>
      </c>
      <c r="G715" s="5" t="n">
        <v>0.01025280562404181</v>
      </c>
      <c r="H715" s="5" t="n">
        <v>0.002294166796175334</v>
      </c>
      <c r="I715" s="5" t="n">
        <v>-0.0002484403060285406</v>
      </c>
      <c r="J715" s="5" t="n">
        <v>0.006057746229733168</v>
      </c>
      <c r="K715" s="5" t="n">
        <v>0.007572853565201315</v>
      </c>
      <c r="L715" s="5" t="n">
        <v>-0.0006063997335658988</v>
      </c>
      <c r="M715" s="5">
        <f>SUMPRODUCT(Exposures!$B$6:$K$6,B715:K715)</f>
        <v/>
      </c>
      <c r="N715" s="5">
        <f>IF(AND($A715&gt;=DATE(2020,2,1),$A715&lt;=DATE(2020,5,31)),$M715,"")</f>
        <v/>
      </c>
      <c r="O715" s="5">
        <f>IF(AND($A715&gt;=DATE(2022,1,1),$A715&lt;=DATE(2022,10,31)),$M715,"")</f>
        <v/>
      </c>
      <c r="P715" s="5">
        <f>IF(AND($A715&gt;=DATE(2018,10,1),$A715&lt;=DATE(2018,12,31)),$M715,"")</f>
        <v/>
      </c>
      <c r="Q715" s="5">
        <f>SUMPRODUCT(Exposures!$B$8:$K$8,B715:K715)</f>
        <v/>
      </c>
      <c r="R715" s="5">
        <f>SUMPRODUCT(Exposures!$B$9:$K$9,B715:K715)</f>
        <v/>
      </c>
      <c r="S715" s="5">
        <f>SUMPRODUCT(Exposures!$B$10:$K$10,B715:K715)</f>
        <v/>
      </c>
    </row>
    <row r="716">
      <c r="A716" s="1" t="n">
        <v>43497</v>
      </c>
      <c r="B716" s="5" t="n">
        <v>0.001539344283514821</v>
      </c>
      <c r="C716" s="5" t="n">
        <v>-0.0004004157325147287</v>
      </c>
      <c r="D716" s="5" t="n">
        <v>0.005654325844043502</v>
      </c>
      <c r="E716" s="5" t="n">
        <v>0.0007692321086805832</v>
      </c>
      <c r="F716" s="5" t="n">
        <v>-0.006566674568471107</v>
      </c>
      <c r="G716" s="5" t="n">
        <v>0.003631688047903434</v>
      </c>
      <c r="H716" s="5" t="n">
        <v>-0.002020216887843499</v>
      </c>
      <c r="I716" s="5" t="n">
        <v>0.0005382486806824647</v>
      </c>
      <c r="J716" s="5" t="n">
        <v>-0.001150625902128486</v>
      </c>
      <c r="K716" s="5" t="n">
        <v>0.003333415968750708</v>
      </c>
      <c r="L716" s="5" t="n">
        <v>-0.001818590849299072</v>
      </c>
      <c r="M716" s="5">
        <f>SUMPRODUCT(Exposures!$B$6:$K$6,B716:K716)</f>
        <v/>
      </c>
      <c r="N716" s="5">
        <f>IF(AND($A716&gt;=DATE(2020,2,1),$A716&lt;=DATE(2020,5,31)),$M716,"")</f>
        <v/>
      </c>
      <c r="O716" s="5">
        <f>IF(AND($A716&gt;=DATE(2022,1,1),$A716&lt;=DATE(2022,10,31)),$M716,"")</f>
        <v/>
      </c>
      <c r="P716" s="5">
        <f>IF(AND($A716&gt;=DATE(2018,10,1),$A716&lt;=DATE(2018,12,31)),$M716,"")</f>
        <v/>
      </c>
      <c r="Q716" s="5">
        <f>SUMPRODUCT(Exposures!$B$8:$K$8,B716:K716)</f>
        <v/>
      </c>
      <c r="R716" s="5">
        <f>SUMPRODUCT(Exposures!$B$9:$K$9,B716:K716)</f>
        <v/>
      </c>
      <c r="S716" s="5">
        <f>SUMPRODUCT(Exposures!$B$10:$K$10,B716:K716)</f>
        <v/>
      </c>
    </row>
    <row r="717">
      <c r="A717" s="1" t="n">
        <v>43500</v>
      </c>
      <c r="B717" s="5" t="n">
        <v>-0.0009107607899176007</v>
      </c>
      <c r="C717" s="5" t="n">
        <v>-0.0007904638469183632</v>
      </c>
      <c r="D717" s="5" t="n">
        <v>-0.001797029292114806</v>
      </c>
      <c r="E717" s="5" t="n">
        <v>-0.000612150902292465</v>
      </c>
      <c r="F717" s="5" t="n">
        <v>0.006610596334809579</v>
      </c>
      <c r="G717" s="5" t="n">
        <v>0.005672339272085251</v>
      </c>
      <c r="H717" s="5" t="n">
        <v>-0.0009020198908406168</v>
      </c>
      <c r="I717" s="5" t="n">
        <v>0.0006434381801187506</v>
      </c>
      <c r="J717" s="5" t="n">
        <v>-0.001044665848377278</v>
      </c>
      <c r="K717" s="5" t="n">
        <v>-0.005895947883131108</v>
      </c>
      <c r="L717" s="5" t="n">
        <v>-0.0009588010002225486</v>
      </c>
      <c r="M717" s="5">
        <f>SUMPRODUCT(Exposures!$B$6:$K$6,B717:K717)</f>
        <v/>
      </c>
      <c r="N717" s="5">
        <f>IF(AND($A717&gt;=DATE(2020,2,1),$A717&lt;=DATE(2020,5,31)),$M717,"")</f>
        <v/>
      </c>
      <c r="O717" s="5">
        <f>IF(AND($A717&gt;=DATE(2022,1,1),$A717&lt;=DATE(2022,10,31)),$M717,"")</f>
        <v/>
      </c>
      <c r="P717" s="5">
        <f>IF(AND($A717&gt;=DATE(2018,10,1),$A717&lt;=DATE(2018,12,31)),$M717,"")</f>
        <v/>
      </c>
      <c r="Q717" s="5">
        <f>SUMPRODUCT(Exposures!$B$8:$K$8,B717:K717)</f>
        <v/>
      </c>
      <c r="R717" s="5">
        <f>SUMPRODUCT(Exposures!$B$9:$K$9,B717:K717)</f>
        <v/>
      </c>
      <c r="S717" s="5">
        <f>SUMPRODUCT(Exposures!$B$10:$K$10,B717:K717)</f>
        <v/>
      </c>
    </row>
    <row r="718">
      <c r="A718" s="1" t="n">
        <v>43501</v>
      </c>
      <c r="B718" s="5" t="n">
        <v>0.003187168812424118</v>
      </c>
      <c r="C718" s="5" t="n">
        <v>0.0008392342706203661</v>
      </c>
      <c r="D718" s="5" t="n">
        <v>0.000461948831616636</v>
      </c>
      <c r="E718" s="5" t="n">
        <v>-0.001528997394889457</v>
      </c>
      <c r="F718" s="5" t="n">
        <v>-0.003014159147234435</v>
      </c>
      <c r="G718" s="5" t="n">
        <v>0.003043371060736199</v>
      </c>
      <c r="H718" s="5" t="n">
        <v>-0.0002931463019257507</v>
      </c>
      <c r="I718" s="5" t="n">
        <v>0.001158738167057089</v>
      </c>
      <c r="J718" s="5" t="n">
        <v>-0.001990839908197664</v>
      </c>
      <c r="K718" s="5" t="n">
        <v>0.001764091746602808</v>
      </c>
      <c r="L718" s="5" t="n">
        <v>-0.0009317999253073693</v>
      </c>
      <c r="M718" s="5">
        <f>SUMPRODUCT(Exposures!$B$6:$K$6,B718:K718)</f>
        <v/>
      </c>
      <c r="N718" s="5">
        <f>IF(AND($A718&gt;=DATE(2020,2,1),$A718&lt;=DATE(2020,5,31)),$M718,"")</f>
        <v/>
      </c>
      <c r="O718" s="5">
        <f>IF(AND($A718&gt;=DATE(2022,1,1),$A718&lt;=DATE(2022,10,31)),$M718,"")</f>
        <v/>
      </c>
      <c r="P718" s="5">
        <f>IF(AND($A718&gt;=DATE(2018,10,1),$A718&lt;=DATE(2018,12,31)),$M718,"")</f>
        <v/>
      </c>
      <c r="Q718" s="5">
        <f>SUMPRODUCT(Exposures!$B$8:$K$8,B718:K718)</f>
        <v/>
      </c>
      <c r="R718" s="5">
        <f>SUMPRODUCT(Exposures!$B$9:$K$9,B718:K718)</f>
        <v/>
      </c>
      <c r="S718" s="5">
        <f>SUMPRODUCT(Exposures!$B$10:$K$10,B718:K718)</f>
        <v/>
      </c>
    </row>
    <row r="719">
      <c r="A719" s="1" t="n">
        <v>43502</v>
      </c>
      <c r="B719" s="5" t="n">
        <v>0.0006764400652876316</v>
      </c>
      <c r="C719" s="5" t="n">
        <v>-0.001330606441074362</v>
      </c>
      <c r="D719" s="5" t="n">
        <v>0.007852708095607605</v>
      </c>
      <c r="E719" s="5" t="n">
        <v>0.003167178344359085</v>
      </c>
      <c r="F719" s="5" t="n">
        <v>0.01526079067787563</v>
      </c>
      <c r="G719" s="5" t="n">
        <v>-0.003530245521060673</v>
      </c>
      <c r="H719" s="5" t="n">
        <v>-0.00836617716901502</v>
      </c>
      <c r="I719" s="5" t="n">
        <v>0.00195256384790244</v>
      </c>
      <c r="J719" s="5" t="n">
        <v>-0.01032472677927537</v>
      </c>
      <c r="K719" s="5" t="n">
        <v>-0.01656276056858421</v>
      </c>
      <c r="L719" s="5" t="n">
        <v>-0.007180527316485959</v>
      </c>
      <c r="M719" s="5">
        <f>SUMPRODUCT(Exposures!$B$6:$K$6,B719:K719)</f>
        <v/>
      </c>
      <c r="N719" s="5">
        <f>IF(AND($A719&gt;=DATE(2020,2,1),$A719&lt;=DATE(2020,5,31)),$M719,"")</f>
        <v/>
      </c>
      <c r="O719" s="5">
        <f>IF(AND($A719&gt;=DATE(2022,1,1),$A719&lt;=DATE(2022,10,31)),$M719,"")</f>
        <v/>
      </c>
      <c r="P719" s="5">
        <f>IF(AND($A719&gt;=DATE(2018,10,1),$A719&lt;=DATE(2018,12,31)),$M719,"")</f>
        <v/>
      </c>
      <c r="Q719" s="5">
        <f>SUMPRODUCT(Exposures!$B$8:$K$8,B719:K719)</f>
        <v/>
      </c>
      <c r="R719" s="5">
        <f>SUMPRODUCT(Exposures!$B$9:$K$9,B719:K719)</f>
        <v/>
      </c>
      <c r="S719" s="5">
        <f>SUMPRODUCT(Exposures!$B$10:$K$10,B719:K719)</f>
        <v/>
      </c>
    </row>
    <row r="720">
      <c r="A720" s="1" t="n">
        <v>43503</v>
      </c>
      <c r="B720" s="5" t="n">
        <v>-0.005990262794416167</v>
      </c>
      <c r="C720" s="5" t="n">
        <v>0.0003876124984415392</v>
      </c>
      <c r="D720" s="5" t="n">
        <v>0.001812576026978488</v>
      </c>
      <c r="E720" s="5" t="n">
        <v>-0.000870026352584709</v>
      </c>
      <c r="F720" s="5" t="n">
        <v>-0.002100114145213139</v>
      </c>
      <c r="G720" s="5" t="n">
        <v>-0.008740237434978411</v>
      </c>
      <c r="H720" s="5" t="n">
        <v>0.005927198303358599</v>
      </c>
      <c r="I720" s="5" t="n">
        <v>-0.002052311083122423</v>
      </c>
      <c r="J720" s="5" t="n">
        <v>-0.001116152197606216</v>
      </c>
      <c r="K720" s="5" t="n">
        <v>0.002709826336051587</v>
      </c>
      <c r="L720" s="5" t="n">
        <v>0.00132755632169807</v>
      </c>
      <c r="M720" s="5">
        <f>SUMPRODUCT(Exposures!$B$6:$K$6,B720:K720)</f>
        <v/>
      </c>
      <c r="N720" s="5">
        <f>IF(AND($A720&gt;=DATE(2020,2,1),$A720&lt;=DATE(2020,5,31)),$M720,"")</f>
        <v/>
      </c>
      <c r="O720" s="5">
        <f>IF(AND($A720&gt;=DATE(2022,1,1),$A720&lt;=DATE(2022,10,31)),$M720,"")</f>
        <v/>
      </c>
      <c r="P720" s="5">
        <f>IF(AND($A720&gt;=DATE(2018,10,1),$A720&lt;=DATE(2018,12,31)),$M720,"")</f>
        <v/>
      </c>
      <c r="Q720" s="5">
        <f>SUMPRODUCT(Exposures!$B$8:$K$8,B720:K720)</f>
        <v/>
      </c>
      <c r="R720" s="5">
        <f>SUMPRODUCT(Exposures!$B$9:$K$9,B720:K720)</f>
        <v/>
      </c>
      <c r="S720" s="5">
        <f>SUMPRODUCT(Exposures!$B$10:$K$10,B720:K720)</f>
        <v/>
      </c>
    </row>
    <row r="721">
      <c r="A721" s="1" t="n">
        <v>43504</v>
      </c>
      <c r="B721" s="5" t="n">
        <v>-0.0002531064693988256</v>
      </c>
      <c r="C721" s="5" t="n">
        <v>0.0006511230014147163</v>
      </c>
      <c r="D721" s="5" t="n">
        <v>-0.002313136145133896</v>
      </c>
      <c r="E721" s="5" t="n">
        <v>0.0006283553671455863</v>
      </c>
      <c r="F721" s="5" t="n">
        <v>0.0005245154735908941</v>
      </c>
      <c r="G721" s="5" t="n">
        <v>-0.0004697617877898953</v>
      </c>
      <c r="H721" s="5" t="n">
        <v>0.00375246884859036</v>
      </c>
      <c r="I721" s="5" t="n">
        <v>0.000546648311033262</v>
      </c>
      <c r="J721" s="5" t="n">
        <v>0.0006874820024699334</v>
      </c>
      <c r="K721" s="5" t="n">
        <v>0.000600976880514311</v>
      </c>
      <c r="L721" s="5" t="n">
        <v>-0.003217776356291096</v>
      </c>
      <c r="M721" s="5">
        <f>SUMPRODUCT(Exposures!$B$6:$K$6,B721:K721)</f>
        <v/>
      </c>
      <c r="N721" s="5">
        <f>IF(AND($A721&gt;=DATE(2020,2,1),$A721&lt;=DATE(2020,5,31)),$M721,"")</f>
        <v/>
      </c>
      <c r="O721" s="5">
        <f>IF(AND($A721&gt;=DATE(2022,1,1),$A721&lt;=DATE(2022,10,31)),$M721,"")</f>
        <v/>
      </c>
      <c r="P721" s="5">
        <f>IF(AND($A721&gt;=DATE(2018,10,1),$A721&lt;=DATE(2018,12,31)),$M721,"")</f>
        <v/>
      </c>
      <c r="Q721" s="5">
        <f>SUMPRODUCT(Exposures!$B$8:$K$8,B721:K721)</f>
        <v/>
      </c>
      <c r="R721" s="5">
        <f>SUMPRODUCT(Exposures!$B$9:$K$9,B721:K721)</f>
        <v/>
      </c>
      <c r="S721" s="5">
        <f>SUMPRODUCT(Exposures!$B$10:$K$10,B721:K721)</f>
        <v/>
      </c>
    </row>
    <row r="722">
      <c r="A722" s="1" t="n">
        <v>43507</v>
      </c>
      <c r="B722" s="5" t="n">
        <v>0.001509280238080433</v>
      </c>
      <c r="C722" s="5" t="n">
        <v>-0.002144227290540324</v>
      </c>
      <c r="D722" s="5" t="n">
        <v>-0.002598171851377229</v>
      </c>
      <c r="E722" s="5" t="n">
        <v>-0.0006482705706025075</v>
      </c>
      <c r="F722" s="5" t="n">
        <v>0.000628566214426894</v>
      </c>
      <c r="G722" s="5" t="n">
        <v>0.003905075134238597</v>
      </c>
      <c r="H722" s="5" t="n">
        <v>-0.0008988353070515157</v>
      </c>
      <c r="I722" s="5" t="n">
        <v>0.001110731043356483</v>
      </c>
      <c r="J722" s="5" t="n">
        <v>-0.001098484589949862</v>
      </c>
      <c r="K722" s="5" t="n">
        <v>-0.003945445647822575</v>
      </c>
      <c r="L722" s="5" t="n">
        <v>0.001049567142964804</v>
      </c>
      <c r="M722" s="5">
        <f>SUMPRODUCT(Exposures!$B$6:$K$6,B722:K722)</f>
        <v/>
      </c>
      <c r="N722" s="5">
        <f>IF(AND($A722&gt;=DATE(2020,2,1),$A722&lt;=DATE(2020,5,31)),$M722,"")</f>
        <v/>
      </c>
      <c r="O722" s="5">
        <f>IF(AND($A722&gt;=DATE(2022,1,1),$A722&lt;=DATE(2022,10,31)),$M722,"")</f>
        <v/>
      </c>
      <c r="P722" s="5">
        <f>IF(AND($A722&gt;=DATE(2018,10,1),$A722&lt;=DATE(2018,12,31)),$M722,"")</f>
        <v/>
      </c>
      <c r="Q722" s="5">
        <f>SUMPRODUCT(Exposures!$B$8:$K$8,B722:K722)</f>
        <v/>
      </c>
      <c r="R722" s="5">
        <f>SUMPRODUCT(Exposures!$B$9:$K$9,B722:K722)</f>
        <v/>
      </c>
      <c r="S722" s="5">
        <f>SUMPRODUCT(Exposures!$B$10:$K$10,B722:K722)</f>
        <v/>
      </c>
    </row>
    <row r="723">
      <c r="A723" s="1" t="n">
        <v>43508</v>
      </c>
      <c r="B723" s="5" t="n">
        <v>0.009052560878150281</v>
      </c>
      <c r="C723" s="5" t="n">
        <v>-0.001550746823888174</v>
      </c>
      <c r="D723" s="5" t="n">
        <v>0.004088011444989724</v>
      </c>
      <c r="E723" s="5" t="n">
        <v>0.002356935327283661</v>
      </c>
      <c r="F723" s="5" t="n">
        <v>-0.00307868681913346</v>
      </c>
      <c r="G723" s="5" t="n">
        <v>0.01172555866022932</v>
      </c>
      <c r="H723" s="5" t="n">
        <v>-0.004319609931536732</v>
      </c>
      <c r="I723" s="5" t="n">
        <v>-0.00314441900390701</v>
      </c>
      <c r="J723" s="5" t="n">
        <v>-0.005852316292985672</v>
      </c>
      <c r="K723" s="5" t="n">
        <v>0.001306337022586222</v>
      </c>
      <c r="L723" s="5" t="n">
        <v>0.0007629139397218757</v>
      </c>
      <c r="M723" s="5">
        <f>SUMPRODUCT(Exposures!$B$6:$K$6,B723:K723)</f>
        <v/>
      </c>
      <c r="N723" s="5">
        <f>IF(AND($A723&gt;=DATE(2020,2,1),$A723&lt;=DATE(2020,5,31)),$M723,"")</f>
        <v/>
      </c>
      <c r="O723" s="5">
        <f>IF(AND($A723&gt;=DATE(2022,1,1),$A723&lt;=DATE(2022,10,31)),$M723,"")</f>
        <v/>
      </c>
      <c r="P723" s="5">
        <f>IF(AND($A723&gt;=DATE(2018,10,1),$A723&lt;=DATE(2018,12,31)),$M723,"")</f>
        <v/>
      </c>
      <c r="Q723" s="5">
        <f>SUMPRODUCT(Exposures!$B$8:$K$8,B723:K723)</f>
        <v/>
      </c>
      <c r="R723" s="5">
        <f>SUMPRODUCT(Exposures!$B$9:$K$9,B723:K723)</f>
        <v/>
      </c>
      <c r="S723" s="5">
        <f>SUMPRODUCT(Exposures!$B$10:$K$10,B723:K723)</f>
        <v/>
      </c>
    </row>
    <row r="724">
      <c r="A724" s="1" t="n">
        <v>43509</v>
      </c>
      <c r="B724" s="5" t="n">
        <v>0.0008181021670773522</v>
      </c>
      <c r="C724" s="5" t="n">
        <v>-0.0006260330954598939</v>
      </c>
      <c r="D724" s="5" t="n">
        <v>-0.0004959684739055138</v>
      </c>
      <c r="E724" s="5" t="n">
        <v>0.0001368638912374002</v>
      </c>
      <c r="F724" s="5" t="n">
        <v>-0.004353468713931529</v>
      </c>
      <c r="G724" s="5" t="n">
        <v>0.003387521653944509</v>
      </c>
      <c r="H724" s="5" t="n">
        <v>-0.0005600625576665887</v>
      </c>
      <c r="I724" s="5" t="n">
        <v>-0.001767954667303484</v>
      </c>
      <c r="J724" s="5" t="n">
        <v>0.0005621655530927502</v>
      </c>
      <c r="K724" s="5" t="n">
        <v>0.004583289062302272</v>
      </c>
      <c r="L724" s="5" t="n">
        <v>0.0001841965620957987</v>
      </c>
      <c r="M724" s="5">
        <f>SUMPRODUCT(Exposures!$B$6:$K$6,B724:K724)</f>
        <v/>
      </c>
      <c r="N724" s="5">
        <f>IF(AND($A724&gt;=DATE(2020,2,1),$A724&lt;=DATE(2020,5,31)),$M724,"")</f>
        <v/>
      </c>
      <c r="O724" s="5">
        <f>IF(AND($A724&gt;=DATE(2022,1,1),$A724&lt;=DATE(2022,10,31)),$M724,"")</f>
        <v/>
      </c>
      <c r="P724" s="5">
        <f>IF(AND($A724&gt;=DATE(2018,10,1),$A724&lt;=DATE(2018,12,31)),$M724,"")</f>
        <v/>
      </c>
      <c r="Q724" s="5">
        <f>SUMPRODUCT(Exposures!$B$8:$K$8,B724:K724)</f>
        <v/>
      </c>
      <c r="R724" s="5">
        <f>SUMPRODUCT(Exposures!$B$9:$K$9,B724:K724)</f>
        <v/>
      </c>
      <c r="S724" s="5">
        <f>SUMPRODUCT(Exposures!$B$10:$K$10,B724:K724)</f>
        <v/>
      </c>
    </row>
    <row r="725">
      <c r="A725" s="1" t="n">
        <v>43510</v>
      </c>
      <c r="B725" s="5" t="n">
        <v>0.004317633755729647</v>
      </c>
      <c r="C725" s="5" t="n">
        <v>0.006244251481352924</v>
      </c>
      <c r="D725" s="5" t="n">
        <v>0.002096845032014015</v>
      </c>
      <c r="E725" s="5" t="n">
        <v>-0.0025826726406709</v>
      </c>
      <c r="F725" s="5" t="n">
        <v>-0.008059054937559368</v>
      </c>
      <c r="G725" s="5" t="n">
        <v>-0.0008875152479959809</v>
      </c>
      <c r="H725" s="5" t="n">
        <v>0.007073331873031333</v>
      </c>
      <c r="I725" s="5" t="n">
        <v>-0.001883686544273242</v>
      </c>
      <c r="J725" s="5" t="n">
        <v>0.003388385092710723</v>
      </c>
      <c r="K725" s="5" t="n">
        <v>0.004912058826272489</v>
      </c>
      <c r="L725" s="5" t="n">
        <v>-0.001534116369937438</v>
      </c>
      <c r="M725" s="5">
        <f>SUMPRODUCT(Exposures!$B$6:$K$6,B725:K725)</f>
        <v/>
      </c>
      <c r="N725" s="5">
        <f>IF(AND($A725&gt;=DATE(2020,2,1),$A725&lt;=DATE(2020,5,31)),$M725,"")</f>
        <v/>
      </c>
      <c r="O725" s="5">
        <f>IF(AND($A725&gt;=DATE(2022,1,1),$A725&lt;=DATE(2022,10,31)),$M725,"")</f>
        <v/>
      </c>
      <c r="P725" s="5">
        <f>IF(AND($A725&gt;=DATE(2018,10,1),$A725&lt;=DATE(2018,12,31)),$M725,"")</f>
        <v/>
      </c>
      <c r="Q725" s="5">
        <f>SUMPRODUCT(Exposures!$B$8:$K$8,B725:K725)</f>
        <v/>
      </c>
      <c r="R725" s="5">
        <f>SUMPRODUCT(Exposures!$B$9:$K$9,B725:K725)</f>
        <v/>
      </c>
      <c r="S725" s="5">
        <f>SUMPRODUCT(Exposures!$B$10:$K$10,B725:K725)</f>
        <v/>
      </c>
    </row>
    <row r="726">
      <c r="A726" s="1" t="n">
        <v>43511</v>
      </c>
      <c r="B726" s="5" t="n">
        <v>0.0007164836897101921</v>
      </c>
      <c r="C726" s="5" t="n">
        <v>-0.005567874272024678</v>
      </c>
      <c r="D726" s="5" t="n">
        <v>0.001485577855279912</v>
      </c>
      <c r="E726" s="5" t="n">
        <v>0.001823015839834311</v>
      </c>
      <c r="F726" s="5" t="n">
        <v>-0.004895521351873837</v>
      </c>
      <c r="G726" s="5" t="n">
        <v>0.01169158844622761</v>
      </c>
      <c r="H726" s="5" t="n">
        <v>-0.001692427146431609</v>
      </c>
      <c r="I726" s="5" t="n">
        <v>0.002528414192211913</v>
      </c>
      <c r="J726" s="5" t="n">
        <v>-0.001188790376258057</v>
      </c>
      <c r="K726" s="5" t="n">
        <v>0.001096413229236374</v>
      </c>
      <c r="L726" s="5" t="n">
        <v>0.003667252187638427</v>
      </c>
      <c r="M726" s="5">
        <f>SUMPRODUCT(Exposures!$B$6:$K$6,B726:K726)</f>
        <v/>
      </c>
      <c r="N726" s="5">
        <f>IF(AND($A726&gt;=DATE(2020,2,1),$A726&lt;=DATE(2020,5,31)),$M726,"")</f>
        <v/>
      </c>
      <c r="O726" s="5">
        <f>IF(AND($A726&gt;=DATE(2022,1,1),$A726&lt;=DATE(2022,10,31)),$M726,"")</f>
        <v/>
      </c>
      <c r="P726" s="5">
        <f>IF(AND($A726&gt;=DATE(2018,10,1),$A726&lt;=DATE(2018,12,31)),$M726,"")</f>
        <v/>
      </c>
      <c r="Q726" s="5">
        <f>SUMPRODUCT(Exposures!$B$8:$K$8,B726:K726)</f>
        <v/>
      </c>
      <c r="R726" s="5">
        <f>SUMPRODUCT(Exposures!$B$9:$K$9,B726:K726)</f>
        <v/>
      </c>
      <c r="S726" s="5">
        <f>SUMPRODUCT(Exposures!$B$10:$K$10,B726:K726)</f>
        <v/>
      </c>
    </row>
    <row r="727">
      <c r="A727" s="1" t="n">
        <v>43515</v>
      </c>
      <c r="B727" s="5" t="n">
        <v>-5.172360309715026e-05</v>
      </c>
      <c r="C727" s="5" t="n">
        <v>0.002418916858757037</v>
      </c>
      <c r="D727" s="5" t="n">
        <v>0.001686433978900926</v>
      </c>
      <c r="E727" s="5" t="n">
        <v>0.001842150327166267</v>
      </c>
      <c r="F727" s="5" t="n">
        <v>0.001147448067226001</v>
      </c>
      <c r="G727" s="5" t="n">
        <v>0.0008430829842973489</v>
      </c>
      <c r="H727" s="5" t="n">
        <v>0.0001284267726455727</v>
      </c>
      <c r="I727" s="5" t="n">
        <v>9.096342145086819e-05</v>
      </c>
      <c r="J727" s="5" t="n">
        <v>-0.00097126663260199</v>
      </c>
      <c r="K727" s="5" t="n">
        <v>-0.001508205425322813</v>
      </c>
      <c r="L727" s="5" t="n">
        <v>0.0005605373006529353</v>
      </c>
      <c r="M727" s="5">
        <f>SUMPRODUCT(Exposures!$B$6:$K$6,B727:K727)</f>
        <v/>
      </c>
      <c r="N727" s="5">
        <f>IF(AND($A727&gt;=DATE(2020,2,1),$A727&lt;=DATE(2020,5,31)),$M727,"")</f>
        <v/>
      </c>
      <c r="O727" s="5">
        <f>IF(AND($A727&gt;=DATE(2022,1,1),$A727&lt;=DATE(2022,10,31)),$M727,"")</f>
        <v/>
      </c>
      <c r="P727" s="5">
        <f>IF(AND($A727&gt;=DATE(2018,10,1),$A727&lt;=DATE(2018,12,31)),$M727,"")</f>
        <v/>
      </c>
      <c r="Q727" s="5">
        <f>SUMPRODUCT(Exposures!$B$8:$K$8,B727:K727)</f>
        <v/>
      </c>
      <c r="R727" s="5">
        <f>SUMPRODUCT(Exposures!$B$9:$K$9,B727:K727)</f>
        <v/>
      </c>
      <c r="S727" s="5">
        <f>SUMPRODUCT(Exposures!$B$10:$K$10,B727:K727)</f>
        <v/>
      </c>
    </row>
    <row r="728">
      <c r="A728" s="1" t="n">
        <v>43516</v>
      </c>
      <c r="B728" s="5" t="n">
        <v>0.00232075963390193</v>
      </c>
      <c r="C728" s="5" t="n">
        <v>0.00149222279896262</v>
      </c>
      <c r="D728" s="5" t="n">
        <v>-0.005659689388964489</v>
      </c>
      <c r="E728" s="5" t="n">
        <v>-0.0006497121034103101</v>
      </c>
      <c r="F728" s="5" t="n">
        <v>-0.004335986385265866</v>
      </c>
      <c r="G728" s="5" t="n">
        <v>0.002524123491331892</v>
      </c>
      <c r="H728" s="5" t="n">
        <v>-0.001126770069235313</v>
      </c>
      <c r="I728" s="5" t="n">
        <v>-0.0009875292485170932</v>
      </c>
      <c r="J728" s="5" t="n">
        <v>-0.003381996545137332</v>
      </c>
      <c r="K728" s="5" t="n">
        <v>0.00235861471122999</v>
      </c>
      <c r="L728" s="5" t="n">
        <v>0.0006959732082480123</v>
      </c>
      <c r="M728" s="5">
        <f>SUMPRODUCT(Exposures!$B$6:$K$6,B728:K728)</f>
        <v/>
      </c>
      <c r="N728" s="5">
        <f>IF(AND($A728&gt;=DATE(2020,2,1),$A728&lt;=DATE(2020,5,31)),$M728,"")</f>
        <v/>
      </c>
      <c r="O728" s="5">
        <f>IF(AND($A728&gt;=DATE(2022,1,1),$A728&lt;=DATE(2022,10,31)),$M728,"")</f>
        <v/>
      </c>
      <c r="P728" s="5">
        <f>IF(AND($A728&gt;=DATE(2018,10,1),$A728&lt;=DATE(2018,12,31)),$M728,"")</f>
        <v/>
      </c>
      <c r="Q728" s="5">
        <f>SUMPRODUCT(Exposures!$B$8:$K$8,B728:K728)</f>
        <v/>
      </c>
      <c r="R728" s="5">
        <f>SUMPRODUCT(Exposures!$B$9:$K$9,B728:K728)</f>
        <v/>
      </c>
      <c r="S728" s="5">
        <f>SUMPRODUCT(Exposures!$B$10:$K$10,B728:K728)</f>
        <v/>
      </c>
    </row>
    <row r="729">
      <c r="A729" s="1" t="n">
        <v>43517</v>
      </c>
      <c r="B729" s="5" t="n">
        <v>-0.002500314633130807</v>
      </c>
      <c r="C729" s="5" t="n">
        <v>9.946054002246528e-05</v>
      </c>
      <c r="D729" s="5" t="n">
        <v>0.0005147755336874428</v>
      </c>
      <c r="E729" s="5" t="n">
        <v>0.002422189308301527</v>
      </c>
      <c r="F729" s="5" t="n">
        <v>0.002864743461607981</v>
      </c>
      <c r="G729" s="5" t="n">
        <v>-0.003968598933256716</v>
      </c>
      <c r="H729" s="5" t="n">
        <v>0.002015429279477633</v>
      </c>
      <c r="I729" s="5" t="n">
        <v>0.0008538246973297702</v>
      </c>
      <c r="J729" s="5" t="n">
        <v>-0.002946562845117498</v>
      </c>
      <c r="K729" s="5" t="n">
        <v>-0.004844615561768736</v>
      </c>
      <c r="L729" s="5" t="n">
        <v>-0.002313021450673548</v>
      </c>
      <c r="M729" s="5">
        <f>SUMPRODUCT(Exposures!$B$6:$K$6,B729:K729)</f>
        <v/>
      </c>
      <c r="N729" s="5">
        <f>IF(AND($A729&gt;=DATE(2020,2,1),$A729&lt;=DATE(2020,5,31)),$M729,"")</f>
        <v/>
      </c>
      <c r="O729" s="5">
        <f>IF(AND($A729&gt;=DATE(2022,1,1),$A729&lt;=DATE(2022,10,31)),$M729,"")</f>
        <v/>
      </c>
      <c r="P729" s="5">
        <f>IF(AND($A729&gt;=DATE(2018,10,1),$A729&lt;=DATE(2018,12,31)),$M729,"")</f>
        <v/>
      </c>
      <c r="Q729" s="5">
        <f>SUMPRODUCT(Exposures!$B$8:$K$8,B729:K729)</f>
        <v/>
      </c>
      <c r="R729" s="5">
        <f>SUMPRODUCT(Exposures!$B$9:$K$9,B729:K729)</f>
        <v/>
      </c>
      <c r="S729" s="5">
        <f>SUMPRODUCT(Exposures!$B$10:$K$10,B729:K729)</f>
        <v/>
      </c>
    </row>
    <row r="730">
      <c r="A730" s="1" t="n">
        <v>43518</v>
      </c>
      <c r="B730" s="5" t="n">
        <v>0.002754726020014425</v>
      </c>
      <c r="C730" s="5" t="n">
        <v>0.001153395099597621</v>
      </c>
      <c r="D730" s="5" t="n">
        <v>-0.002375753669595597</v>
      </c>
      <c r="E730" s="5" t="n">
        <v>-0.001450584425236782</v>
      </c>
      <c r="F730" s="5" t="n">
        <v>0.0003882442142200503</v>
      </c>
      <c r="G730" s="5" t="n">
        <v>0.009965208743279526</v>
      </c>
      <c r="H730" s="5" t="n">
        <v>0.0005559268981590724</v>
      </c>
      <c r="I730" s="5" t="n">
        <v>0.001007074794896174</v>
      </c>
      <c r="J730" s="5" t="n">
        <v>0.00231146003827977</v>
      </c>
      <c r="K730" s="5" t="n">
        <v>-0.002444044118921943</v>
      </c>
      <c r="L730" s="5" t="n">
        <v>-0.003280654244256118</v>
      </c>
      <c r="M730" s="5">
        <f>SUMPRODUCT(Exposures!$B$6:$K$6,B730:K730)</f>
        <v/>
      </c>
      <c r="N730" s="5">
        <f>IF(AND($A730&gt;=DATE(2020,2,1),$A730&lt;=DATE(2020,5,31)),$M730,"")</f>
        <v/>
      </c>
      <c r="O730" s="5">
        <f>IF(AND($A730&gt;=DATE(2022,1,1),$A730&lt;=DATE(2022,10,31)),$M730,"")</f>
        <v/>
      </c>
      <c r="P730" s="5">
        <f>IF(AND($A730&gt;=DATE(2018,10,1),$A730&lt;=DATE(2018,12,31)),$M730,"")</f>
        <v/>
      </c>
      <c r="Q730" s="5">
        <f>SUMPRODUCT(Exposures!$B$8:$K$8,B730:K730)</f>
        <v/>
      </c>
      <c r="R730" s="5">
        <f>SUMPRODUCT(Exposures!$B$9:$K$9,B730:K730)</f>
        <v/>
      </c>
      <c r="S730" s="5">
        <f>SUMPRODUCT(Exposures!$B$10:$K$10,B730:K730)</f>
        <v/>
      </c>
    </row>
    <row r="731">
      <c r="A731" s="1" t="n">
        <v>43521</v>
      </c>
      <c r="B731" s="5" t="n">
        <v>0.004162808725126805</v>
      </c>
      <c r="C731" s="5" t="n">
        <v>-0.0005263043231775998</v>
      </c>
      <c r="D731" s="5" t="n">
        <v>-0.00386573901574262</v>
      </c>
      <c r="E731" s="5" t="n">
        <v>-0.003731041082195499</v>
      </c>
      <c r="F731" s="5" t="n">
        <v>-0.002705459722833656</v>
      </c>
      <c r="G731" s="5" t="n">
        <v>0.00118705864015823</v>
      </c>
      <c r="H731" s="5" t="n">
        <v>-0.003983358019810094</v>
      </c>
      <c r="I731" s="5" t="n">
        <v>0.000502610976878182</v>
      </c>
      <c r="J731" s="5" t="n">
        <v>0.003834036448968514</v>
      </c>
      <c r="K731" s="5" t="n">
        <v>0.0048558648335201</v>
      </c>
      <c r="L731" s="5" t="n">
        <v>0.002866208614959726</v>
      </c>
      <c r="M731" s="5">
        <f>SUMPRODUCT(Exposures!$B$6:$K$6,B731:K731)</f>
        <v/>
      </c>
      <c r="N731" s="5">
        <f>IF(AND($A731&gt;=DATE(2020,2,1),$A731&lt;=DATE(2020,5,31)),$M731,"")</f>
        <v/>
      </c>
      <c r="O731" s="5">
        <f>IF(AND($A731&gt;=DATE(2022,1,1),$A731&lt;=DATE(2022,10,31)),$M731,"")</f>
        <v/>
      </c>
      <c r="P731" s="5">
        <f>IF(AND($A731&gt;=DATE(2018,10,1),$A731&lt;=DATE(2018,12,31)),$M731,"")</f>
        <v/>
      </c>
      <c r="Q731" s="5">
        <f>SUMPRODUCT(Exposures!$B$8:$K$8,B731:K731)</f>
        <v/>
      </c>
      <c r="R731" s="5">
        <f>SUMPRODUCT(Exposures!$B$9:$K$9,B731:K731)</f>
        <v/>
      </c>
      <c r="S731" s="5">
        <f>SUMPRODUCT(Exposures!$B$10:$K$10,B731:K731)</f>
        <v/>
      </c>
    </row>
    <row r="732">
      <c r="A732" s="1" t="n">
        <v>43522</v>
      </c>
      <c r="B732" s="5" t="n">
        <v>-0.002401374836416076</v>
      </c>
      <c r="C732" s="5" t="n">
        <v>0.0005774469452537529</v>
      </c>
      <c r="D732" s="5" t="n">
        <v>-0.001412927134551435</v>
      </c>
      <c r="E732" s="5" t="n">
        <v>-0.000911065736004932</v>
      </c>
      <c r="F732" s="5" t="n">
        <v>0.006134286374369989</v>
      </c>
      <c r="G732" s="5" t="n">
        <v>-0.003709299637074188</v>
      </c>
      <c r="H732" s="5" t="n">
        <v>8.599597734842685e-05</v>
      </c>
      <c r="I732" s="5" t="n">
        <v>0.0005533272978835147</v>
      </c>
      <c r="J732" s="5" t="n">
        <v>-0.0007038650175202447</v>
      </c>
      <c r="K732" s="5" t="n">
        <v>-0.003289780957504894</v>
      </c>
      <c r="L732" s="5" t="n">
        <v>-0.001598014919864529</v>
      </c>
      <c r="M732" s="5">
        <f>SUMPRODUCT(Exposures!$B$6:$K$6,B732:K732)</f>
        <v/>
      </c>
      <c r="N732" s="5">
        <f>IF(AND($A732&gt;=DATE(2020,2,1),$A732&lt;=DATE(2020,5,31)),$M732,"")</f>
        <v/>
      </c>
      <c r="O732" s="5">
        <f>IF(AND($A732&gt;=DATE(2022,1,1),$A732&lt;=DATE(2022,10,31)),$M732,"")</f>
        <v/>
      </c>
      <c r="P732" s="5">
        <f>IF(AND($A732&gt;=DATE(2018,10,1),$A732&lt;=DATE(2018,12,31)),$M732,"")</f>
        <v/>
      </c>
      <c r="Q732" s="5">
        <f>SUMPRODUCT(Exposures!$B$8:$K$8,B732:K732)</f>
        <v/>
      </c>
      <c r="R732" s="5">
        <f>SUMPRODUCT(Exposures!$B$9:$K$9,B732:K732)</f>
        <v/>
      </c>
      <c r="S732" s="5">
        <f>SUMPRODUCT(Exposures!$B$10:$K$10,B732:K732)</f>
        <v/>
      </c>
    </row>
    <row r="733">
      <c r="A733" s="1" t="n">
        <v>43523</v>
      </c>
      <c r="B733" s="5" t="n">
        <v>0.001647159943174415</v>
      </c>
      <c r="C733" s="5" t="n">
        <v>-0.003544083875475266</v>
      </c>
      <c r="D733" s="5" t="n">
        <v>-0.002542266588900755</v>
      </c>
      <c r="E733" s="5" t="n">
        <v>0.0007632085085567964</v>
      </c>
      <c r="F733" s="5" t="n">
        <v>0.002535231877426352</v>
      </c>
      <c r="G733" s="5" t="n">
        <v>0.0008154189789366477</v>
      </c>
      <c r="H733" s="5" t="n">
        <v>-0.002943731915542151</v>
      </c>
      <c r="I733" s="5" t="n">
        <v>-0.0007651089835299825</v>
      </c>
      <c r="J733" s="5" t="n">
        <v>-0.002428901597060259</v>
      </c>
      <c r="K733" s="5" t="n">
        <v>-0.001916659960796142</v>
      </c>
      <c r="L733" s="5" t="n">
        <v>-0.002205785802977263</v>
      </c>
      <c r="M733" s="5">
        <f>SUMPRODUCT(Exposures!$B$6:$K$6,B733:K733)</f>
        <v/>
      </c>
      <c r="N733" s="5">
        <f>IF(AND($A733&gt;=DATE(2020,2,1),$A733&lt;=DATE(2020,5,31)),$M733,"")</f>
        <v/>
      </c>
      <c r="O733" s="5">
        <f>IF(AND($A733&gt;=DATE(2022,1,1),$A733&lt;=DATE(2022,10,31)),$M733,"")</f>
        <v/>
      </c>
      <c r="P733" s="5">
        <f>IF(AND($A733&gt;=DATE(2018,10,1),$A733&lt;=DATE(2018,12,31)),$M733,"")</f>
        <v/>
      </c>
      <c r="Q733" s="5">
        <f>SUMPRODUCT(Exposures!$B$8:$K$8,B733:K733)</f>
        <v/>
      </c>
      <c r="R733" s="5">
        <f>SUMPRODUCT(Exposures!$B$9:$K$9,B733:K733)</f>
        <v/>
      </c>
      <c r="S733" s="5">
        <f>SUMPRODUCT(Exposures!$B$10:$K$10,B733:K733)</f>
        <v/>
      </c>
    </row>
    <row r="734">
      <c r="A734" s="1" t="n">
        <v>43524</v>
      </c>
      <c r="B734" s="5" t="n">
        <v>-0.003320829391106012</v>
      </c>
      <c r="C734" s="5" t="n">
        <v>-0.0003408293832352578</v>
      </c>
      <c r="D734" s="5" t="n">
        <v>-0.0005247602454207119</v>
      </c>
      <c r="E734" s="5" t="n">
        <v>-0.002880478989698478</v>
      </c>
      <c r="F734" s="5" t="n">
        <v>-0.001827178385058205</v>
      </c>
      <c r="G734" s="5" t="n">
        <v>-0.005218946727580347</v>
      </c>
      <c r="H734" s="5" t="n">
        <v>0.004020404022612152</v>
      </c>
      <c r="I734" s="5" t="n">
        <v>-0.001597692509953576</v>
      </c>
      <c r="J734" s="5" t="n">
        <v>-0.003276039103654193</v>
      </c>
      <c r="K734" s="5" t="n">
        <v>0.005392854741437894</v>
      </c>
      <c r="L734" s="5" t="n">
        <v>-0.0001863224370905755</v>
      </c>
      <c r="M734" s="5">
        <f>SUMPRODUCT(Exposures!$B$6:$K$6,B734:K734)</f>
        <v/>
      </c>
      <c r="N734" s="5">
        <f>IF(AND($A734&gt;=DATE(2020,2,1),$A734&lt;=DATE(2020,5,31)),$M734,"")</f>
        <v/>
      </c>
      <c r="O734" s="5">
        <f>IF(AND($A734&gt;=DATE(2022,1,1),$A734&lt;=DATE(2022,10,31)),$M734,"")</f>
        <v/>
      </c>
      <c r="P734" s="5">
        <f>IF(AND($A734&gt;=DATE(2018,10,1),$A734&lt;=DATE(2018,12,31)),$M734,"")</f>
        <v/>
      </c>
      <c r="Q734" s="5">
        <f>SUMPRODUCT(Exposures!$B$8:$K$8,B734:K734)</f>
        <v/>
      </c>
      <c r="R734" s="5">
        <f>SUMPRODUCT(Exposures!$B$9:$K$9,B734:K734)</f>
        <v/>
      </c>
      <c r="S734" s="5">
        <f>SUMPRODUCT(Exposures!$B$10:$K$10,B734:K734)</f>
        <v/>
      </c>
    </row>
    <row r="735">
      <c r="A735" s="1" t="n">
        <v>43525</v>
      </c>
      <c r="B735" s="5" t="n">
        <v>0.000441890567372723</v>
      </c>
      <c r="C735" s="5" t="n">
        <v>-0.002329813726089167</v>
      </c>
      <c r="D735" s="5" t="n">
        <v>-0.001312737110141106</v>
      </c>
      <c r="E735" s="5" t="n">
        <v>-0.00289874892218953</v>
      </c>
      <c r="F735" s="5" t="n">
        <v>-0.0003130642338593804</v>
      </c>
      <c r="G735" s="5" t="n">
        <v>0.006526250943207899</v>
      </c>
      <c r="H735" s="5" t="n">
        <v>-0.004851656825933419</v>
      </c>
      <c r="I735" s="5" t="n">
        <v>0.001218276142709366</v>
      </c>
      <c r="J735" s="5" t="n">
        <v>-0.0003553233025073002</v>
      </c>
      <c r="K735" s="5" t="n">
        <v>0.0008557073391407548</v>
      </c>
      <c r="L735" s="5" t="n">
        <v>0.003047728416246815</v>
      </c>
      <c r="M735" s="5">
        <f>SUMPRODUCT(Exposures!$B$6:$K$6,B735:K735)</f>
        <v/>
      </c>
      <c r="N735" s="5">
        <f>IF(AND($A735&gt;=DATE(2020,2,1),$A735&lt;=DATE(2020,5,31)),$M735,"")</f>
        <v/>
      </c>
      <c r="O735" s="5">
        <f>IF(AND($A735&gt;=DATE(2022,1,1),$A735&lt;=DATE(2022,10,31)),$M735,"")</f>
        <v/>
      </c>
      <c r="P735" s="5">
        <f>IF(AND($A735&gt;=DATE(2018,10,1),$A735&lt;=DATE(2018,12,31)),$M735,"")</f>
        <v/>
      </c>
      <c r="Q735" s="5">
        <f>SUMPRODUCT(Exposures!$B$8:$K$8,B735:K735)</f>
        <v/>
      </c>
      <c r="R735" s="5">
        <f>SUMPRODUCT(Exposures!$B$9:$K$9,B735:K735)</f>
        <v/>
      </c>
      <c r="S735" s="5">
        <f>SUMPRODUCT(Exposures!$B$10:$K$10,B735:K735)</f>
        <v/>
      </c>
    </row>
    <row r="736">
      <c r="A736" s="1" t="n">
        <v>43528</v>
      </c>
      <c r="B736" s="5" t="n">
        <v>-0.002238200315915065</v>
      </c>
      <c r="C736" s="5" t="n">
        <v>-0.00108684041536622</v>
      </c>
      <c r="D736" s="5" t="n">
        <v>-0.001753164954663397</v>
      </c>
      <c r="E736" s="5" t="n">
        <v>-0.002313452604344584</v>
      </c>
      <c r="F736" s="5" t="n">
        <v>0.00299252402145423</v>
      </c>
      <c r="G736" s="5" t="n">
        <v>-0.005553962132006123</v>
      </c>
      <c r="H736" s="5" t="n">
        <v>-0.002267654212462458</v>
      </c>
      <c r="I736" s="5" t="n">
        <v>0.0001690394879043767</v>
      </c>
      <c r="J736" s="5" t="n">
        <v>-0.00153468507520594</v>
      </c>
      <c r="K736" s="5" t="n">
        <v>-0.002916953884028606</v>
      </c>
      <c r="L736" s="5" t="n">
        <v>0.0005976923372891895</v>
      </c>
      <c r="M736" s="5">
        <f>SUMPRODUCT(Exposures!$B$6:$K$6,B736:K736)</f>
        <v/>
      </c>
      <c r="N736" s="5">
        <f>IF(AND($A736&gt;=DATE(2020,2,1),$A736&lt;=DATE(2020,5,31)),$M736,"")</f>
        <v/>
      </c>
      <c r="O736" s="5">
        <f>IF(AND($A736&gt;=DATE(2022,1,1),$A736&lt;=DATE(2022,10,31)),$M736,"")</f>
        <v/>
      </c>
      <c r="P736" s="5">
        <f>IF(AND($A736&gt;=DATE(2018,10,1),$A736&lt;=DATE(2018,12,31)),$M736,"")</f>
        <v/>
      </c>
      <c r="Q736" s="5">
        <f>SUMPRODUCT(Exposures!$B$8:$K$8,B736:K736)</f>
        <v/>
      </c>
      <c r="R736" s="5">
        <f>SUMPRODUCT(Exposures!$B$9:$K$9,B736:K736)</f>
        <v/>
      </c>
      <c r="S736" s="5">
        <f>SUMPRODUCT(Exposures!$B$10:$K$10,B736:K736)</f>
        <v/>
      </c>
    </row>
    <row r="737">
      <c r="A737" s="1" t="n">
        <v>43529</v>
      </c>
      <c r="B737" s="5" t="n">
        <v>-0.0007383824754345398</v>
      </c>
      <c r="C737" s="5" t="n">
        <v>0.0008990255349305301</v>
      </c>
      <c r="D737" s="5" t="n">
        <v>0.002596048172522401</v>
      </c>
      <c r="E737" s="5" t="n">
        <v>-0.000201045534035463</v>
      </c>
      <c r="F737" s="5" t="n">
        <v>2.330903340217003e-05</v>
      </c>
      <c r="G737" s="5" t="n">
        <v>-0.002175809208237885</v>
      </c>
      <c r="H737" s="5" t="n">
        <v>0.004954641802741605</v>
      </c>
      <c r="I737" s="5" t="n">
        <v>0.0003872918554571762</v>
      </c>
      <c r="J737" s="5" t="n">
        <v>0.001261902406778399</v>
      </c>
      <c r="K737" s="5" t="n">
        <v>0.000976804133657866</v>
      </c>
      <c r="L737" s="5" t="n">
        <v>0.0002018577943549535</v>
      </c>
      <c r="M737" s="5">
        <f>SUMPRODUCT(Exposures!$B$6:$K$6,B737:K737)</f>
        <v/>
      </c>
      <c r="N737" s="5">
        <f>IF(AND($A737&gt;=DATE(2020,2,1),$A737&lt;=DATE(2020,5,31)),$M737,"")</f>
        <v/>
      </c>
      <c r="O737" s="5">
        <f>IF(AND($A737&gt;=DATE(2022,1,1),$A737&lt;=DATE(2022,10,31)),$M737,"")</f>
        <v/>
      </c>
      <c r="P737" s="5">
        <f>IF(AND($A737&gt;=DATE(2018,10,1),$A737&lt;=DATE(2018,12,31)),$M737,"")</f>
        <v/>
      </c>
      <c r="Q737" s="5">
        <f>SUMPRODUCT(Exposures!$B$8:$K$8,B737:K737)</f>
        <v/>
      </c>
      <c r="R737" s="5">
        <f>SUMPRODUCT(Exposures!$B$9:$K$9,B737:K737)</f>
        <v/>
      </c>
      <c r="S737" s="5">
        <f>SUMPRODUCT(Exposures!$B$10:$K$10,B737:K737)</f>
        <v/>
      </c>
    </row>
    <row r="738">
      <c r="A738" s="1" t="n">
        <v>43530</v>
      </c>
      <c r="B738" s="5" t="n">
        <v>-0.005094747348954034</v>
      </c>
      <c r="C738" s="5" t="n">
        <v>0.001344627741085232</v>
      </c>
      <c r="D738" s="5" t="n">
        <v>0.000673944900660651</v>
      </c>
      <c r="E738" s="5" t="n">
        <v>-0.0005287563152502458</v>
      </c>
      <c r="F738" s="5" t="n">
        <v>0.005413550430653787</v>
      </c>
      <c r="G738" s="5" t="n">
        <v>-0.01174215282907462</v>
      </c>
      <c r="H738" s="5" t="n">
        <v>0.003270463828014116</v>
      </c>
      <c r="I738" s="5" t="n">
        <v>0.0008966036568296261</v>
      </c>
      <c r="J738" s="5" t="n">
        <v>0.0001579793034666134</v>
      </c>
      <c r="K738" s="5" t="n">
        <v>-0.001717195281705876</v>
      </c>
      <c r="L738" s="5" t="n">
        <v>0.001321738358856082</v>
      </c>
      <c r="M738" s="5">
        <f>SUMPRODUCT(Exposures!$B$6:$K$6,B738:K738)</f>
        <v/>
      </c>
      <c r="N738" s="5">
        <f>IF(AND($A738&gt;=DATE(2020,2,1),$A738&lt;=DATE(2020,5,31)),$M738,"")</f>
        <v/>
      </c>
      <c r="O738" s="5">
        <f>IF(AND($A738&gt;=DATE(2022,1,1),$A738&lt;=DATE(2022,10,31)),$M738,"")</f>
        <v/>
      </c>
      <c r="P738" s="5">
        <f>IF(AND($A738&gt;=DATE(2018,10,1),$A738&lt;=DATE(2018,12,31)),$M738,"")</f>
        <v/>
      </c>
      <c r="Q738" s="5">
        <f>SUMPRODUCT(Exposures!$B$8:$K$8,B738:K738)</f>
        <v/>
      </c>
      <c r="R738" s="5">
        <f>SUMPRODUCT(Exposures!$B$9:$K$9,B738:K738)</f>
        <v/>
      </c>
      <c r="S738" s="5">
        <f>SUMPRODUCT(Exposures!$B$10:$K$10,B738:K738)</f>
        <v/>
      </c>
    </row>
    <row r="739">
      <c r="A739" s="1" t="n">
        <v>43531</v>
      </c>
      <c r="B739" s="5" t="n">
        <v>-0.003287513550465671</v>
      </c>
      <c r="C739" s="5" t="n">
        <v>-0.001486812289964607</v>
      </c>
      <c r="D739" s="5" t="n">
        <v>-0.001814786634533415</v>
      </c>
      <c r="E739" s="5" t="n">
        <v>0.0007162170973384024</v>
      </c>
      <c r="F739" s="5" t="n">
        <v>-0.001331663990450227</v>
      </c>
      <c r="G739" s="5" t="n">
        <v>-0.007310538944424288</v>
      </c>
      <c r="H739" s="5" t="n">
        <v>0.001913548399224485</v>
      </c>
      <c r="I739" s="5" t="n">
        <v>-0.0003365282074092172</v>
      </c>
      <c r="J739" s="5" t="n">
        <v>0.0005825036787375476</v>
      </c>
      <c r="K739" s="5" t="n">
        <v>0.0006569155799797887</v>
      </c>
      <c r="L739" s="5" t="n">
        <v>-0.002591308746299745</v>
      </c>
      <c r="M739" s="5">
        <f>SUMPRODUCT(Exposures!$B$6:$K$6,B739:K739)</f>
        <v/>
      </c>
      <c r="N739" s="5">
        <f>IF(AND($A739&gt;=DATE(2020,2,1),$A739&lt;=DATE(2020,5,31)),$M739,"")</f>
        <v/>
      </c>
      <c r="O739" s="5">
        <f>IF(AND($A739&gt;=DATE(2022,1,1),$A739&lt;=DATE(2022,10,31)),$M739,"")</f>
        <v/>
      </c>
      <c r="P739" s="5">
        <f>IF(AND($A739&gt;=DATE(2018,10,1),$A739&lt;=DATE(2018,12,31)),$M739,"")</f>
        <v/>
      </c>
      <c r="Q739" s="5">
        <f>SUMPRODUCT(Exposures!$B$8:$K$8,B739:K739)</f>
        <v/>
      </c>
      <c r="R739" s="5">
        <f>SUMPRODUCT(Exposures!$B$9:$K$9,B739:K739)</f>
        <v/>
      </c>
      <c r="S739" s="5">
        <f>SUMPRODUCT(Exposures!$B$10:$K$10,B739:K739)</f>
        <v/>
      </c>
    </row>
    <row r="740">
      <c r="A740" s="1" t="n">
        <v>43532</v>
      </c>
      <c r="B740" s="5" t="n">
        <v>-0.001390908711123246</v>
      </c>
      <c r="C740" s="5" t="n">
        <v>-0.000840500851446055</v>
      </c>
      <c r="D740" s="5" t="n">
        <v>-0.00155632888826911</v>
      </c>
      <c r="E740" s="5" t="n">
        <v>0.001467853463170002</v>
      </c>
      <c r="F740" s="5" t="n">
        <v>0.001816438659031617</v>
      </c>
      <c r="G740" s="5" t="n">
        <v>-0.001150013234847533</v>
      </c>
      <c r="H740" s="5" t="n">
        <v>0.00125206565905972</v>
      </c>
      <c r="I740" s="5" t="n">
        <v>0.0002808879970599691</v>
      </c>
      <c r="J740" s="5" t="n">
        <v>-0.0009371983547670119</v>
      </c>
      <c r="K740" s="5" t="n">
        <v>-0.002533810744625355</v>
      </c>
      <c r="L740" s="5" t="n">
        <v>0.001182921578810462</v>
      </c>
      <c r="M740" s="5">
        <f>SUMPRODUCT(Exposures!$B$6:$K$6,B740:K740)</f>
        <v/>
      </c>
      <c r="N740" s="5">
        <f>IF(AND($A740&gt;=DATE(2020,2,1),$A740&lt;=DATE(2020,5,31)),$M740,"")</f>
        <v/>
      </c>
      <c r="O740" s="5">
        <f>IF(AND($A740&gt;=DATE(2022,1,1),$A740&lt;=DATE(2022,10,31)),$M740,"")</f>
        <v/>
      </c>
      <c r="P740" s="5">
        <f>IF(AND($A740&gt;=DATE(2018,10,1),$A740&lt;=DATE(2018,12,31)),$M740,"")</f>
        <v/>
      </c>
      <c r="Q740" s="5">
        <f>SUMPRODUCT(Exposures!$B$8:$K$8,B740:K740)</f>
        <v/>
      </c>
      <c r="R740" s="5">
        <f>SUMPRODUCT(Exposures!$B$9:$K$9,B740:K740)</f>
        <v/>
      </c>
      <c r="S740" s="5">
        <f>SUMPRODUCT(Exposures!$B$10:$K$10,B740:K740)</f>
        <v/>
      </c>
    </row>
    <row r="741">
      <c r="A741" s="1" t="n">
        <v>43535</v>
      </c>
      <c r="B741" s="5" t="n">
        <v>0.002591847131112998</v>
      </c>
      <c r="C741" s="5" t="n">
        <v>0.000814526073540007</v>
      </c>
      <c r="D741" s="5" t="n">
        <v>0.001807994697327463</v>
      </c>
      <c r="E741" s="5" t="n">
        <v>-0.003085863649539521</v>
      </c>
      <c r="F741" s="5" t="n">
        <v>-0.0005262586753302371</v>
      </c>
      <c r="G741" s="5" t="n">
        <v>0.01647019896524609</v>
      </c>
      <c r="H741" s="5" t="n">
        <v>0.001834024187796679</v>
      </c>
      <c r="I741" s="5" t="n">
        <v>-0.001368651119250012</v>
      </c>
      <c r="J741" s="5" t="n">
        <v>0.005403665182999215</v>
      </c>
      <c r="K741" s="5" t="n">
        <v>0.001460919413696716</v>
      </c>
      <c r="L741" s="5" t="n">
        <v>0.001418472111465481</v>
      </c>
      <c r="M741" s="5">
        <f>SUMPRODUCT(Exposures!$B$6:$K$6,B741:K741)</f>
        <v/>
      </c>
      <c r="N741" s="5">
        <f>IF(AND($A741&gt;=DATE(2020,2,1),$A741&lt;=DATE(2020,5,31)),$M741,"")</f>
        <v/>
      </c>
      <c r="O741" s="5">
        <f>IF(AND($A741&gt;=DATE(2022,1,1),$A741&lt;=DATE(2022,10,31)),$M741,"")</f>
        <v/>
      </c>
      <c r="P741" s="5">
        <f>IF(AND($A741&gt;=DATE(2018,10,1),$A741&lt;=DATE(2018,12,31)),$M741,"")</f>
        <v/>
      </c>
      <c r="Q741" s="5">
        <f>SUMPRODUCT(Exposures!$B$8:$K$8,B741:K741)</f>
        <v/>
      </c>
      <c r="R741" s="5">
        <f>SUMPRODUCT(Exposures!$B$9:$K$9,B741:K741)</f>
        <v/>
      </c>
      <c r="S741" s="5">
        <f>SUMPRODUCT(Exposures!$B$10:$K$10,B741:K741)</f>
        <v/>
      </c>
    </row>
    <row r="742">
      <c r="A742" s="1" t="n">
        <v>43536</v>
      </c>
      <c r="B742" s="5" t="n">
        <v>0.0006098697729892001</v>
      </c>
      <c r="C742" s="5" t="n">
        <v>0.0002121997690508875</v>
      </c>
      <c r="D742" s="5" t="n">
        <v>0.000722177242958789</v>
      </c>
      <c r="E742" s="5" t="n">
        <v>-0.003052066071737914</v>
      </c>
      <c r="F742" s="5" t="n">
        <v>0.004634199805474156</v>
      </c>
      <c r="G742" s="5" t="n">
        <v>0.001754051328764351</v>
      </c>
      <c r="H742" s="5" t="n">
        <v>0.001663336923125636</v>
      </c>
      <c r="I742" s="5" t="n">
        <v>3.932375060413905e-05</v>
      </c>
      <c r="J742" s="5" t="n">
        <v>-0.0004642252637055245</v>
      </c>
      <c r="K742" s="5" t="n">
        <v>-0.004159268772822305</v>
      </c>
      <c r="L742" s="5" t="n">
        <v>0.001749451648219377</v>
      </c>
      <c r="M742" s="5">
        <f>SUMPRODUCT(Exposures!$B$6:$K$6,B742:K742)</f>
        <v/>
      </c>
      <c r="N742" s="5">
        <f>IF(AND($A742&gt;=DATE(2020,2,1),$A742&lt;=DATE(2020,5,31)),$M742,"")</f>
        <v/>
      </c>
      <c r="O742" s="5">
        <f>IF(AND($A742&gt;=DATE(2022,1,1),$A742&lt;=DATE(2022,10,31)),$M742,"")</f>
        <v/>
      </c>
      <c r="P742" s="5">
        <f>IF(AND($A742&gt;=DATE(2018,10,1),$A742&lt;=DATE(2018,12,31)),$M742,"")</f>
        <v/>
      </c>
      <c r="Q742" s="5">
        <f>SUMPRODUCT(Exposures!$B$8:$K$8,B742:K742)</f>
        <v/>
      </c>
      <c r="R742" s="5">
        <f>SUMPRODUCT(Exposures!$B$9:$K$9,B742:K742)</f>
        <v/>
      </c>
      <c r="S742" s="5">
        <f>SUMPRODUCT(Exposures!$B$10:$K$10,B742:K742)</f>
        <v/>
      </c>
    </row>
    <row r="743">
      <c r="A743" s="1" t="n">
        <v>43537</v>
      </c>
      <c r="B743" s="5" t="n">
        <v>-0.0007390521369009261</v>
      </c>
      <c r="C743" s="5" t="n">
        <v>0.0005046215252967568</v>
      </c>
      <c r="D743" s="5" t="n">
        <v>0.0009367619024142926</v>
      </c>
      <c r="E743" s="5" t="n">
        <v>0.0001058750186849017</v>
      </c>
      <c r="F743" s="5" t="n">
        <v>0.001760355381084019</v>
      </c>
      <c r="G743" s="5" t="n">
        <v>0.005923263148787863</v>
      </c>
      <c r="H743" s="5" t="n">
        <v>-0.0009344115180368004</v>
      </c>
      <c r="I743" s="5" t="n">
        <v>0.0002320153280668723</v>
      </c>
      <c r="J743" s="5" t="n">
        <v>0.003111991974421005</v>
      </c>
      <c r="K743" s="5" t="n">
        <v>0.001423921728305971</v>
      </c>
      <c r="L743" s="5" t="n">
        <v>-0.0001032750877028397</v>
      </c>
      <c r="M743" s="5">
        <f>SUMPRODUCT(Exposures!$B$6:$K$6,B743:K743)</f>
        <v/>
      </c>
      <c r="N743" s="5">
        <f>IF(AND($A743&gt;=DATE(2020,2,1),$A743&lt;=DATE(2020,5,31)),$M743,"")</f>
        <v/>
      </c>
      <c r="O743" s="5">
        <f>IF(AND($A743&gt;=DATE(2022,1,1),$A743&lt;=DATE(2022,10,31)),$M743,"")</f>
        <v/>
      </c>
      <c r="P743" s="5">
        <f>IF(AND($A743&gt;=DATE(2018,10,1),$A743&lt;=DATE(2018,12,31)),$M743,"")</f>
        <v/>
      </c>
      <c r="Q743" s="5">
        <f>SUMPRODUCT(Exposures!$B$8:$K$8,B743:K743)</f>
        <v/>
      </c>
      <c r="R743" s="5">
        <f>SUMPRODUCT(Exposures!$B$9:$K$9,B743:K743)</f>
        <v/>
      </c>
      <c r="S743" s="5">
        <f>SUMPRODUCT(Exposures!$B$10:$K$10,B743:K743)</f>
        <v/>
      </c>
    </row>
    <row r="744">
      <c r="A744" s="1" t="n">
        <v>43538</v>
      </c>
      <c r="B744" s="5" t="n">
        <v>-0.00061766969553081</v>
      </c>
      <c r="C744" s="5" t="n">
        <v>0.0003657993684416899</v>
      </c>
      <c r="D744" s="5" t="n">
        <v>0.0004077645154047848</v>
      </c>
      <c r="E744" s="5" t="n">
        <v>0.001215626151912959</v>
      </c>
      <c r="F744" s="5" t="n">
        <v>-0.001349132492151453</v>
      </c>
      <c r="G744" s="5" t="n">
        <v>-0.002971376340815684</v>
      </c>
      <c r="H744" s="5" t="n">
        <v>0.0008692345959716433</v>
      </c>
      <c r="I744" s="5" t="n">
        <v>0.002141363173049173</v>
      </c>
      <c r="J744" s="5" t="n">
        <v>-0.003067471573021034</v>
      </c>
      <c r="K744" s="5" t="n">
        <v>0.001337567189883808</v>
      </c>
      <c r="L744" s="5" t="n">
        <v>-0.000587211921105641</v>
      </c>
      <c r="M744" s="5">
        <f>SUMPRODUCT(Exposures!$B$6:$K$6,B744:K744)</f>
        <v/>
      </c>
      <c r="N744" s="5">
        <f>IF(AND($A744&gt;=DATE(2020,2,1),$A744&lt;=DATE(2020,5,31)),$M744,"")</f>
        <v/>
      </c>
      <c r="O744" s="5">
        <f>IF(AND($A744&gt;=DATE(2022,1,1),$A744&lt;=DATE(2022,10,31)),$M744,"")</f>
        <v/>
      </c>
      <c r="P744" s="5">
        <f>IF(AND($A744&gt;=DATE(2018,10,1),$A744&lt;=DATE(2018,12,31)),$M744,"")</f>
        <v/>
      </c>
      <c r="Q744" s="5">
        <f>SUMPRODUCT(Exposures!$B$8:$K$8,B744:K744)</f>
        <v/>
      </c>
      <c r="R744" s="5">
        <f>SUMPRODUCT(Exposures!$B$9:$K$9,B744:K744)</f>
        <v/>
      </c>
      <c r="S744" s="5">
        <f>SUMPRODUCT(Exposures!$B$10:$K$10,B744:K744)</f>
        <v/>
      </c>
    </row>
    <row r="745">
      <c r="A745" s="1" t="n">
        <v>43539</v>
      </c>
      <c r="B745" s="5" t="n">
        <v>0.0007162827248404255</v>
      </c>
      <c r="C745" s="5" t="n">
        <v>-0.002710837230460343</v>
      </c>
      <c r="D745" s="5" t="n">
        <v>0.0001869691028194894</v>
      </c>
      <c r="E745" s="5" t="n">
        <v>0.001888333831839017</v>
      </c>
      <c r="F745" s="5" t="n">
        <v>0.005351416824553046</v>
      </c>
      <c r="G745" s="5" t="n">
        <v>0.004874932792466862</v>
      </c>
      <c r="H745" s="5" t="n">
        <v>-0.002335223741108546</v>
      </c>
      <c r="I745" s="5" t="n">
        <v>-0.001363499440839761</v>
      </c>
      <c r="J745" s="5" t="n">
        <v>0.0001915676622103065</v>
      </c>
      <c r="K745" s="5" t="n">
        <v>-0.003389131905503379</v>
      </c>
      <c r="L745" s="5" t="n">
        <v>0.0007933295346512271</v>
      </c>
      <c r="M745" s="5">
        <f>SUMPRODUCT(Exposures!$B$6:$K$6,B745:K745)</f>
        <v/>
      </c>
      <c r="N745" s="5">
        <f>IF(AND($A745&gt;=DATE(2020,2,1),$A745&lt;=DATE(2020,5,31)),$M745,"")</f>
        <v/>
      </c>
      <c r="O745" s="5">
        <f>IF(AND($A745&gt;=DATE(2022,1,1),$A745&lt;=DATE(2022,10,31)),$M745,"")</f>
        <v/>
      </c>
      <c r="P745" s="5">
        <f>IF(AND($A745&gt;=DATE(2018,10,1),$A745&lt;=DATE(2018,12,31)),$M745,"")</f>
        <v/>
      </c>
      <c r="Q745" s="5">
        <f>SUMPRODUCT(Exposures!$B$8:$K$8,B745:K745)</f>
        <v/>
      </c>
      <c r="R745" s="5">
        <f>SUMPRODUCT(Exposures!$B$9:$K$9,B745:K745)</f>
        <v/>
      </c>
      <c r="S745" s="5">
        <f>SUMPRODUCT(Exposures!$B$10:$K$10,B745:K745)</f>
        <v/>
      </c>
    </row>
    <row r="746">
      <c r="A746" s="1" t="n">
        <v>43542</v>
      </c>
      <c r="B746" s="5" t="n">
        <v>0.001046431723806197</v>
      </c>
      <c r="C746" s="5" t="n">
        <v>0.001927174181555555</v>
      </c>
      <c r="D746" s="5" t="n">
        <v>-0.0002604797173307722</v>
      </c>
      <c r="E746" s="5" t="n">
        <v>-0.0002631394380608075</v>
      </c>
      <c r="F746" s="5" t="n">
        <v>-0.001895997414872695</v>
      </c>
      <c r="G746" s="5" t="n">
        <v>0.004902448243407192</v>
      </c>
      <c r="H746" s="5" t="n">
        <v>-0.0009205387817965143</v>
      </c>
      <c r="I746" s="5" t="n">
        <v>-0.001148523291618057</v>
      </c>
      <c r="J746" s="5" t="n">
        <v>0.001733042670823618</v>
      </c>
      <c r="K746" s="5" t="n">
        <v>0.0008395825019576183</v>
      </c>
      <c r="L746" s="5" t="n">
        <v>0.003272662187622435</v>
      </c>
      <c r="M746" s="5">
        <f>SUMPRODUCT(Exposures!$B$6:$K$6,B746:K746)</f>
        <v/>
      </c>
      <c r="N746" s="5">
        <f>IF(AND($A746&gt;=DATE(2020,2,1),$A746&lt;=DATE(2020,5,31)),$M746,"")</f>
        <v/>
      </c>
      <c r="O746" s="5">
        <f>IF(AND($A746&gt;=DATE(2022,1,1),$A746&lt;=DATE(2022,10,31)),$M746,"")</f>
        <v/>
      </c>
      <c r="P746" s="5">
        <f>IF(AND($A746&gt;=DATE(2018,10,1),$A746&lt;=DATE(2018,12,31)),$M746,"")</f>
        <v/>
      </c>
      <c r="Q746" s="5">
        <f>SUMPRODUCT(Exposures!$B$8:$K$8,B746:K746)</f>
        <v/>
      </c>
      <c r="R746" s="5">
        <f>SUMPRODUCT(Exposures!$B$9:$K$9,B746:K746)</f>
        <v/>
      </c>
      <c r="S746" s="5">
        <f>SUMPRODUCT(Exposures!$B$10:$K$10,B746:K746)</f>
        <v/>
      </c>
    </row>
    <row r="747">
      <c r="A747" s="1" t="n">
        <v>43543</v>
      </c>
      <c r="B747" s="5" t="n">
        <v>0.003588575148694603</v>
      </c>
      <c r="C747" s="5" t="n">
        <v>-0.0002530535670456274</v>
      </c>
      <c r="D747" s="5" t="n">
        <v>-0.001650963012236103</v>
      </c>
      <c r="E747" s="5" t="n">
        <v>0.0001261755314048214</v>
      </c>
      <c r="F747" s="5" t="n">
        <v>0.007453575095441086</v>
      </c>
      <c r="G747" s="5" t="n">
        <v>-0.002090166252321823</v>
      </c>
      <c r="H747" s="5" t="n">
        <v>0.005245108949033711</v>
      </c>
      <c r="I747" s="5" t="n">
        <v>-0.0002285828238241458</v>
      </c>
      <c r="J747" s="5" t="n">
        <v>0.005262711774676528</v>
      </c>
      <c r="K747" s="5" t="n">
        <v>-0.002335489673867013</v>
      </c>
      <c r="L747" s="5" t="n">
        <v>-0.0005609722530136614</v>
      </c>
      <c r="M747" s="5">
        <f>SUMPRODUCT(Exposures!$B$6:$K$6,B747:K747)</f>
        <v/>
      </c>
      <c r="N747" s="5">
        <f>IF(AND($A747&gt;=DATE(2020,2,1),$A747&lt;=DATE(2020,5,31)),$M747,"")</f>
        <v/>
      </c>
      <c r="O747" s="5">
        <f>IF(AND($A747&gt;=DATE(2022,1,1),$A747&lt;=DATE(2022,10,31)),$M747,"")</f>
        <v/>
      </c>
      <c r="P747" s="5">
        <f>IF(AND($A747&gt;=DATE(2018,10,1),$A747&lt;=DATE(2018,12,31)),$M747,"")</f>
        <v/>
      </c>
      <c r="Q747" s="5">
        <f>SUMPRODUCT(Exposures!$B$8:$K$8,B747:K747)</f>
        <v/>
      </c>
      <c r="R747" s="5">
        <f>SUMPRODUCT(Exposures!$B$9:$K$9,B747:K747)</f>
        <v/>
      </c>
      <c r="S747" s="5">
        <f>SUMPRODUCT(Exposures!$B$10:$K$10,B747:K747)</f>
        <v/>
      </c>
    </row>
    <row r="748">
      <c r="A748" s="1" t="n">
        <v>43544</v>
      </c>
      <c r="B748" s="5" t="n">
        <v>-0.0005091291254612485</v>
      </c>
      <c r="C748" s="5" t="n">
        <v>0.0009174408523866484</v>
      </c>
      <c r="D748" s="5" t="n">
        <v>-0.0008891848935073132</v>
      </c>
      <c r="E748" s="5" t="n">
        <v>-0.001750672866434752</v>
      </c>
      <c r="F748" s="5" t="n">
        <v>0.006754159996440473</v>
      </c>
      <c r="G748" s="5" t="n">
        <v>-0.008460736256204781</v>
      </c>
      <c r="H748" s="5" t="n">
        <v>0.003002682143322879</v>
      </c>
      <c r="I748" s="5" t="n">
        <v>0.0007230236423020263</v>
      </c>
      <c r="J748" s="5" t="n">
        <v>-0.001559461474709483</v>
      </c>
      <c r="K748" s="5" t="n">
        <v>-0.00537756287255318</v>
      </c>
      <c r="L748" s="5" t="n">
        <v>-0.003944295738568182</v>
      </c>
      <c r="M748" s="5">
        <f>SUMPRODUCT(Exposures!$B$6:$K$6,B748:K748)</f>
        <v/>
      </c>
      <c r="N748" s="5">
        <f>IF(AND($A748&gt;=DATE(2020,2,1),$A748&lt;=DATE(2020,5,31)),$M748,"")</f>
        <v/>
      </c>
      <c r="O748" s="5">
        <f>IF(AND($A748&gt;=DATE(2022,1,1),$A748&lt;=DATE(2022,10,31)),$M748,"")</f>
        <v/>
      </c>
      <c r="P748" s="5">
        <f>IF(AND($A748&gt;=DATE(2018,10,1),$A748&lt;=DATE(2018,12,31)),$M748,"")</f>
        <v/>
      </c>
      <c r="Q748" s="5">
        <f>SUMPRODUCT(Exposures!$B$8:$K$8,B748:K748)</f>
        <v/>
      </c>
      <c r="R748" s="5">
        <f>SUMPRODUCT(Exposures!$B$9:$K$9,B748:K748)</f>
        <v/>
      </c>
      <c r="S748" s="5">
        <f>SUMPRODUCT(Exposures!$B$10:$K$10,B748:K748)</f>
        <v/>
      </c>
    </row>
    <row r="749">
      <c r="A749" s="1" t="n">
        <v>43545</v>
      </c>
      <c r="B749" s="5" t="n">
        <v>0.004303522935324731</v>
      </c>
      <c r="C749" s="5" t="n">
        <v>-0.00419662927506414</v>
      </c>
      <c r="D749" s="5" t="n">
        <v>-0.008367336937811146</v>
      </c>
      <c r="E749" s="5" t="n">
        <v>0.0008726558634923912</v>
      </c>
      <c r="F749" s="5" t="n">
        <v>0.01041256405677994</v>
      </c>
      <c r="G749" s="5" t="n">
        <v>0.009528969044553953</v>
      </c>
      <c r="H749" s="5" t="n">
        <v>0.0008704176059414388</v>
      </c>
      <c r="I749" s="5" t="n">
        <v>-0.004378658263582373</v>
      </c>
      <c r="J749" s="5" t="n">
        <v>-0.002375177761087563</v>
      </c>
      <c r="K749" s="5" t="n">
        <v>-0.01226144021938437</v>
      </c>
      <c r="L749" s="5" t="n">
        <v>-0.001568450231096013</v>
      </c>
      <c r="M749" s="5">
        <f>SUMPRODUCT(Exposures!$B$6:$K$6,B749:K749)</f>
        <v/>
      </c>
      <c r="N749" s="5">
        <f>IF(AND($A749&gt;=DATE(2020,2,1),$A749&lt;=DATE(2020,5,31)),$M749,"")</f>
        <v/>
      </c>
      <c r="O749" s="5">
        <f>IF(AND($A749&gt;=DATE(2022,1,1),$A749&lt;=DATE(2022,10,31)),$M749,"")</f>
        <v/>
      </c>
      <c r="P749" s="5">
        <f>IF(AND($A749&gt;=DATE(2018,10,1),$A749&lt;=DATE(2018,12,31)),$M749,"")</f>
        <v/>
      </c>
      <c r="Q749" s="5">
        <f>SUMPRODUCT(Exposures!$B$8:$K$8,B749:K749)</f>
        <v/>
      </c>
      <c r="R749" s="5">
        <f>SUMPRODUCT(Exposures!$B$9:$K$9,B749:K749)</f>
        <v/>
      </c>
      <c r="S749" s="5">
        <f>SUMPRODUCT(Exposures!$B$10:$K$10,B749:K749)</f>
        <v/>
      </c>
    </row>
    <row r="750">
      <c r="A750" s="1" t="n">
        <v>43546</v>
      </c>
      <c r="B750" s="5" t="n">
        <v>-0.01167430177837044</v>
      </c>
      <c r="C750" s="5" t="n">
        <v>-0.001042827481500257</v>
      </c>
      <c r="D750" s="5" t="n">
        <v>-0.002111867242123499</v>
      </c>
      <c r="E750" s="5" t="n">
        <v>-0.0007214097308688091</v>
      </c>
      <c r="F750" s="5" t="n">
        <v>0.01039162781754205</v>
      </c>
      <c r="G750" s="5" t="n">
        <v>-0.02774417486647066</v>
      </c>
      <c r="H750" s="5" t="n">
        <v>0.002583641534760908</v>
      </c>
      <c r="I750" s="5" t="n">
        <v>0.0003256466122523406</v>
      </c>
      <c r="J750" s="5" t="n">
        <v>-0.003856738244836209</v>
      </c>
      <c r="K750" s="5" t="n">
        <v>-0.004588996286038449</v>
      </c>
      <c r="L750" s="5" t="n">
        <v>-0.003630351335587359</v>
      </c>
      <c r="M750" s="5">
        <f>SUMPRODUCT(Exposures!$B$6:$K$6,B750:K750)</f>
        <v/>
      </c>
      <c r="N750" s="5">
        <f>IF(AND($A750&gt;=DATE(2020,2,1),$A750&lt;=DATE(2020,5,31)),$M750,"")</f>
        <v/>
      </c>
      <c r="O750" s="5">
        <f>IF(AND($A750&gt;=DATE(2022,1,1),$A750&lt;=DATE(2022,10,31)),$M750,"")</f>
        <v/>
      </c>
      <c r="P750" s="5">
        <f>IF(AND($A750&gt;=DATE(2018,10,1),$A750&lt;=DATE(2018,12,31)),$M750,"")</f>
        <v/>
      </c>
      <c r="Q750" s="5">
        <f>SUMPRODUCT(Exposures!$B$8:$K$8,B750:K750)</f>
        <v/>
      </c>
      <c r="R750" s="5">
        <f>SUMPRODUCT(Exposures!$B$9:$K$9,B750:K750)</f>
        <v/>
      </c>
      <c r="S750" s="5">
        <f>SUMPRODUCT(Exposures!$B$10:$K$10,B750:K750)</f>
        <v/>
      </c>
    </row>
    <row r="751">
      <c r="A751" s="1" t="n">
        <v>43549</v>
      </c>
      <c r="B751" s="5" t="n">
        <v>-0.0009805687394764666</v>
      </c>
      <c r="C751" s="5" t="n">
        <v>0.00204697105487253</v>
      </c>
      <c r="D751" s="5" t="n">
        <v>0.0001829952233740088</v>
      </c>
      <c r="E751" s="5" t="n">
        <v>-0.001158634130998917</v>
      </c>
      <c r="F751" s="5" t="n">
        <v>-0.001749520838354041</v>
      </c>
      <c r="G751" s="5" t="n">
        <v>0.001317524916626841</v>
      </c>
      <c r="H751" s="5" t="n">
        <v>0.002746686521647832</v>
      </c>
      <c r="I751" s="5" t="n">
        <v>0.0009289484690522845</v>
      </c>
      <c r="J751" s="5" t="n">
        <v>0.0004748746538078494</v>
      </c>
      <c r="K751" s="5" t="n">
        <v>-0.0002621015535544174</v>
      </c>
      <c r="L751" s="5" t="n">
        <v>-0.002416449743958931</v>
      </c>
      <c r="M751" s="5">
        <f>SUMPRODUCT(Exposures!$B$6:$K$6,B751:K751)</f>
        <v/>
      </c>
      <c r="N751" s="5">
        <f>IF(AND($A751&gt;=DATE(2020,2,1),$A751&lt;=DATE(2020,5,31)),$M751,"")</f>
        <v/>
      </c>
      <c r="O751" s="5">
        <f>IF(AND($A751&gt;=DATE(2022,1,1),$A751&lt;=DATE(2022,10,31)),$M751,"")</f>
        <v/>
      </c>
      <c r="P751" s="5">
        <f>IF(AND($A751&gt;=DATE(2018,10,1),$A751&lt;=DATE(2018,12,31)),$M751,"")</f>
        <v/>
      </c>
      <c r="Q751" s="5">
        <f>SUMPRODUCT(Exposures!$B$8:$K$8,B751:K751)</f>
        <v/>
      </c>
      <c r="R751" s="5">
        <f>SUMPRODUCT(Exposures!$B$9:$K$9,B751:K751)</f>
        <v/>
      </c>
      <c r="S751" s="5">
        <f>SUMPRODUCT(Exposures!$B$10:$K$10,B751:K751)</f>
        <v/>
      </c>
    </row>
    <row r="752">
      <c r="A752" s="1" t="n">
        <v>43550</v>
      </c>
      <c r="B752" s="5" t="n">
        <v>0.0004485464855841755</v>
      </c>
      <c r="C752" s="5" t="n">
        <v>-0.0008363097183243153</v>
      </c>
      <c r="D752" s="5" t="n">
        <v>0.002138551321956017</v>
      </c>
      <c r="E752" s="5" t="n">
        <v>0.0007687181659346751</v>
      </c>
      <c r="F752" s="5" t="n">
        <v>-0.004491127989154933</v>
      </c>
      <c r="G752" s="5" t="n">
        <v>0.008748756389481112</v>
      </c>
      <c r="H752" s="5" t="n">
        <v>-0.001318028441430443</v>
      </c>
      <c r="I752" s="5" t="n">
        <v>-0.0001535441071097109</v>
      </c>
      <c r="J752" s="5" t="n">
        <v>-0.0001834723604261009</v>
      </c>
      <c r="K752" s="5" t="n">
        <v>0.002505913834036189</v>
      </c>
      <c r="L752" s="5" t="n">
        <v>0.0006872713999116076</v>
      </c>
      <c r="M752" s="5">
        <f>SUMPRODUCT(Exposures!$B$6:$K$6,B752:K752)</f>
        <v/>
      </c>
      <c r="N752" s="5">
        <f>IF(AND($A752&gt;=DATE(2020,2,1),$A752&lt;=DATE(2020,5,31)),$M752,"")</f>
        <v/>
      </c>
      <c r="O752" s="5">
        <f>IF(AND($A752&gt;=DATE(2022,1,1),$A752&lt;=DATE(2022,10,31)),$M752,"")</f>
        <v/>
      </c>
      <c r="P752" s="5">
        <f>IF(AND($A752&gt;=DATE(2018,10,1),$A752&lt;=DATE(2018,12,31)),$M752,"")</f>
        <v/>
      </c>
      <c r="Q752" s="5">
        <f>SUMPRODUCT(Exposures!$B$8:$K$8,B752:K752)</f>
        <v/>
      </c>
      <c r="R752" s="5">
        <f>SUMPRODUCT(Exposures!$B$9:$K$9,B752:K752)</f>
        <v/>
      </c>
      <c r="S752" s="5">
        <f>SUMPRODUCT(Exposures!$B$10:$K$10,B752:K752)</f>
        <v/>
      </c>
    </row>
    <row r="753">
      <c r="A753" s="1" t="n">
        <v>43551</v>
      </c>
      <c r="B753" s="5" t="n">
        <v>-0.0007406364990265975</v>
      </c>
      <c r="C753" s="5" t="n">
        <v>0.00146927395400249</v>
      </c>
      <c r="D753" s="5" t="n">
        <v>0.0006004583028976698</v>
      </c>
      <c r="E753" s="5" t="n">
        <v>0.001685315624019745</v>
      </c>
      <c r="F753" s="5" t="n">
        <v>-0.000374523053981367</v>
      </c>
      <c r="G753" s="5" t="n">
        <v>-0.004096237184267226</v>
      </c>
      <c r="H753" s="5" t="n">
        <v>-0.001149856696805083</v>
      </c>
      <c r="I753" s="5" t="n">
        <v>-0.0002544609183787838</v>
      </c>
      <c r="J753" s="5" t="n">
        <v>-0.002063410441304931</v>
      </c>
      <c r="K753" s="5" t="n">
        <v>-0.002258391791059336</v>
      </c>
      <c r="L753" s="5" t="n">
        <v>-0.00054794757744399</v>
      </c>
      <c r="M753" s="5">
        <f>SUMPRODUCT(Exposures!$B$6:$K$6,B753:K753)</f>
        <v/>
      </c>
      <c r="N753" s="5">
        <f>IF(AND($A753&gt;=DATE(2020,2,1),$A753&lt;=DATE(2020,5,31)),$M753,"")</f>
        <v/>
      </c>
      <c r="O753" s="5">
        <f>IF(AND($A753&gt;=DATE(2022,1,1),$A753&lt;=DATE(2022,10,31)),$M753,"")</f>
        <v/>
      </c>
      <c r="P753" s="5">
        <f>IF(AND($A753&gt;=DATE(2018,10,1),$A753&lt;=DATE(2018,12,31)),$M753,"")</f>
        <v/>
      </c>
      <c r="Q753" s="5">
        <f>SUMPRODUCT(Exposures!$B$8:$K$8,B753:K753)</f>
        <v/>
      </c>
      <c r="R753" s="5">
        <f>SUMPRODUCT(Exposures!$B$9:$K$9,B753:K753)</f>
        <v/>
      </c>
      <c r="S753" s="5">
        <f>SUMPRODUCT(Exposures!$B$10:$K$10,B753:K753)</f>
        <v/>
      </c>
    </row>
    <row r="754">
      <c r="A754" s="1" t="n">
        <v>43552</v>
      </c>
      <c r="B754" s="5" t="n">
        <v>0.003050087248700006</v>
      </c>
      <c r="C754" s="5" t="n">
        <v>0.001121436609877763</v>
      </c>
      <c r="D754" s="5" t="n">
        <v>0.000913958432000551</v>
      </c>
      <c r="E754" s="5" t="n">
        <v>0.0001940537735184566</v>
      </c>
      <c r="F754" s="5" t="n">
        <v>-0.003910053945748958</v>
      </c>
      <c r="G754" s="5" t="n">
        <v>0.006386931689560207</v>
      </c>
      <c r="H754" s="5" t="n">
        <v>-0.001736626685018845</v>
      </c>
      <c r="I754" s="5" t="n">
        <v>-5.549501556859044e-05</v>
      </c>
      <c r="J754" s="5" t="n">
        <v>-0.001168335096630862</v>
      </c>
      <c r="K754" s="5" t="n">
        <v>4.077372755746233e-05</v>
      </c>
      <c r="L754" s="5" t="n">
        <v>-0.001648428117313628</v>
      </c>
      <c r="M754" s="5">
        <f>SUMPRODUCT(Exposures!$B$6:$K$6,B754:K754)</f>
        <v/>
      </c>
      <c r="N754" s="5">
        <f>IF(AND($A754&gt;=DATE(2020,2,1),$A754&lt;=DATE(2020,5,31)),$M754,"")</f>
        <v/>
      </c>
      <c r="O754" s="5">
        <f>IF(AND($A754&gt;=DATE(2022,1,1),$A754&lt;=DATE(2022,10,31)),$M754,"")</f>
        <v/>
      </c>
      <c r="P754" s="5">
        <f>IF(AND($A754&gt;=DATE(2018,10,1),$A754&lt;=DATE(2018,12,31)),$M754,"")</f>
        <v/>
      </c>
      <c r="Q754" s="5">
        <f>SUMPRODUCT(Exposures!$B$8:$K$8,B754:K754)</f>
        <v/>
      </c>
      <c r="R754" s="5">
        <f>SUMPRODUCT(Exposures!$B$9:$K$9,B754:K754)</f>
        <v/>
      </c>
      <c r="S754" s="5">
        <f>SUMPRODUCT(Exposures!$B$10:$K$10,B754:K754)</f>
        <v/>
      </c>
    </row>
    <row r="755">
      <c r="A755" s="1" t="n">
        <v>43553</v>
      </c>
      <c r="B755" s="5" t="n">
        <v>0.003070752459104614</v>
      </c>
      <c r="C755" s="5" t="n">
        <v>0.00254990870332193</v>
      </c>
      <c r="D755" s="5" t="n">
        <v>5.901855276905553e-05</v>
      </c>
      <c r="E755" s="5" t="n">
        <v>-0.001777172022437278</v>
      </c>
      <c r="F755" s="5" t="n">
        <v>-0.001719537867407052</v>
      </c>
      <c r="G755" s="5" t="n">
        <v>0.007596858353189812</v>
      </c>
      <c r="H755" s="5" t="n">
        <v>-0.0007247479274826914</v>
      </c>
      <c r="I755" s="5" t="n">
        <v>-0.001152987545865113</v>
      </c>
      <c r="J755" s="5" t="n">
        <v>0.002904563199527628</v>
      </c>
      <c r="K755" s="5" t="n">
        <v>0.00409883829662817</v>
      </c>
      <c r="L755" s="5" t="n">
        <v>-0.001949167914119737</v>
      </c>
      <c r="M755" s="5">
        <f>SUMPRODUCT(Exposures!$B$6:$K$6,B755:K755)</f>
        <v/>
      </c>
      <c r="N755" s="5">
        <f>IF(AND($A755&gt;=DATE(2020,2,1),$A755&lt;=DATE(2020,5,31)),$M755,"")</f>
        <v/>
      </c>
      <c r="O755" s="5">
        <f>IF(AND($A755&gt;=DATE(2022,1,1),$A755&lt;=DATE(2022,10,31)),$M755,"")</f>
        <v/>
      </c>
      <c r="P755" s="5">
        <f>IF(AND($A755&gt;=DATE(2018,10,1),$A755&lt;=DATE(2018,12,31)),$M755,"")</f>
        <v/>
      </c>
      <c r="Q755" s="5">
        <f>SUMPRODUCT(Exposures!$B$8:$K$8,B755:K755)</f>
        <v/>
      </c>
      <c r="R755" s="5">
        <f>SUMPRODUCT(Exposures!$B$9:$K$9,B755:K755)</f>
        <v/>
      </c>
      <c r="S755" s="5">
        <f>SUMPRODUCT(Exposures!$B$10:$K$10,B755:K755)</f>
        <v/>
      </c>
    </row>
    <row r="756">
      <c r="A756" s="1" t="n">
        <v>43556</v>
      </c>
      <c r="B756" s="5" t="n">
        <v>0.008768249399445375</v>
      </c>
      <c r="C756" s="5" t="n">
        <v>-0.001209485868244515</v>
      </c>
      <c r="D756" s="5" t="n">
        <v>0.003767099225247714</v>
      </c>
      <c r="E756" s="5" t="n">
        <v>0.004280859195933119</v>
      </c>
      <c r="F756" s="5" t="n">
        <v>0.0009923654821035952</v>
      </c>
      <c r="G756" s="5" t="n">
        <v>0.01070412524933207</v>
      </c>
      <c r="H756" s="5" t="n">
        <v>-0.001924554585076566</v>
      </c>
      <c r="I756" s="5" t="n">
        <v>-0.0003995976058107386</v>
      </c>
      <c r="J756" s="5" t="n">
        <v>-0.006188525535836834</v>
      </c>
      <c r="K756" s="5" t="n">
        <v>-0.004702904812540164</v>
      </c>
      <c r="L756" s="5" t="n">
        <v>0.003355146949055163</v>
      </c>
      <c r="M756" s="5">
        <f>SUMPRODUCT(Exposures!$B$6:$K$6,B756:K756)</f>
        <v/>
      </c>
      <c r="N756" s="5">
        <f>IF(AND($A756&gt;=DATE(2020,2,1),$A756&lt;=DATE(2020,5,31)),$M756,"")</f>
        <v/>
      </c>
      <c r="O756" s="5">
        <f>IF(AND($A756&gt;=DATE(2022,1,1),$A756&lt;=DATE(2022,10,31)),$M756,"")</f>
        <v/>
      </c>
      <c r="P756" s="5">
        <f>IF(AND($A756&gt;=DATE(2018,10,1),$A756&lt;=DATE(2018,12,31)),$M756,"")</f>
        <v/>
      </c>
      <c r="Q756" s="5">
        <f>SUMPRODUCT(Exposures!$B$8:$K$8,B756:K756)</f>
        <v/>
      </c>
      <c r="R756" s="5">
        <f>SUMPRODUCT(Exposures!$B$9:$K$9,B756:K756)</f>
        <v/>
      </c>
      <c r="S756" s="5">
        <f>SUMPRODUCT(Exposures!$B$10:$K$10,B756:K756)</f>
        <v/>
      </c>
    </row>
    <row r="757">
      <c r="A757" s="1" t="n">
        <v>43557</v>
      </c>
      <c r="B757" s="5" t="n">
        <v>0.002276670408524041</v>
      </c>
      <c r="C757" s="5" t="n">
        <v>-0.0006047304623983194</v>
      </c>
      <c r="D757" s="5" t="n">
        <v>-0.003617278647827013</v>
      </c>
      <c r="E757" s="5" t="n">
        <v>-0.0003043103902362124</v>
      </c>
      <c r="F757" s="5" t="n">
        <v>-0.003626387175541782</v>
      </c>
      <c r="G757" s="5" t="n">
        <v>-0.0003897483636909318</v>
      </c>
      <c r="H757" s="5" t="n">
        <v>0.002092604790297388</v>
      </c>
      <c r="I757" s="5" t="n">
        <v>-0.0004852460901870209</v>
      </c>
      <c r="J757" s="5" t="n">
        <v>0.001230802081601128</v>
      </c>
      <c r="K757" s="5" t="n">
        <v>0.004956605998835572</v>
      </c>
      <c r="L757" s="5" t="n">
        <v>4.194058232051079e-05</v>
      </c>
      <c r="M757" s="5">
        <f>SUMPRODUCT(Exposures!$B$6:$K$6,B757:K757)</f>
        <v/>
      </c>
      <c r="N757" s="5">
        <f>IF(AND($A757&gt;=DATE(2020,2,1),$A757&lt;=DATE(2020,5,31)),$M757,"")</f>
        <v/>
      </c>
      <c r="O757" s="5">
        <f>IF(AND($A757&gt;=DATE(2022,1,1),$A757&lt;=DATE(2022,10,31)),$M757,"")</f>
        <v/>
      </c>
      <c r="P757" s="5">
        <f>IF(AND($A757&gt;=DATE(2018,10,1),$A757&lt;=DATE(2018,12,31)),$M757,"")</f>
        <v/>
      </c>
      <c r="Q757" s="5">
        <f>SUMPRODUCT(Exposures!$B$8:$K$8,B757:K757)</f>
        <v/>
      </c>
      <c r="R757" s="5">
        <f>SUMPRODUCT(Exposures!$B$9:$K$9,B757:K757)</f>
        <v/>
      </c>
      <c r="S757" s="5">
        <f>SUMPRODUCT(Exposures!$B$10:$K$10,B757:K757)</f>
        <v/>
      </c>
    </row>
    <row r="758">
      <c r="A758" s="1" t="n">
        <v>43558</v>
      </c>
      <c r="B758" s="5" t="n">
        <v>0.00519321745591653</v>
      </c>
      <c r="C758" s="5" t="n">
        <v>-0.001225065186186206</v>
      </c>
      <c r="D758" s="5" t="n">
        <v>-0.0005032919568438906</v>
      </c>
      <c r="E758" s="5" t="n">
        <v>0.0013315784212226</v>
      </c>
      <c r="F758" s="5" t="n">
        <v>-0.0002792610315545214</v>
      </c>
      <c r="G758" s="5" t="n">
        <v>0.005623801289466836</v>
      </c>
      <c r="H758" s="5" t="n">
        <v>0.0004567604092344711</v>
      </c>
      <c r="I758" s="5" t="n">
        <v>-0.00367504472976513</v>
      </c>
      <c r="J758" s="5" t="n">
        <v>0.0007127417751748803</v>
      </c>
      <c r="K758" s="5" t="n">
        <v>-0.001585375552892971</v>
      </c>
      <c r="L758" s="5" t="n">
        <v>0.0008712822732745812</v>
      </c>
      <c r="M758" s="5">
        <f>SUMPRODUCT(Exposures!$B$6:$K$6,B758:K758)</f>
        <v/>
      </c>
      <c r="N758" s="5">
        <f>IF(AND($A758&gt;=DATE(2020,2,1),$A758&lt;=DATE(2020,5,31)),$M758,"")</f>
        <v/>
      </c>
      <c r="O758" s="5">
        <f>IF(AND($A758&gt;=DATE(2022,1,1),$A758&lt;=DATE(2022,10,31)),$M758,"")</f>
        <v/>
      </c>
      <c r="P758" s="5">
        <f>IF(AND($A758&gt;=DATE(2018,10,1),$A758&lt;=DATE(2018,12,31)),$M758,"")</f>
        <v/>
      </c>
      <c r="Q758" s="5">
        <f>SUMPRODUCT(Exposures!$B$8:$K$8,B758:K758)</f>
        <v/>
      </c>
      <c r="R758" s="5">
        <f>SUMPRODUCT(Exposures!$B$9:$K$9,B758:K758)</f>
        <v/>
      </c>
      <c r="S758" s="5">
        <f>SUMPRODUCT(Exposures!$B$10:$K$10,B758:K758)</f>
        <v/>
      </c>
    </row>
    <row r="759">
      <c r="A759" s="1" t="n">
        <v>43559</v>
      </c>
      <c r="B759" s="5" t="n">
        <v>-0.002523508034431852</v>
      </c>
      <c r="C759" s="5" t="n">
        <v>0.001295943337887057</v>
      </c>
      <c r="D759" s="5" t="n">
        <v>0.001925792307132132</v>
      </c>
      <c r="E759" s="5" t="n">
        <v>1.049184810682555e-05</v>
      </c>
      <c r="F759" s="5" t="n">
        <v>0.0008265336006327893</v>
      </c>
      <c r="G759" s="5" t="n">
        <v>0.004342275502027012</v>
      </c>
      <c r="H759" s="5" t="n">
        <v>-0.005519671206293828</v>
      </c>
      <c r="I759" s="5" t="n">
        <v>0.0008251464018438522</v>
      </c>
      <c r="J759" s="5" t="n">
        <v>0.005112607052927137</v>
      </c>
      <c r="K759" s="5" t="n">
        <v>0.0007902108149167608</v>
      </c>
      <c r="L759" s="5" t="n">
        <v>0.001481730598960732</v>
      </c>
      <c r="M759" s="5">
        <f>SUMPRODUCT(Exposures!$B$6:$K$6,B759:K759)</f>
        <v/>
      </c>
      <c r="N759" s="5">
        <f>IF(AND($A759&gt;=DATE(2020,2,1),$A759&lt;=DATE(2020,5,31)),$M759,"")</f>
        <v/>
      </c>
      <c r="O759" s="5">
        <f>IF(AND($A759&gt;=DATE(2022,1,1),$A759&lt;=DATE(2022,10,31)),$M759,"")</f>
        <v/>
      </c>
      <c r="P759" s="5">
        <f>IF(AND($A759&gt;=DATE(2018,10,1),$A759&lt;=DATE(2018,12,31)),$M759,"")</f>
        <v/>
      </c>
      <c r="Q759" s="5">
        <f>SUMPRODUCT(Exposures!$B$8:$K$8,B759:K759)</f>
        <v/>
      </c>
      <c r="R759" s="5">
        <f>SUMPRODUCT(Exposures!$B$9:$K$9,B759:K759)</f>
        <v/>
      </c>
      <c r="S759" s="5">
        <f>SUMPRODUCT(Exposures!$B$10:$K$10,B759:K759)</f>
        <v/>
      </c>
    </row>
    <row r="760">
      <c r="A760" s="1" t="n">
        <v>43560</v>
      </c>
      <c r="B760" s="5" t="n">
        <v>0.0006278630762872725</v>
      </c>
      <c r="C760" s="5" t="n">
        <v>-0.0001997457550325461</v>
      </c>
      <c r="D760" s="5" t="n">
        <v>0.001583734528770498</v>
      </c>
      <c r="E760" s="5" t="n">
        <v>-0.001643479957928464</v>
      </c>
      <c r="F760" s="5" t="n">
        <v>-0.002254245730101705</v>
      </c>
      <c r="G760" s="5" t="n">
        <v>0.007381906515103193</v>
      </c>
      <c r="H760" s="5" t="n">
        <v>0.0001678882351569632</v>
      </c>
      <c r="I760" s="5" t="n">
        <v>0.00028875568374518</v>
      </c>
      <c r="J760" s="5" t="n">
        <v>0.00240642226030715</v>
      </c>
      <c r="K760" s="5" t="n">
        <v>0.002539638398442244</v>
      </c>
      <c r="L760" s="5" t="n">
        <v>-0.0006962835102712061</v>
      </c>
      <c r="M760" s="5">
        <f>SUMPRODUCT(Exposures!$B$6:$K$6,B760:K760)</f>
        <v/>
      </c>
      <c r="N760" s="5">
        <f>IF(AND($A760&gt;=DATE(2020,2,1),$A760&lt;=DATE(2020,5,31)),$M760,"")</f>
        <v/>
      </c>
      <c r="O760" s="5">
        <f>IF(AND($A760&gt;=DATE(2022,1,1),$A760&lt;=DATE(2022,10,31)),$M760,"")</f>
        <v/>
      </c>
      <c r="P760" s="5">
        <f>IF(AND($A760&gt;=DATE(2018,10,1),$A760&lt;=DATE(2018,12,31)),$M760,"")</f>
        <v/>
      </c>
      <c r="Q760" s="5">
        <f>SUMPRODUCT(Exposures!$B$8:$K$8,B760:K760)</f>
        <v/>
      </c>
      <c r="R760" s="5">
        <f>SUMPRODUCT(Exposures!$B$9:$K$9,B760:K760)</f>
        <v/>
      </c>
      <c r="S760" s="5">
        <f>SUMPRODUCT(Exposures!$B$10:$K$10,B760:K760)</f>
        <v/>
      </c>
    </row>
    <row r="761">
      <c r="A761" s="1" t="n">
        <v>43563</v>
      </c>
      <c r="B761" s="5" t="n">
        <v>0.0005877677515795678</v>
      </c>
      <c r="C761" s="5" t="n">
        <v>0.0004980294807738614</v>
      </c>
      <c r="D761" s="5" t="n">
        <v>-0.002632914552809862</v>
      </c>
      <c r="E761" s="5" t="n">
        <v>-0.0007158818528708408</v>
      </c>
      <c r="F761" s="5" t="n">
        <v>0.004103753000775357</v>
      </c>
      <c r="G761" s="5" t="n">
        <v>-0.002842426195772605</v>
      </c>
      <c r="H761" s="5" t="n">
        <v>-0.002491682986403289</v>
      </c>
      <c r="I761" s="5" t="n">
        <v>0.001067636493748149</v>
      </c>
      <c r="J761" s="5" t="n">
        <v>-0.004876081469952909</v>
      </c>
      <c r="K761" s="5" t="n">
        <v>-0.004895656728977449</v>
      </c>
      <c r="L761" s="5" t="n">
        <v>0.000733649852857181</v>
      </c>
      <c r="M761" s="5">
        <f>SUMPRODUCT(Exposures!$B$6:$K$6,B761:K761)</f>
        <v/>
      </c>
      <c r="N761" s="5">
        <f>IF(AND($A761&gt;=DATE(2020,2,1),$A761&lt;=DATE(2020,5,31)),$M761,"")</f>
        <v/>
      </c>
      <c r="O761" s="5">
        <f>IF(AND($A761&gt;=DATE(2022,1,1),$A761&lt;=DATE(2022,10,31)),$M761,"")</f>
        <v/>
      </c>
      <c r="P761" s="5">
        <f>IF(AND($A761&gt;=DATE(2018,10,1),$A761&lt;=DATE(2018,12,31)),$M761,"")</f>
        <v/>
      </c>
      <c r="Q761" s="5">
        <f>SUMPRODUCT(Exposures!$B$8:$K$8,B761:K761)</f>
        <v/>
      </c>
      <c r="R761" s="5">
        <f>SUMPRODUCT(Exposures!$B$9:$K$9,B761:K761)</f>
        <v/>
      </c>
      <c r="S761" s="5">
        <f>SUMPRODUCT(Exposures!$B$10:$K$10,B761:K761)</f>
        <v/>
      </c>
    </row>
    <row r="762">
      <c r="A762" s="1" t="n">
        <v>43564</v>
      </c>
      <c r="B762" s="5" t="n">
        <v>-0.003129269565836167</v>
      </c>
      <c r="C762" s="5" t="n">
        <v>0.0001150806345728867</v>
      </c>
      <c r="D762" s="5" t="n">
        <v>0.000135765751072657</v>
      </c>
      <c r="E762" s="5" t="n">
        <v>-0.001416962438080171</v>
      </c>
      <c r="F762" s="5" t="n">
        <v>-1.758523197316515e-05</v>
      </c>
      <c r="G762" s="5" t="n">
        <v>-0.008464745554777397</v>
      </c>
      <c r="H762" s="5" t="n">
        <v>0.002292886615402309</v>
      </c>
      <c r="I762" s="5" t="n">
        <v>0.0006376999315479082</v>
      </c>
      <c r="J762" s="5" t="n">
        <v>-0.002192609435018932</v>
      </c>
      <c r="K762" s="5" t="n">
        <v>0.001471149565408367</v>
      </c>
      <c r="L762" s="5" t="n">
        <v>-4.779981417977032e-05</v>
      </c>
      <c r="M762" s="5">
        <f>SUMPRODUCT(Exposures!$B$6:$K$6,B762:K762)</f>
        <v/>
      </c>
      <c r="N762" s="5">
        <f>IF(AND($A762&gt;=DATE(2020,2,1),$A762&lt;=DATE(2020,5,31)),$M762,"")</f>
        <v/>
      </c>
      <c r="O762" s="5">
        <f>IF(AND($A762&gt;=DATE(2022,1,1),$A762&lt;=DATE(2022,10,31)),$M762,"")</f>
        <v/>
      </c>
      <c r="P762" s="5">
        <f>IF(AND($A762&gt;=DATE(2018,10,1),$A762&lt;=DATE(2018,12,31)),$M762,"")</f>
        <v/>
      </c>
      <c r="Q762" s="5">
        <f>SUMPRODUCT(Exposures!$B$8:$K$8,B762:K762)</f>
        <v/>
      </c>
      <c r="R762" s="5">
        <f>SUMPRODUCT(Exposures!$B$9:$K$9,B762:K762)</f>
        <v/>
      </c>
      <c r="S762" s="5">
        <f>SUMPRODUCT(Exposures!$B$10:$K$10,B762:K762)</f>
        <v/>
      </c>
    </row>
    <row r="763">
      <c r="A763" s="1" t="n">
        <v>43565</v>
      </c>
      <c r="B763" s="5" t="n">
        <v>0.003556646865944849</v>
      </c>
      <c r="C763" s="5" t="n">
        <v>0.001106501310557161</v>
      </c>
      <c r="D763" s="5" t="n">
        <v>-0.005027279532232183</v>
      </c>
      <c r="E763" s="5" t="n">
        <v>0.0002213691988150478</v>
      </c>
      <c r="F763" s="5" t="n">
        <v>-0.0003995300167865374</v>
      </c>
      <c r="G763" s="5" t="n">
        <v>0.007334973539817011</v>
      </c>
      <c r="H763" s="5" t="n">
        <v>0.002363097423042327</v>
      </c>
      <c r="I763" s="5" t="n">
        <v>-0.0005096194952784235</v>
      </c>
      <c r="J763" s="5" t="n">
        <v>0.000113504888224777</v>
      </c>
      <c r="K763" s="5" t="n">
        <v>-0.002926942237044547</v>
      </c>
      <c r="L763" s="5" t="n">
        <v>0.0003358180936116389</v>
      </c>
      <c r="M763" s="5">
        <f>SUMPRODUCT(Exposures!$B$6:$K$6,B763:K763)</f>
        <v/>
      </c>
      <c r="N763" s="5">
        <f>IF(AND($A763&gt;=DATE(2020,2,1),$A763&lt;=DATE(2020,5,31)),$M763,"")</f>
        <v/>
      </c>
      <c r="O763" s="5">
        <f>IF(AND($A763&gt;=DATE(2022,1,1),$A763&lt;=DATE(2022,10,31)),$M763,"")</f>
        <v/>
      </c>
      <c r="P763" s="5">
        <f>IF(AND($A763&gt;=DATE(2018,10,1),$A763&lt;=DATE(2018,12,31)),$M763,"")</f>
        <v/>
      </c>
      <c r="Q763" s="5">
        <f>SUMPRODUCT(Exposures!$B$8:$K$8,B763:K763)</f>
        <v/>
      </c>
      <c r="R763" s="5">
        <f>SUMPRODUCT(Exposures!$B$9:$K$9,B763:K763)</f>
        <v/>
      </c>
      <c r="S763" s="5">
        <f>SUMPRODUCT(Exposures!$B$10:$K$10,B763:K763)</f>
        <v/>
      </c>
    </row>
    <row r="764">
      <c r="A764" s="1" t="n">
        <v>43566</v>
      </c>
      <c r="B764" s="5" t="n">
        <v>-0.0002865132575911101</v>
      </c>
      <c r="C764" s="5" t="n">
        <v>0.0020526550371824</v>
      </c>
      <c r="D764" s="5" t="n">
        <v>-0.0007383588390510719</v>
      </c>
      <c r="E764" s="5" t="n">
        <v>0.0033635481184266</v>
      </c>
      <c r="F764" s="5" t="n">
        <v>-0.000703869254998429</v>
      </c>
      <c r="G764" s="5" t="n">
        <v>-0.0002421711005260498</v>
      </c>
      <c r="H764" s="5" t="n">
        <v>0.0009644444913636787</v>
      </c>
      <c r="I764" s="5" t="n">
        <v>-0.0007322227624193114</v>
      </c>
      <c r="J764" s="5" t="n">
        <v>-0.00269518225476115</v>
      </c>
      <c r="K764" s="5" t="n">
        <v>-0.002285503291151927</v>
      </c>
      <c r="L764" s="5" t="n">
        <v>-0.001666865335938289</v>
      </c>
      <c r="M764" s="5">
        <f>SUMPRODUCT(Exposures!$B$6:$K$6,B764:K764)</f>
        <v/>
      </c>
      <c r="N764" s="5">
        <f>IF(AND($A764&gt;=DATE(2020,2,1),$A764&lt;=DATE(2020,5,31)),$M764,"")</f>
        <v/>
      </c>
      <c r="O764" s="5">
        <f>IF(AND($A764&gt;=DATE(2022,1,1),$A764&lt;=DATE(2022,10,31)),$M764,"")</f>
        <v/>
      </c>
      <c r="P764" s="5">
        <f>IF(AND($A764&gt;=DATE(2018,10,1),$A764&lt;=DATE(2018,12,31)),$M764,"")</f>
        <v/>
      </c>
      <c r="Q764" s="5">
        <f>SUMPRODUCT(Exposures!$B$8:$K$8,B764:K764)</f>
        <v/>
      </c>
      <c r="R764" s="5">
        <f>SUMPRODUCT(Exposures!$B$9:$K$9,B764:K764)</f>
        <v/>
      </c>
      <c r="S764" s="5">
        <f>SUMPRODUCT(Exposures!$B$10:$K$10,B764:K764)</f>
        <v/>
      </c>
    </row>
    <row r="765">
      <c r="A765" s="1" t="n">
        <v>43567</v>
      </c>
      <c r="B765" s="5" t="n">
        <v>0.002246335197556419</v>
      </c>
      <c r="C765" s="5" t="n">
        <v>0.0067117044995403</v>
      </c>
      <c r="D765" s="5" t="n">
        <v>0.0005624892324625449</v>
      </c>
      <c r="E765" s="5" t="n">
        <v>0.002613775428319426</v>
      </c>
      <c r="F765" s="5" t="n">
        <v>0.0007858420529300222</v>
      </c>
      <c r="G765" s="5" t="n">
        <v>0.004923871387972752</v>
      </c>
      <c r="H765" s="5" t="n">
        <v>-0.002927255640421088</v>
      </c>
      <c r="I765" s="5" t="n">
        <v>-0.001897945882955077</v>
      </c>
      <c r="J765" s="5" t="n">
        <v>-0.002054546972923813</v>
      </c>
      <c r="K765" s="5" t="n">
        <v>-0.003717517229287213</v>
      </c>
      <c r="L765" s="5" t="n">
        <v>-0.002426176138918287</v>
      </c>
      <c r="M765" s="5">
        <f>SUMPRODUCT(Exposures!$B$6:$K$6,B765:K765)</f>
        <v/>
      </c>
      <c r="N765" s="5">
        <f>IF(AND($A765&gt;=DATE(2020,2,1),$A765&lt;=DATE(2020,5,31)),$M765,"")</f>
        <v/>
      </c>
      <c r="O765" s="5">
        <f>IF(AND($A765&gt;=DATE(2022,1,1),$A765&lt;=DATE(2022,10,31)),$M765,"")</f>
        <v/>
      </c>
      <c r="P765" s="5">
        <f>IF(AND($A765&gt;=DATE(2018,10,1),$A765&lt;=DATE(2018,12,31)),$M765,"")</f>
        <v/>
      </c>
      <c r="Q765" s="5">
        <f>SUMPRODUCT(Exposures!$B$8:$K$8,B765:K765)</f>
        <v/>
      </c>
      <c r="R765" s="5">
        <f>SUMPRODUCT(Exposures!$B$9:$K$9,B765:K765)</f>
        <v/>
      </c>
      <c r="S765" s="5">
        <f>SUMPRODUCT(Exposures!$B$10:$K$10,B765:K765)</f>
        <v/>
      </c>
    </row>
    <row r="766">
      <c r="A766" s="1" t="n">
        <v>43570</v>
      </c>
      <c r="B766" s="5" t="n">
        <v>-0.003316931389738988</v>
      </c>
      <c r="C766" s="5" t="n">
        <v>-0.002338210720099512</v>
      </c>
      <c r="D766" s="5" t="n">
        <v>0.001084318072345744</v>
      </c>
      <c r="E766" s="5" t="n">
        <v>-0.001231870100421725</v>
      </c>
      <c r="F766" s="5" t="n">
        <v>0.003528260640373294</v>
      </c>
      <c r="G766" s="5" t="n">
        <v>-0.002872926270994553</v>
      </c>
      <c r="H766" s="5" t="n">
        <v>0.0007875689751261158</v>
      </c>
      <c r="I766" s="5" t="n">
        <v>0.0008750064305365612</v>
      </c>
      <c r="J766" s="5" t="n">
        <v>0.0005080222536284328</v>
      </c>
      <c r="K766" s="5" t="n">
        <v>-0.001363910281844219</v>
      </c>
      <c r="L766" s="5" t="n">
        <v>0.0008541879145548047</v>
      </c>
      <c r="M766" s="5">
        <f>SUMPRODUCT(Exposures!$B$6:$K$6,B766:K766)</f>
        <v/>
      </c>
      <c r="N766" s="5">
        <f>IF(AND($A766&gt;=DATE(2020,2,1),$A766&lt;=DATE(2020,5,31)),$M766,"")</f>
        <v/>
      </c>
      <c r="O766" s="5">
        <f>IF(AND($A766&gt;=DATE(2022,1,1),$A766&lt;=DATE(2022,10,31)),$M766,"")</f>
        <v/>
      </c>
      <c r="P766" s="5">
        <f>IF(AND($A766&gt;=DATE(2018,10,1),$A766&lt;=DATE(2018,12,31)),$M766,"")</f>
        <v/>
      </c>
      <c r="Q766" s="5">
        <f>SUMPRODUCT(Exposures!$B$8:$K$8,B766:K766)</f>
        <v/>
      </c>
      <c r="R766" s="5">
        <f>SUMPRODUCT(Exposures!$B$9:$K$9,B766:K766)</f>
        <v/>
      </c>
      <c r="S766" s="5">
        <f>SUMPRODUCT(Exposures!$B$10:$K$10,B766:K766)</f>
        <v/>
      </c>
    </row>
    <row r="767">
      <c r="A767" s="1" t="n">
        <v>43571</v>
      </c>
      <c r="B767" s="5" t="n">
        <v>0.004902646080237998</v>
      </c>
      <c r="C767" s="5" t="n">
        <v>0.00436566972134424</v>
      </c>
      <c r="D767" s="5" t="n">
        <v>-0.00227525456686447</v>
      </c>
      <c r="E767" s="5" t="n">
        <v>0.003080768880468349</v>
      </c>
      <c r="F767" s="5" t="n">
        <v>-0.003338393450573315</v>
      </c>
      <c r="G767" s="5" t="n">
        <v>-0.002241585356252567</v>
      </c>
      <c r="H767" s="5" t="n">
        <v>-0.003051987698469314</v>
      </c>
      <c r="I767" s="5" t="n">
        <v>-0.0002102026182488031</v>
      </c>
      <c r="J767" s="5" t="n">
        <v>0.001091275606576349</v>
      </c>
      <c r="K767" s="5" t="n">
        <v>0.0009839182540817514</v>
      </c>
      <c r="L767" s="5" t="n">
        <v>0.0004437741238140429</v>
      </c>
      <c r="M767" s="5">
        <f>SUMPRODUCT(Exposures!$B$6:$K$6,B767:K767)</f>
        <v/>
      </c>
      <c r="N767" s="5">
        <f>IF(AND($A767&gt;=DATE(2020,2,1),$A767&lt;=DATE(2020,5,31)),$M767,"")</f>
        <v/>
      </c>
      <c r="O767" s="5">
        <f>IF(AND($A767&gt;=DATE(2022,1,1),$A767&lt;=DATE(2022,10,31)),$M767,"")</f>
        <v/>
      </c>
      <c r="P767" s="5">
        <f>IF(AND($A767&gt;=DATE(2018,10,1),$A767&lt;=DATE(2018,12,31)),$M767,"")</f>
        <v/>
      </c>
      <c r="Q767" s="5">
        <f>SUMPRODUCT(Exposures!$B$8:$K$8,B767:K767)</f>
        <v/>
      </c>
      <c r="R767" s="5">
        <f>SUMPRODUCT(Exposures!$B$9:$K$9,B767:K767)</f>
        <v/>
      </c>
      <c r="S767" s="5">
        <f>SUMPRODUCT(Exposures!$B$10:$K$10,B767:K767)</f>
        <v/>
      </c>
    </row>
    <row r="768">
      <c r="A768" s="1" t="n">
        <v>43572</v>
      </c>
      <c r="B768" s="5" t="n">
        <v>-0.002732977592434192</v>
      </c>
      <c r="C768" s="5" t="n">
        <v>0.004321764145245769</v>
      </c>
      <c r="D768" s="5" t="n">
        <v>-0.0053023285550343</v>
      </c>
      <c r="E768" s="5" t="n">
        <v>-0.000188196448090579</v>
      </c>
      <c r="F768" s="5" t="n">
        <v>0.008986697529256698</v>
      </c>
      <c r="G768" s="5" t="n">
        <v>-0.00876818313183278</v>
      </c>
      <c r="H768" s="5" t="n">
        <v>-0.003733543988183686</v>
      </c>
      <c r="I768" s="5" t="n">
        <v>0.001098134559666594</v>
      </c>
      <c r="J768" s="5" t="n">
        <v>-0.001062463283610117</v>
      </c>
      <c r="K768" s="5" t="n">
        <v>-0.01075620453332773</v>
      </c>
      <c r="L768" s="5" t="n">
        <v>-0.0004382478645749631</v>
      </c>
      <c r="M768" s="5">
        <f>SUMPRODUCT(Exposures!$B$6:$K$6,B768:K768)</f>
        <v/>
      </c>
      <c r="N768" s="5">
        <f>IF(AND($A768&gt;=DATE(2020,2,1),$A768&lt;=DATE(2020,5,31)),$M768,"")</f>
        <v/>
      </c>
      <c r="O768" s="5">
        <f>IF(AND($A768&gt;=DATE(2022,1,1),$A768&lt;=DATE(2022,10,31)),$M768,"")</f>
        <v/>
      </c>
      <c r="P768" s="5">
        <f>IF(AND($A768&gt;=DATE(2018,10,1),$A768&lt;=DATE(2018,12,31)),$M768,"")</f>
        <v/>
      </c>
      <c r="Q768" s="5">
        <f>SUMPRODUCT(Exposures!$B$8:$K$8,B768:K768)</f>
        <v/>
      </c>
      <c r="R768" s="5">
        <f>SUMPRODUCT(Exposures!$B$9:$K$9,B768:K768)</f>
        <v/>
      </c>
      <c r="S768" s="5">
        <f>SUMPRODUCT(Exposures!$B$10:$K$10,B768:K768)</f>
        <v/>
      </c>
    </row>
    <row r="769">
      <c r="A769" s="1" t="n">
        <v>43573</v>
      </c>
      <c r="B769" s="5" t="n">
        <v>0.0008372176651816757</v>
      </c>
      <c r="C769" s="5" t="n">
        <v>-0.001716043299602817</v>
      </c>
      <c r="D769" s="5" t="n">
        <v>0.001280321678357425</v>
      </c>
      <c r="E769" s="5" t="n">
        <v>-0.0004475928613781624</v>
      </c>
      <c r="F769" s="5" t="n">
        <v>0.001605261154569358</v>
      </c>
      <c r="G769" s="5" t="n">
        <v>0.0006520789976740718</v>
      </c>
      <c r="H769" s="5" t="n">
        <v>0.002586047837992403</v>
      </c>
      <c r="I769" s="5" t="n">
        <v>-0.000889787477824099</v>
      </c>
      <c r="J769" s="5" t="n">
        <v>-0.002927643411631976</v>
      </c>
      <c r="K769" s="5" t="n">
        <v>-0.001317330799111871</v>
      </c>
      <c r="L769" s="5" t="n">
        <v>1.385729222065906e-05</v>
      </c>
      <c r="M769" s="5">
        <f>SUMPRODUCT(Exposures!$B$6:$K$6,B769:K769)</f>
        <v/>
      </c>
      <c r="N769" s="5">
        <f>IF(AND($A769&gt;=DATE(2020,2,1),$A769&lt;=DATE(2020,5,31)),$M769,"")</f>
        <v/>
      </c>
      <c r="O769" s="5">
        <f>IF(AND($A769&gt;=DATE(2022,1,1),$A769&lt;=DATE(2022,10,31)),$M769,"")</f>
        <v/>
      </c>
      <c r="P769" s="5">
        <f>IF(AND($A769&gt;=DATE(2018,10,1),$A769&lt;=DATE(2018,12,31)),$M769,"")</f>
        <v/>
      </c>
      <c r="Q769" s="5">
        <f>SUMPRODUCT(Exposures!$B$8:$K$8,B769:K769)</f>
        <v/>
      </c>
      <c r="R769" s="5">
        <f>SUMPRODUCT(Exposures!$B$9:$K$9,B769:K769)</f>
        <v/>
      </c>
      <c r="S769" s="5">
        <f>SUMPRODUCT(Exposures!$B$10:$K$10,B769:K769)</f>
        <v/>
      </c>
    </row>
    <row r="770">
      <c r="A770" s="1" t="n">
        <v>43577</v>
      </c>
      <c r="B770" s="5" t="n">
        <v>0.002087931729256005</v>
      </c>
      <c r="C770" s="5" t="n">
        <v>-0.003954650134105333</v>
      </c>
      <c r="D770" s="5" t="n">
        <v>-0.001986630875211049</v>
      </c>
      <c r="E770" s="5" t="n">
        <v>-0.001257353463603535</v>
      </c>
      <c r="F770" s="5" t="n">
        <v>0.003355666274626024</v>
      </c>
      <c r="G770" s="5" t="n">
        <v>-0.00242777456497006</v>
      </c>
      <c r="H770" s="5" t="n">
        <v>0.003064848514032452</v>
      </c>
      <c r="I770" s="5" t="n">
        <v>-0.0004115256391737484</v>
      </c>
      <c r="J770" s="5" t="n">
        <v>-0.0007305288249929329</v>
      </c>
      <c r="K770" s="5" t="n">
        <v>-0.0003504681217710512</v>
      </c>
      <c r="L770" s="5" t="n">
        <v>0.002423076348996</v>
      </c>
      <c r="M770" s="5">
        <f>SUMPRODUCT(Exposures!$B$6:$K$6,B770:K770)</f>
        <v/>
      </c>
      <c r="N770" s="5">
        <f>IF(AND($A770&gt;=DATE(2020,2,1),$A770&lt;=DATE(2020,5,31)),$M770,"")</f>
        <v/>
      </c>
      <c r="O770" s="5">
        <f>IF(AND($A770&gt;=DATE(2022,1,1),$A770&lt;=DATE(2022,10,31)),$M770,"")</f>
        <v/>
      </c>
      <c r="P770" s="5">
        <f>IF(AND($A770&gt;=DATE(2018,10,1),$A770&lt;=DATE(2018,12,31)),$M770,"")</f>
        <v/>
      </c>
      <c r="Q770" s="5">
        <f>SUMPRODUCT(Exposures!$B$8:$K$8,B770:K770)</f>
        <v/>
      </c>
      <c r="R770" s="5">
        <f>SUMPRODUCT(Exposures!$B$9:$K$9,B770:K770)</f>
        <v/>
      </c>
      <c r="S770" s="5">
        <f>SUMPRODUCT(Exposures!$B$10:$K$10,B770:K770)</f>
        <v/>
      </c>
    </row>
    <row r="771">
      <c r="A771" s="1" t="n">
        <v>43578</v>
      </c>
      <c r="B771" s="5" t="n">
        <v>0.002961915415058943</v>
      </c>
      <c r="C771" s="5" t="n">
        <v>0.00131864307609539</v>
      </c>
      <c r="D771" s="5" t="n">
        <v>-0.0005208236278084838</v>
      </c>
      <c r="E771" s="5" t="n">
        <v>-0.001627567844701568</v>
      </c>
      <c r="F771" s="5" t="n">
        <v>-0.004407500640016774</v>
      </c>
      <c r="G771" s="5" t="n">
        <v>0.01200607860156182</v>
      </c>
      <c r="H771" s="5" t="n">
        <v>0.00147009962539582</v>
      </c>
      <c r="I771" s="5" t="n">
        <v>-0.0006272872050200168</v>
      </c>
      <c r="J771" s="5" t="n">
        <v>-0.0002964795390616322</v>
      </c>
      <c r="K771" s="5" t="n">
        <v>0.003023203887867023</v>
      </c>
      <c r="L771" s="5" t="n">
        <v>-0.001075815256295914</v>
      </c>
      <c r="M771" s="5">
        <f>SUMPRODUCT(Exposures!$B$6:$K$6,B771:K771)</f>
        <v/>
      </c>
      <c r="N771" s="5">
        <f>IF(AND($A771&gt;=DATE(2020,2,1),$A771&lt;=DATE(2020,5,31)),$M771,"")</f>
        <v/>
      </c>
      <c r="O771" s="5">
        <f>IF(AND($A771&gt;=DATE(2022,1,1),$A771&lt;=DATE(2022,10,31)),$M771,"")</f>
        <v/>
      </c>
      <c r="P771" s="5">
        <f>IF(AND($A771&gt;=DATE(2018,10,1),$A771&lt;=DATE(2018,12,31)),$M771,"")</f>
        <v/>
      </c>
      <c r="Q771" s="5">
        <f>SUMPRODUCT(Exposures!$B$8:$K$8,B771:K771)</f>
        <v/>
      </c>
      <c r="R771" s="5">
        <f>SUMPRODUCT(Exposures!$B$9:$K$9,B771:K771)</f>
        <v/>
      </c>
      <c r="S771" s="5">
        <f>SUMPRODUCT(Exposures!$B$10:$K$10,B771:K771)</f>
        <v/>
      </c>
    </row>
    <row r="772">
      <c r="A772" s="1" t="n">
        <v>43579</v>
      </c>
      <c r="B772" s="5" t="n">
        <v>-0.001388455639155424</v>
      </c>
      <c r="C772" s="5" t="n">
        <v>0.001297362462874998</v>
      </c>
      <c r="D772" s="5" t="n">
        <v>5.822775739920413e-05</v>
      </c>
      <c r="E772" s="5" t="n">
        <v>0.0007227479459630223</v>
      </c>
      <c r="F772" s="5" t="n">
        <v>0.001412490835729663</v>
      </c>
      <c r="G772" s="5" t="n">
        <v>0.001313419904959524</v>
      </c>
      <c r="H772" s="5" t="n">
        <v>0.000720329934350218</v>
      </c>
      <c r="I772" s="5" t="n">
        <v>0.0009357503503501668</v>
      </c>
      <c r="J772" s="5" t="n">
        <v>-0.0007292771295139978</v>
      </c>
      <c r="K772" s="5" t="n">
        <v>-0.005299636842045674</v>
      </c>
      <c r="L772" s="5" t="n">
        <v>-0.001793096584911454</v>
      </c>
      <c r="M772" s="5">
        <f>SUMPRODUCT(Exposures!$B$6:$K$6,B772:K772)</f>
        <v/>
      </c>
      <c r="N772" s="5">
        <f>IF(AND($A772&gt;=DATE(2020,2,1),$A772&lt;=DATE(2020,5,31)),$M772,"")</f>
        <v/>
      </c>
      <c r="O772" s="5">
        <f>IF(AND($A772&gt;=DATE(2022,1,1),$A772&lt;=DATE(2022,10,31)),$M772,"")</f>
        <v/>
      </c>
      <c r="P772" s="5">
        <f>IF(AND($A772&gt;=DATE(2018,10,1),$A772&lt;=DATE(2018,12,31)),$M772,"")</f>
        <v/>
      </c>
      <c r="Q772" s="5">
        <f>SUMPRODUCT(Exposures!$B$8:$K$8,B772:K772)</f>
        <v/>
      </c>
      <c r="R772" s="5">
        <f>SUMPRODUCT(Exposures!$B$9:$K$9,B772:K772)</f>
        <v/>
      </c>
      <c r="S772" s="5">
        <f>SUMPRODUCT(Exposures!$B$10:$K$10,B772:K772)</f>
        <v/>
      </c>
    </row>
    <row r="773">
      <c r="A773" s="1" t="n">
        <v>43580</v>
      </c>
      <c r="B773" s="5" t="n">
        <v>-0.0009129694798775266</v>
      </c>
      <c r="C773" s="5" t="n">
        <v>-0.001910833554806314</v>
      </c>
      <c r="D773" s="5" t="n">
        <v>0.00211123838696774</v>
      </c>
      <c r="E773" s="5" t="n">
        <v>-0.00189010817859819</v>
      </c>
      <c r="F773" s="5" t="n">
        <v>-0.002760749948570227</v>
      </c>
      <c r="G773" s="5" t="n">
        <v>-0.004694214215402121</v>
      </c>
      <c r="H773" s="5" t="n">
        <v>0.002641754875234683</v>
      </c>
      <c r="I773" s="5" t="n">
        <v>0.001334527341444377</v>
      </c>
      <c r="J773" s="5" t="n">
        <v>0.0002229044773505856</v>
      </c>
      <c r="K773" s="5" t="n">
        <v>0.008296774482442822</v>
      </c>
      <c r="L773" s="5" t="n">
        <v>0.002058807769241877</v>
      </c>
      <c r="M773" s="5">
        <f>SUMPRODUCT(Exposures!$B$6:$K$6,B773:K773)</f>
        <v/>
      </c>
      <c r="N773" s="5">
        <f>IF(AND($A773&gt;=DATE(2020,2,1),$A773&lt;=DATE(2020,5,31)),$M773,"")</f>
        <v/>
      </c>
      <c r="O773" s="5">
        <f>IF(AND($A773&gt;=DATE(2022,1,1),$A773&lt;=DATE(2022,10,31)),$M773,"")</f>
        <v/>
      </c>
      <c r="P773" s="5">
        <f>IF(AND($A773&gt;=DATE(2018,10,1),$A773&lt;=DATE(2018,12,31)),$M773,"")</f>
        <v/>
      </c>
      <c r="Q773" s="5">
        <f>SUMPRODUCT(Exposures!$B$8:$K$8,B773:K773)</f>
        <v/>
      </c>
      <c r="R773" s="5">
        <f>SUMPRODUCT(Exposures!$B$9:$K$9,B773:K773)</f>
        <v/>
      </c>
      <c r="S773" s="5">
        <f>SUMPRODUCT(Exposures!$B$10:$K$10,B773:K773)</f>
        <v/>
      </c>
    </row>
    <row r="774">
      <c r="A774" s="1" t="n">
        <v>43581</v>
      </c>
      <c r="B774" s="5" t="n">
        <v>0.001305519479293702</v>
      </c>
      <c r="C774" s="5" t="n">
        <v>0.001448672228782959</v>
      </c>
      <c r="D774" s="5" t="n">
        <v>-0.002561832033174819</v>
      </c>
      <c r="E774" s="5" t="n">
        <v>0.001228275645228262</v>
      </c>
      <c r="F774" s="5" t="n">
        <v>-0.002468212504651158</v>
      </c>
      <c r="G774" s="5" t="n">
        <v>0.0108840812290151</v>
      </c>
      <c r="H774" s="5" t="n">
        <v>-0.002963501613577083</v>
      </c>
      <c r="I774" s="5" t="n">
        <v>0.0001271345085891352</v>
      </c>
      <c r="J774" s="5" t="n">
        <v>0.001341948696806154</v>
      </c>
      <c r="K774" s="5" t="n">
        <v>-0.0004137464696212448</v>
      </c>
      <c r="L774" s="5" t="n">
        <v>-0.0004944886777224949</v>
      </c>
      <c r="M774" s="5">
        <f>SUMPRODUCT(Exposures!$B$6:$K$6,B774:K774)</f>
        <v/>
      </c>
      <c r="N774" s="5">
        <f>IF(AND($A774&gt;=DATE(2020,2,1),$A774&lt;=DATE(2020,5,31)),$M774,"")</f>
        <v/>
      </c>
      <c r="O774" s="5">
        <f>IF(AND($A774&gt;=DATE(2022,1,1),$A774&lt;=DATE(2022,10,31)),$M774,"")</f>
        <v/>
      </c>
      <c r="P774" s="5">
        <f>IF(AND($A774&gt;=DATE(2018,10,1),$A774&lt;=DATE(2018,12,31)),$M774,"")</f>
        <v/>
      </c>
      <c r="Q774" s="5">
        <f>SUMPRODUCT(Exposures!$B$8:$K$8,B774:K774)</f>
        <v/>
      </c>
      <c r="R774" s="5">
        <f>SUMPRODUCT(Exposures!$B$9:$K$9,B774:K774)</f>
        <v/>
      </c>
      <c r="S774" s="5">
        <f>SUMPRODUCT(Exposures!$B$10:$K$10,B774:K774)</f>
        <v/>
      </c>
    </row>
    <row r="775">
      <c r="A775" s="1" t="n">
        <v>43584</v>
      </c>
      <c r="B775" s="5" t="n">
        <v>0.0022034629874648</v>
      </c>
      <c r="C775" s="5" t="n">
        <v>-0.001658253589552957</v>
      </c>
      <c r="D775" s="5" t="n">
        <v>-0.001101642057223528</v>
      </c>
      <c r="E775" s="5" t="n">
        <v>0.001317429391670206</v>
      </c>
      <c r="F775" s="5" t="n">
        <v>-0.0001451998910996408</v>
      </c>
      <c r="G775" s="5" t="n">
        <v>0.0009428834670879911</v>
      </c>
      <c r="H775" s="5" t="n">
        <v>-0.002046351279789099</v>
      </c>
      <c r="I775" s="5" t="n">
        <v>0.001141197381540544</v>
      </c>
      <c r="J775" s="5" t="n">
        <v>0.0003696072157015149</v>
      </c>
      <c r="K775" s="5" t="n">
        <v>0.0003151161752139974</v>
      </c>
      <c r="L775" s="5" t="n">
        <v>0.003930533471706797</v>
      </c>
      <c r="M775" s="5">
        <f>SUMPRODUCT(Exposures!$B$6:$K$6,B775:K775)</f>
        <v/>
      </c>
      <c r="N775" s="5">
        <f>IF(AND($A775&gt;=DATE(2020,2,1),$A775&lt;=DATE(2020,5,31)),$M775,"")</f>
        <v/>
      </c>
      <c r="O775" s="5">
        <f>IF(AND($A775&gt;=DATE(2022,1,1),$A775&lt;=DATE(2022,10,31)),$M775,"")</f>
        <v/>
      </c>
      <c r="P775" s="5">
        <f>IF(AND($A775&gt;=DATE(2018,10,1),$A775&lt;=DATE(2018,12,31)),$M775,"")</f>
        <v/>
      </c>
      <c r="Q775" s="5">
        <f>SUMPRODUCT(Exposures!$B$8:$K$8,B775:K775)</f>
        <v/>
      </c>
      <c r="R775" s="5">
        <f>SUMPRODUCT(Exposures!$B$9:$K$9,B775:K775)</f>
        <v/>
      </c>
      <c r="S775" s="5">
        <f>SUMPRODUCT(Exposures!$B$10:$K$10,B775:K775)</f>
        <v/>
      </c>
    </row>
    <row r="776">
      <c r="A776" s="1" t="n">
        <v>43585</v>
      </c>
      <c r="B776" s="5" t="n">
        <v>-0.005546202338490232</v>
      </c>
      <c r="C776" s="5" t="n">
        <v>-0.001205425551468679</v>
      </c>
      <c r="D776" s="5" t="n">
        <v>-0.0004120591703802707</v>
      </c>
      <c r="E776" s="5" t="n">
        <v>0.001394952420486687</v>
      </c>
      <c r="F776" s="5" t="n">
        <v>-0.002624065200387883</v>
      </c>
      <c r="G776" s="5" t="n">
        <v>-0.0002342169267253128</v>
      </c>
      <c r="H776" s="5" t="n">
        <v>0.001472003828306003</v>
      </c>
      <c r="I776" s="5" t="n">
        <v>-0.001472431807770639</v>
      </c>
      <c r="J776" s="5" t="n">
        <v>-0.0009779612567449032</v>
      </c>
      <c r="K776" s="5" t="n">
        <v>0.004181372357718008</v>
      </c>
      <c r="L776" s="5" t="n">
        <v>-0.003717830792720407</v>
      </c>
      <c r="M776" s="5">
        <f>SUMPRODUCT(Exposures!$B$6:$K$6,B776:K776)</f>
        <v/>
      </c>
      <c r="N776" s="5">
        <f>IF(AND($A776&gt;=DATE(2020,2,1),$A776&lt;=DATE(2020,5,31)),$M776,"")</f>
        <v/>
      </c>
      <c r="O776" s="5">
        <f>IF(AND($A776&gt;=DATE(2022,1,1),$A776&lt;=DATE(2022,10,31)),$M776,"")</f>
        <v/>
      </c>
      <c r="P776" s="5">
        <f>IF(AND($A776&gt;=DATE(2018,10,1),$A776&lt;=DATE(2018,12,31)),$M776,"")</f>
        <v/>
      </c>
      <c r="Q776" s="5">
        <f>SUMPRODUCT(Exposures!$B$8:$K$8,B776:K776)</f>
        <v/>
      </c>
      <c r="R776" s="5">
        <f>SUMPRODUCT(Exposures!$B$9:$K$9,B776:K776)</f>
        <v/>
      </c>
      <c r="S776" s="5">
        <f>SUMPRODUCT(Exposures!$B$10:$K$10,B776:K776)</f>
        <v/>
      </c>
    </row>
    <row r="777">
      <c r="A777" s="1" t="n">
        <v>43586</v>
      </c>
      <c r="B777" s="5" t="n">
        <v>-0.002094671097458244</v>
      </c>
      <c r="C777" s="5" t="n">
        <v>0.006019782874456784</v>
      </c>
      <c r="D777" s="5" t="n">
        <v>-0.001147189099346416</v>
      </c>
      <c r="E777" s="5" t="n">
        <v>-0.003245496376369742</v>
      </c>
      <c r="F777" s="5" t="n">
        <v>-0.001564645075604292</v>
      </c>
      <c r="G777" s="5" t="n">
        <v>-0.008010859874137896</v>
      </c>
      <c r="H777" s="5" t="n">
        <v>-0.001246011467813392</v>
      </c>
      <c r="I777" s="5" t="n">
        <v>0.004324297591922877</v>
      </c>
      <c r="J777" s="5" t="n">
        <v>0.002633833245214374</v>
      </c>
      <c r="K777" s="5" t="n">
        <v>0.001261693165922352</v>
      </c>
      <c r="L777" s="5" t="n">
        <v>0.0007693542612468643</v>
      </c>
      <c r="M777" s="5">
        <f>SUMPRODUCT(Exposures!$B$6:$K$6,B777:K777)</f>
        <v/>
      </c>
      <c r="N777" s="5">
        <f>IF(AND($A777&gt;=DATE(2020,2,1),$A777&lt;=DATE(2020,5,31)),$M777,"")</f>
        <v/>
      </c>
      <c r="O777" s="5">
        <f>IF(AND($A777&gt;=DATE(2022,1,1),$A777&lt;=DATE(2022,10,31)),$M777,"")</f>
        <v/>
      </c>
      <c r="P777" s="5">
        <f>IF(AND($A777&gt;=DATE(2018,10,1),$A777&lt;=DATE(2018,12,31)),$M777,"")</f>
        <v/>
      </c>
      <c r="Q777" s="5">
        <f>SUMPRODUCT(Exposures!$B$8:$K$8,B777:K777)</f>
        <v/>
      </c>
      <c r="R777" s="5">
        <f>SUMPRODUCT(Exposures!$B$9:$K$9,B777:K777)</f>
        <v/>
      </c>
      <c r="S777" s="5">
        <f>SUMPRODUCT(Exposures!$B$10:$K$10,B777:K777)</f>
        <v/>
      </c>
    </row>
    <row r="778">
      <c r="A778" s="1" t="n">
        <v>43587</v>
      </c>
      <c r="B778" s="5" t="n">
        <v>0.002241908182586766</v>
      </c>
      <c r="C778" s="5" t="n">
        <v>0.0008327204906771488</v>
      </c>
      <c r="D778" s="5" t="n">
        <v>0.001645276292446201</v>
      </c>
      <c r="E778" s="5" t="n">
        <v>0.0009295760792621875</v>
      </c>
      <c r="F778" s="5" t="n">
        <v>-0.0009436582363320143</v>
      </c>
      <c r="G778" s="5" t="n">
        <v>0.004535776175830096</v>
      </c>
      <c r="H778" s="5" t="n">
        <v>0.003377217866526443</v>
      </c>
      <c r="I778" s="5" t="n">
        <v>-0.002105205472336765</v>
      </c>
      <c r="J778" s="5" t="n">
        <v>0.002110498572639474</v>
      </c>
      <c r="K778" s="5" t="n">
        <v>-0.0002257047621381343</v>
      </c>
      <c r="L778" s="5" t="n">
        <v>-0.001198347175266266</v>
      </c>
      <c r="M778" s="5">
        <f>SUMPRODUCT(Exposures!$B$6:$K$6,B778:K778)</f>
        <v/>
      </c>
      <c r="N778" s="5">
        <f>IF(AND($A778&gt;=DATE(2020,2,1),$A778&lt;=DATE(2020,5,31)),$M778,"")</f>
        <v/>
      </c>
      <c r="O778" s="5">
        <f>IF(AND($A778&gt;=DATE(2022,1,1),$A778&lt;=DATE(2022,10,31)),$M778,"")</f>
        <v/>
      </c>
      <c r="P778" s="5">
        <f>IF(AND($A778&gt;=DATE(2018,10,1),$A778&lt;=DATE(2018,12,31)),$M778,"")</f>
        <v/>
      </c>
      <c r="Q778" s="5">
        <f>SUMPRODUCT(Exposures!$B$8:$K$8,B778:K778)</f>
        <v/>
      </c>
      <c r="R778" s="5">
        <f>SUMPRODUCT(Exposures!$B$9:$K$9,B778:K778)</f>
        <v/>
      </c>
      <c r="S778" s="5">
        <f>SUMPRODUCT(Exposures!$B$10:$K$10,B778:K778)</f>
        <v/>
      </c>
    </row>
    <row r="779">
      <c r="A779" s="1" t="n">
        <v>43588</v>
      </c>
      <c r="B779" s="5" t="n">
        <v>0.004992888221413719</v>
      </c>
      <c r="C779" s="5" t="n">
        <v>0.002293318857526344</v>
      </c>
      <c r="D779" s="5" t="n">
        <v>0.001098432471365578</v>
      </c>
      <c r="E779" s="5" t="n">
        <v>2.58139406391316e-05</v>
      </c>
      <c r="F779" s="5" t="n">
        <v>-0.005056970826387328</v>
      </c>
      <c r="G779" s="5" t="n">
        <v>0.01411229173036518</v>
      </c>
      <c r="H779" s="5" t="n">
        <v>-0.0009761525631445308</v>
      </c>
      <c r="I779" s="5" t="n">
        <v>0.001861143940141029</v>
      </c>
      <c r="J779" s="5" t="n">
        <v>-0.0001120662845421406</v>
      </c>
      <c r="K779" s="5" t="n">
        <v>-0.001181334114929069</v>
      </c>
      <c r="L779" s="5" t="n">
        <v>-0.0005477530860625095</v>
      </c>
      <c r="M779" s="5">
        <f>SUMPRODUCT(Exposures!$B$6:$K$6,B779:K779)</f>
        <v/>
      </c>
      <c r="N779" s="5">
        <f>IF(AND($A779&gt;=DATE(2020,2,1),$A779&lt;=DATE(2020,5,31)),$M779,"")</f>
        <v/>
      </c>
      <c r="O779" s="5">
        <f>IF(AND($A779&gt;=DATE(2022,1,1),$A779&lt;=DATE(2022,10,31)),$M779,"")</f>
        <v/>
      </c>
      <c r="P779" s="5">
        <f>IF(AND($A779&gt;=DATE(2018,10,1),$A779&lt;=DATE(2018,12,31)),$M779,"")</f>
        <v/>
      </c>
      <c r="Q779" s="5">
        <f>SUMPRODUCT(Exposures!$B$8:$K$8,B779:K779)</f>
        <v/>
      </c>
      <c r="R779" s="5">
        <f>SUMPRODUCT(Exposures!$B$9:$K$9,B779:K779)</f>
        <v/>
      </c>
      <c r="S779" s="5">
        <f>SUMPRODUCT(Exposures!$B$10:$K$10,B779:K779)</f>
        <v/>
      </c>
    </row>
    <row r="780">
      <c r="A780" s="1" t="n">
        <v>43591</v>
      </c>
      <c r="B780" s="5" t="n">
        <v>-0.003833838078371451</v>
      </c>
      <c r="C780" s="5" t="n">
        <v>-0.003254902752203827</v>
      </c>
      <c r="D780" s="5" t="n">
        <v>0.003584081601888608</v>
      </c>
      <c r="E780" s="5" t="n">
        <v>-0.0003983745808885115</v>
      </c>
      <c r="F780" s="5" t="n">
        <v>-0.0002692818089573448</v>
      </c>
      <c r="G780" s="5" t="n">
        <v>-0.003577420678891176</v>
      </c>
      <c r="H780" s="5" t="n">
        <v>0.00145102238144082</v>
      </c>
      <c r="I780" s="5" t="n">
        <v>0.002409093059044783</v>
      </c>
      <c r="J780" s="5" t="n">
        <v>0.00129813343211894</v>
      </c>
      <c r="K780" s="5" t="n">
        <v>-0.0002900749516571138</v>
      </c>
      <c r="L780" s="5" t="n">
        <v>0.003636696999354762</v>
      </c>
      <c r="M780" s="5">
        <f>SUMPRODUCT(Exposures!$B$6:$K$6,B780:K780)</f>
        <v/>
      </c>
      <c r="N780" s="5">
        <f>IF(AND($A780&gt;=DATE(2020,2,1),$A780&lt;=DATE(2020,5,31)),$M780,"")</f>
        <v/>
      </c>
      <c r="O780" s="5">
        <f>IF(AND($A780&gt;=DATE(2022,1,1),$A780&lt;=DATE(2022,10,31)),$M780,"")</f>
        <v/>
      </c>
      <c r="P780" s="5">
        <f>IF(AND($A780&gt;=DATE(2018,10,1),$A780&lt;=DATE(2018,12,31)),$M780,"")</f>
        <v/>
      </c>
      <c r="Q780" s="5">
        <f>SUMPRODUCT(Exposures!$B$8:$K$8,B780:K780)</f>
        <v/>
      </c>
      <c r="R780" s="5">
        <f>SUMPRODUCT(Exposures!$B$9:$K$9,B780:K780)</f>
        <v/>
      </c>
      <c r="S780" s="5">
        <f>SUMPRODUCT(Exposures!$B$10:$K$10,B780:K780)</f>
        <v/>
      </c>
    </row>
    <row r="781">
      <c r="A781" s="1" t="n">
        <v>43592</v>
      </c>
      <c r="B781" s="5" t="n">
        <v>-0.006477339049962689</v>
      </c>
      <c r="C781" s="5" t="n">
        <v>-0.005095180787102265</v>
      </c>
      <c r="D781" s="5" t="n">
        <v>0.001837980954112719</v>
      </c>
      <c r="E781" s="5" t="n">
        <v>0.001023371533789929</v>
      </c>
      <c r="F781" s="5" t="n">
        <v>0.002657405962750816</v>
      </c>
      <c r="G781" s="5" t="n">
        <v>-0.018578839155479</v>
      </c>
      <c r="H781" s="5" t="n">
        <v>0.001188442779337188</v>
      </c>
      <c r="I781" s="5" t="n">
        <v>-2.990964906392831e-05</v>
      </c>
      <c r="J781" s="5" t="n">
        <v>-0.00169381785434437</v>
      </c>
      <c r="K781" s="5" t="n">
        <v>-0.001362418350047505</v>
      </c>
      <c r="L781" s="5" t="n">
        <v>0.00536961595484914</v>
      </c>
      <c r="M781" s="5">
        <f>SUMPRODUCT(Exposures!$B$6:$K$6,B781:K781)</f>
        <v/>
      </c>
      <c r="N781" s="5">
        <f>IF(AND($A781&gt;=DATE(2020,2,1),$A781&lt;=DATE(2020,5,31)),$M781,"")</f>
        <v/>
      </c>
      <c r="O781" s="5">
        <f>IF(AND($A781&gt;=DATE(2022,1,1),$A781&lt;=DATE(2022,10,31)),$M781,"")</f>
        <v/>
      </c>
      <c r="P781" s="5">
        <f>IF(AND($A781&gt;=DATE(2018,10,1),$A781&lt;=DATE(2018,12,31)),$M781,"")</f>
        <v/>
      </c>
      <c r="Q781" s="5">
        <f>SUMPRODUCT(Exposures!$B$8:$K$8,B781:K781)</f>
        <v/>
      </c>
      <c r="R781" s="5">
        <f>SUMPRODUCT(Exposures!$B$9:$K$9,B781:K781)</f>
        <v/>
      </c>
      <c r="S781" s="5">
        <f>SUMPRODUCT(Exposures!$B$10:$K$10,B781:K781)</f>
        <v/>
      </c>
    </row>
    <row r="782">
      <c r="A782" s="1" t="n">
        <v>43593</v>
      </c>
      <c r="B782" s="5" t="n">
        <v>0.002144242915872039</v>
      </c>
      <c r="C782" s="5" t="n">
        <v>0.002762148028585743</v>
      </c>
      <c r="D782" s="5" t="n">
        <v>0.001205752862341949</v>
      </c>
      <c r="E782" s="5" t="n">
        <v>0.001441630627051016</v>
      </c>
      <c r="F782" s="5" t="n">
        <v>-0.0002565369325453886</v>
      </c>
      <c r="G782" s="5" t="n">
        <v>-0.001790818417480862</v>
      </c>
      <c r="H782" s="5" t="n">
        <v>0.001384955479926478</v>
      </c>
      <c r="I782" s="5" t="n">
        <v>0.003445178622239752</v>
      </c>
      <c r="J782" s="5" t="n">
        <v>-0.0001306650974157377</v>
      </c>
      <c r="K782" s="5" t="n">
        <v>-0.003826812846579262</v>
      </c>
      <c r="L782" s="5" t="n">
        <v>-0.004149536831319843</v>
      </c>
      <c r="M782" s="5">
        <f>SUMPRODUCT(Exposures!$B$6:$K$6,B782:K782)</f>
        <v/>
      </c>
      <c r="N782" s="5">
        <f>IF(AND($A782&gt;=DATE(2020,2,1),$A782&lt;=DATE(2020,5,31)),$M782,"")</f>
        <v/>
      </c>
      <c r="O782" s="5">
        <f>IF(AND($A782&gt;=DATE(2022,1,1),$A782&lt;=DATE(2022,10,31)),$M782,"")</f>
        <v/>
      </c>
      <c r="P782" s="5">
        <f>IF(AND($A782&gt;=DATE(2018,10,1),$A782&lt;=DATE(2018,12,31)),$M782,"")</f>
        <v/>
      </c>
      <c r="Q782" s="5">
        <f>SUMPRODUCT(Exposures!$B$8:$K$8,B782:K782)</f>
        <v/>
      </c>
      <c r="R782" s="5">
        <f>SUMPRODUCT(Exposures!$B$9:$K$9,B782:K782)</f>
        <v/>
      </c>
      <c r="S782" s="5">
        <f>SUMPRODUCT(Exposures!$B$10:$K$10,B782:K782)</f>
        <v/>
      </c>
    </row>
    <row r="783">
      <c r="A783" s="1" t="n">
        <v>43594</v>
      </c>
      <c r="B783" s="5" t="n">
        <v>0.0009164395987055843</v>
      </c>
      <c r="C783" s="5" t="n">
        <v>-0.003594792171436015</v>
      </c>
      <c r="D783" s="5" t="n">
        <v>-0.000148407568740979</v>
      </c>
      <c r="E783" s="5" t="n">
        <v>-0.0007908053277016371</v>
      </c>
      <c r="F783" s="5" t="n">
        <v>-0.007430771270616653</v>
      </c>
      <c r="G783" s="5" t="n">
        <v>-0.0001615564750378972</v>
      </c>
      <c r="H783" s="5" t="n">
        <v>0.004627072037241221</v>
      </c>
      <c r="I783" s="5" t="n">
        <v>-0.001165445198738914</v>
      </c>
      <c r="J783" s="5" t="n">
        <v>0.001287406881275841</v>
      </c>
      <c r="K783" s="5" t="n">
        <v>0.00769176789130304</v>
      </c>
      <c r="L783" s="5" t="n">
        <v>0.004617637223396906</v>
      </c>
      <c r="M783" s="5">
        <f>SUMPRODUCT(Exposures!$B$6:$K$6,B783:K783)</f>
        <v/>
      </c>
      <c r="N783" s="5">
        <f>IF(AND($A783&gt;=DATE(2020,2,1),$A783&lt;=DATE(2020,5,31)),$M783,"")</f>
        <v/>
      </c>
      <c r="O783" s="5">
        <f>IF(AND($A783&gt;=DATE(2022,1,1),$A783&lt;=DATE(2022,10,31)),$M783,"")</f>
        <v/>
      </c>
      <c r="P783" s="5">
        <f>IF(AND($A783&gt;=DATE(2018,10,1),$A783&lt;=DATE(2018,12,31)),$M783,"")</f>
        <v/>
      </c>
      <c r="Q783" s="5">
        <f>SUMPRODUCT(Exposures!$B$8:$K$8,B783:K783)</f>
        <v/>
      </c>
      <c r="R783" s="5">
        <f>SUMPRODUCT(Exposures!$B$9:$K$9,B783:K783)</f>
        <v/>
      </c>
      <c r="S783" s="5">
        <f>SUMPRODUCT(Exposures!$B$10:$K$10,B783:K783)</f>
        <v/>
      </c>
    </row>
    <row r="784">
      <c r="A784" s="1" t="n">
        <v>43595</v>
      </c>
      <c r="B784" s="5" t="n">
        <v>-0.002306561871734361</v>
      </c>
      <c r="C784" s="5" t="n">
        <v>-0.00328158750757237</v>
      </c>
      <c r="D784" s="5" t="n">
        <v>-0.001373735233240831</v>
      </c>
      <c r="E784" s="5" t="n">
        <v>-0.0006429269000529829</v>
      </c>
      <c r="F784" s="5" t="n">
        <v>0.001796413605357591</v>
      </c>
      <c r="G784" s="5" t="n">
        <v>0.002423111925772325</v>
      </c>
      <c r="H784" s="5" t="n">
        <v>-0.0009298813520840147</v>
      </c>
      <c r="I784" s="5" t="n">
        <v>-0.0001297609795961295</v>
      </c>
      <c r="J784" s="5" t="n">
        <v>-0.006899476777845579</v>
      </c>
      <c r="K784" s="5" t="n">
        <v>-0.002853403552560866</v>
      </c>
      <c r="L784" s="5" t="n">
        <v>0.0008572909145174348</v>
      </c>
      <c r="M784" s="5">
        <f>SUMPRODUCT(Exposures!$B$6:$K$6,B784:K784)</f>
        <v/>
      </c>
      <c r="N784" s="5">
        <f>IF(AND($A784&gt;=DATE(2020,2,1),$A784&lt;=DATE(2020,5,31)),$M784,"")</f>
        <v/>
      </c>
      <c r="O784" s="5">
        <f>IF(AND($A784&gt;=DATE(2022,1,1),$A784&lt;=DATE(2022,10,31)),$M784,"")</f>
        <v/>
      </c>
      <c r="P784" s="5">
        <f>IF(AND($A784&gt;=DATE(2018,10,1),$A784&lt;=DATE(2018,12,31)),$M784,"")</f>
        <v/>
      </c>
      <c r="Q784" s="5">
        <f>SUMPRODUCT(Exposures!$B$8:$K$8,B784:K784)</f>
        <v/>
      </c>
      <c r="R784" s="5">
        <f>SUMPRODUCT(Exposures!$B$9:$K$9,B784:K784)</f>
        <v/>
      </c>
      <c r="S784" s="5">
        <f>SUMPRODUCT(Exposures!$B$10:$K$10,B784:K784)</f>
        <v/>
      </c>
    </row>
    <row r="785">
      <c r="A785" s="1" t="n">
        <v>43598</v>
      </c>
      <c r="B785" s="5" t="n">
        <v>-0.01543903703001203</v>
      </c>
      <c r="C785" s="5" t="n">
        <v>-0.001958220650806394</v>
      </c>
      <c r="D785" s="5" t="n">
        <v>0.003344201819119889</v>
      </c>
      <c r="E785" s="5" t="n">
        <v>-0.0008194122907774792</v>
      </c>
      <c r="F785" s="5" t="n">
        <v>0.002670269684472613</v>
      </c>
      <c r="G785" s="5" t="n">
        <v>-0.0282928263973586</v>
      </c>
      <c r="H785" s="5" t="n">
        <v>0.0006281033475259298</v>
      </c>
      <c r="I785" s="5" t="n">
        <v>0.0007575784198975226</v>
      </c>
      <c r="J785" s="5" t="n">
        <v>-0.002372005560788885</v>
      </c>
      <c r="K785" s="5" t="n">
        <v>-0.0007014321860913213</v>
      </c>
      <c r="L785" s="5" t="n">
        <v>5.518260037772993e-05</v>
      </c>
      <c r="M785" s="5">
        <f>SUMPRODUCT(Exposures!$B$6:$K$6,B785:K785)</f>
        <v/>
      </c>
      <c r="N785" s="5">
        <f>IF(AND($A785&gt;=DATE(2020,2,1),$A785&lt;=DATE(2020,5,31)),$M785,"")</f>
        <v/>
      </c>
      <c r="O785" s="5">
        <f>IF(AND($A785&gt;=DATE(2022,1,1),$A785&lt;=DATE(2022,10,31)),$M785,"")</f>
        <v/>
      </c>
      <c r="P785" s="5">
        <f>IF(AND($A785&gt;=DATE(2018,10,1),$A785&lt;=DATE(2018,12,31)),$M785,"")</f>
        <v/>
      </c>
      <c r="Q785" s="5">
        <f>SUMPRODUCT(Exposures!$B$8:$K$8,B785:K785)</f>
        <v/>
      </c>
      <c r="R785" s="5">
        <f>SUMPRODUCT(Exposures!$B$9:$K$9,B785:K785)</f>
        <v/>
      </c>
      <c r="S785" s="5">
        <f>SUMPRODUCT(Exposures!$B$10:$K$10,B785:K785)</f>
        <v/>
      </c>
    </row>
    <row r="786">
      <c r="A786" s="1" t="n">
        <v>43599</v>
      </c>
      <c r="B786" s="5" t="n">
        <v>0.005526791976780383</v>
      </c>
      <c r="C786" s="5" t="n">
        <v>-0.0001022048739871733</v>
      </c>
      <c r="D786" s="5" t="n">
        <v>0.0009244453214843636</v>
      </c>
      <c r="E786" s="5" t="n">
        <v>0.0007173924392406513</v>
      </c>
      <c r="F786" s="5" t="n">
        <v>-0.005594527233058485</v>
      </c>
      <c r="G786" s="5" t="n">
        <v>0.009520732315532247</v>
      </c>
      <c r="H786" s="5" t="n">
        <v>0.001710370699378203</v>
      </c>
      <c r="I786" s="5" t="n">
        <v>0.0001323647491520729</v>
      </c>
      <c r="J786" s="5" t="n">
        <v>0.003662215714085187</v>
      </c>
      <c r="K786" s="5" t="n">
        <v>0.006418779940263496</v>
      </c>
      <c r="L786" s="5" t="n">
        <v>0.001587063144437719</v>
      </c>
      <c r="M786" s="5">
        <f>SUMPRODUCT(Exposures!$B$6:$K$6,B786:K786)</f>
        <v/>
      </c>
      <c r="N786" s="5">
        <f>IF(AND($A786&gt;=DATE(2020,2,1),$A786&lt;=DATE(2020,5,31)),$M786,"")</f>
        <v/>
      </c>
      <c r="O786" s="5">
        <f>IF(AND($A786&gt;=DATE(2022,1,1),$A786&lt;=DATE(2022,10,31)),$M786,"")</f>
        <v/>
      </c>
      <c r="P786" s="5">
        <f>IF(AND($A786&gt;=DATE(2018,10,1),$A786&lt;=DATE(2018,12,31)),$M786,"")</f>
        <v/>
      </c>
      <c r="Q786" s="5">
        <f>SUMPRODUCT(Exposures!$B$8:$K$8,B786:K786)</f>
        <v/>
      </c>
      <c r="R786" s="5">
        <f>SUMPRODUCT(Exposures!$B$9:$K$9,B786:K786)</f>
        <v/>
      </c>
      <c r="S786" s="5">
        <f>SUMPRODUCT(Exposures!$B$10:$K$10,B786:K786)</f>
        <v/>
      </c>
    </row>
    <row r="787">
      <c r="A787" s="1" t="n">
        <v>43600</v>
      </c>
      <c r="B787" s="5" t="n">
        <v>0.004106346195327712</v>
      </c>
      <c r="C787" s="5" t="n">
        <v>0.002041848796945842</v>
      </c>
      <c r="D787" s="5" t="n">
        <v>0.001792921137427112</v>
      </c>
      <c r="E787" s="5" t="n">
        <v>-0.001454507327077324</v>
      </c>
      <c r="F787" s="5" t="n">
        <v>-0.00043460815638962</v>
      </c>
      <c r="G787" s="5" t="n">
        <v>0.004583147259946605</v>
      </c>
      <c r="H787" s="5" t="n">
        <v>0.0001282789773841614</v>
      </c>
      <c r="I787" s="5" t="n">
        <v>0.002317724229144212</v>
      </c>
      <c r="J787" s="5" t="n">
        <v>-0.0003956092109480432</v>
      </c>
      <c r="K787" s="5" t="n">
        <v>-0.0005042214592610251</v>
      </c>
      <c r="L787" s="5" t="n">
        <v>-0.001569081625150404</v>
      </c>
      <c r="M787" s="5">
        <f>SUMPRODUCT(Exposures!$B$6:$K$6,B787:K787)</f>
        <v/>
      </c>
      <c r="N787" s="5">
        <f>IF(AND($A787&gt;=DATE(2020,2,1),$A787&lt;=DATE(2020,5,31)),$M787,"")</f>
        <v/>
      </c>
      <c r="O787" s="5">
        <f>IF(AND($A787&gt;=DATE(2022,1,1),$A787&lt;=DATE(2022,10,31)),$M787,"")</f>
        <v/>
      </c>
      <c r="P787" s="5">
        <f>IF(AND($A787&gt;=DATE(2018,10,1),$A787&lt;=DATE(2018,12,31)),$M787,"")</f>
        <v/>
      </c>
      <c r="Q787" s="5">
        <f>SUMPRODUCT(Exposures!$B$8:$K$8,B787:K787)</f>
        <v/>
      </c>
      <c r="R787" s="5">
        <f>SUMPRODUCT(Exposures!$B$9:$K$9,B787:K787)</f>
        <v/>
      </c>
      <c r="S787" s="5">
        <f>SUMPRODUCT(Exposures!$B$10:$K$10,B787:K787)</f>
        <v/>
      </c>
    </row>
    <row r="788">
      <c r="A788" s="1" t="n">
        <v>43601</v>
      </c>
      <c r="B788" s="5" t="n">
        <v>0.004852146307236673</v>
      </c>
      <c r="C788" s="5" t="n">
        <v>-0.00147184685650616</v>
      </c>
      <c r="D788" s="5" t="n">
        <v>0.001767484009597065</v>
      </c>
      <c r="E788" s="5" t="n">
        <v>0.002721574713912277</v>
      </c>
      <c r="F788" s="5" t="n">
        <v>-0.001673573114294231</v>
      </c>
      <c r="G788" s="5" t="n">
        <v>0.007226887830891112</v>
      </c>
      <c r="H788" s="5" t="n">
        <v>0.001264383054354347</v>
      </c>
      <c r="I788" s="5" t="n">
        <v>-0.000701888027465399</v>
      </c>
      <c r="J788" s="5" t="n">
        <v>-0.004526078245049323</v>
      </c>
      <c r="K788" s="5" t="n">
        <v>0.001398451789290109</v>
      </c>
      <c r="L788" s="5" t="n">
        <v>-0.001496217143736689</v>
      </c>
      <c r="M788" s="5">
        <f>SUMPRODUCT(Exposures!$B$6:$K$6,B788:K788)</f>
        <v/>
      </c>
      <c r="N788" s="5">
        <f>IF(AND($A788&gt;=DATE(2020,2,1),$A788&lt;=DATE(2020,5,31)),$M788,"")</f>
        <v/>
      </c>
      <c r="O788" s="5">
        <f>IF(AND($A788&gt;=DATE(2022,1,1),$A788&lt;=DATE(2022,10,31)),$M788,"")</f>
        <v/>
      </c>
      <c r="P788" s="5">
        <f>IF(AND($A788&gt;=DATE(2018,10,1),$A788&lt;=DATE(2018,12,31)),$M788,"")</f>
        <v/>
      </c>
      <c r="Q788" s="5">
        <f>SUMPRODUCT(Exposures!$B$8:$K$8,B788:K788)</f>
        <v/>
      </c>
      <c r="R788" s="5">
        <f>SUMPRODUCT(Exposures!$B$9:$K$9,B788:K788)</f>
        <v/>
      </c>
      <c r="S788" s="5">
        <f>SUMPRODUCT(Exposures!$B$10:$K$10,B788:K788)</f>
        <v/>
      </c>
    </row>
    <row r="789">
      <c r="A789" s="1" t="n">
        <v>43602</v>
      </c>
      <c r="B789" s="5" t="n">
        <v>-0.005731847038092434</v>
      </c>
      <c r="C789" s="5" t="n">
        <v>-0.003408661867041578</v>
      </c>
      <c r="D789" s="5" t="n">
        <v>-0.00104118695531269</v>
      </c>
      <c r="E789" s="5" t="n">
        <v>0.002480612724447827</v>
      </c>
      <c r="F789" s="5" t="n">
        <v>0.0006091264254804072</v>
      </c>
      <c r="G789" s="5" t="n">
        <v>-0.00967090176354712</v>
      </c>
      <c r="H789" s="5" t="n">
        <v>0.002802833687102914</v>
      </c>
      <c r="I789" s="5" t="n">
        <v>-0.000740052140441125</v>
      </c>
      <c r="J789" s="5" t="n">
        <v>-0.001649313025660668</v>
      </c>
      <c r="K789" s="5" t="n">
        <v>0.003080723315848969</v>
      </c>
      <c r="L789" s="5" t="n">
        <v>0.0006611636094648803</v>
      </c>
      <c r="M789" s="5">
        <f>SUMPRODUCT(Exposures!$B$6:$K$6,B789:K789)</f>
        <v/>
      </c>
      <c r="N789" s="5">
        <f>IF(AND($A789&gt;=DATE(2020,2,1),$A789&lt;=DATE(2020,5,31)),$M789,"")</f>
        <v/>
      </c>
      <c r="O789" s="5">
        <f>IF(AND($A789&gt;=DATE(2022,1,1),$A789&lt;=DATE(2022,10,31)),$M789,"")</f>
        <v/>
      </c>
      <c r="P789" s="5">
        <f>IF(AND($A789&gt;=DATE(2018,10,1),$A789&lt;=DATE(2018,12,31)),$M789,"")</f>
        <v/>
      </c>
      <c r="Q789" s="5">
        <f>SUMPRODUCT(Exposures!$B$8:$K$8,B789:K789)</f>
        <v/>
      </c>
      <c r="R789" s="5">
        <f>SUMPRODUCT(Exposures!$B$9:$K$9,B789:K789)</f>
        <v/>
      </c>
      <c r="S789" s="5">
        <f>SUMPRODUCT(Exposures!$B$10:$K$10,B789:K789)</f>
        <v/>
      </c>
    </row>
    <row r="790">
      <c r="A790" s="1" t="n">
        <v>43605</v>
      </c>
      <c r="B790" s="5" t="n">
        <v>-0.005410322307622012</v>
      </c>
      <c r="C790" s="5" t="n">
        <v>-0.001227751176754039</v>
      </c>
      <c r="D790" s="5" t="n">
        <v>-0.0009671884635973842</v>
      </c>
      <c r="E790" s="5" t="n">
        <v>0.004689750130431487</v>
      </c>
      <c r="F790" s="5" t="n">
        <v>-0.002345579873531901</v>
      </c>
      <c r="G790" s="5" t="n">
        <v>-0.007928616602812655</v>
      </c>
      <c r="H790" s="5" t="n">
        <v>-0.001245811832844074</v>
      </c>
      <c r="I790" s="5" t="n">
        <v>0.002037418657940363</v>
      </c>
      <c r="J790" s="5" t="n">
        <v>-0.001101967785794003</v>
      </c>
      <c r="K790" s="5" t="n">
        <v>-0.002118346428013512</v>
      </c>
      <c r="L790" s="5" t="n">
        <v>1.941801887407e-05</v>
      </c>
      <c r="M790" s="5">
        <f>SUMPRODUCT(Exposures!$B$6:$K$6,B790:K790)</f>
        <v/>
      </c>
      <c r="N790" s="5">
        <f>IF(AND($A790&gt;=DATE(2020,2,1),$A790&lt;=DATE(2020,5,31)),$M790,"")</f>
        <v/>
      </c>
      <c r="O790" s="5">
        <f>IF(AND($A790&gt;=DATE(2022,1,1),$A790&lt;=DATE(2022,10,31)),$M790,"")</f>
        <v/>
      </c>
      <c r="P790" s="5">
        <f>IF(AND($A790&gt;=DATE(2018,10,1),$A790&lt;=DATE(2018,12,31)),$M790,"")</f>
        <v/>
      </c>
      <c r="Q790" s="5">
        <f>SUMPRODUCT(Exposures!$B$8:$K$8,B790:K790)</f>
        <v/>
      </c>
      <c r="R790" s="5">
        <f>SUMPRODUCT(Exposures!$B$9:$K$9,B790:K790)</f>
        <v/>
      </c>
      <c r="S790" s="5">
        <f>SUMPRODUCT(Exposures!$B$10:$K$10,B790:K790)</f>
        <v/>
      </c>
    </row>
    <row r="791">
      <c r="A791" s="1" t="n">
        <v>43606</v>
      </c>
      <c r="B791" s="5" t="n">
        <v>0.003880664150110566</v>
      </c>
      <c r="C791" s="5" t="n">
        <v>0.0003705624415538469</v>
      </c>
      <c r="D791" s="5" t="n">
        <v>-0.001984312012211213</v>
      </c>
      <c r="E791" s="5" t="n">
        <v>-0.001717638263086134</v>
      </c>
      <c r="F791" s="5" t="n">
        <v>-0.003961289926062955</v>
      </c>
      <c r="G791" s="5" t="n">
        <v>0.01331513216673814</v>
      </c>
      <c r="H791" s="5" t="n">
        <v>-0.0009902509952587968</v>
      </c>
      <c r="I791" s="5" t="n">
        <v>-0.0006451719088661136</v>
      </c>
      <c r="J791" s="5" t="n">
        <v>0.003749274423738837</v>
      </c>
      <c r="K791" s="5" t="n">
        <v>0.003582946274215826</v>
      </c>
      <c r="L791" s="5" t="n">
        <v>-0.000533079930678713</v>
      </c>
      <c r="M791" s="5">
        <f>SUMPRODUCT(Exposures!$B$6:$K$6,B791:K791)</f>
        <v/>
      </c>
      <c r="N791" s="5">
        <f>IF(AND($A791&gt;=DATE(2020,2,1),$A791&lt;=DATE(2020,5,31)),$M791,"")</f>
        <v/>
      </c>
      <c r="O791" s="5">
        <f>IF(AND($A791&gt;=DATE(2022,1,1),$A791&lt;=DATE(2022,10,31)),$M791,"")</f>
        <v/>
      </c>
      <c r="P791" s="5">
        <f>IF(AND($A791&gt;=DATE(2018,10,1),$A791&lt;=DATE(2018,12,31)),$M791,"")</f>
        <v/>
      </c>
      <c r="Q791" s="5">
        <f>SUMPRODUCT(Exposures!$B$8:$K$8,B791:K791)</f>
        <v/>
      </c>
      <c r="R791" s="5">
        <f>SUMPRODUCT(Exposures!$B$9:$K$9,B791:K791)</f>
        <v/>
      </c>
      <c r="S791" s="5">
        <f>SUMPRODUCT(Exposures!$B$10:$K$10,B791:K791)</f>
        <v/>
      </c>
    </row>
    <row r="792">
      <c r="A792" s="1" t="n">
        <v>43607</v>
      </c>
      <c r="B792" s="5" t="n">
        <v>-0.003590764382634037</v>
      </c>
      <c r="C792" s="5" t="n">
        <v>-0.002422426707561729</v>
      </c>
      <c r="D792" s="5" t="n">
        <v>-0.0002562767359504952</v>
      </c>
      <c r="E792" s="5" t="n">
        <v>0.000765119623293259</v>
      </c>
      <c r="F792" s="5" t="n">
        <v>-0.0004733781315192888</v>
      </c>
      <c r="G792" s="5" t="n">
        <v>-0.005625684478015471</v>
      </c>
      <c r="H792" s="5" t="n">
        <v>0.002368564325165115</v>
      </c>
      <c r="I792" s="5" t="n">
        <v>-0.0003686737601348239</v>
      </c>
      <c r="J792" s="5" t="n">
        <v>-0.003058290429664915</v>
      </c>
      <c r="K792" s="5" t="n">
        <v>0.002089070850654128</v>
      </c>
      <c r="L792" s="5" t="n">
        <v>-0.001369084336913809</v>
      </c>
      <c r="M792" s="5">
        <f>SUMPRODUCT(Exposures!$B$6:$K$6,B792:K792)</f>
        <v/>
      </c>
      <c r="N792" s="5">
        <f>IF(AND($A792&gt;=DATE(2020,2,1),$A792&lt;=DATE(2020,5,31)),$M792,"")</f>
        <v/>
      </c>
      <c r="O792" s="5">
        <f>IF(AND($A792&gt;=DATE(2022,1,1),$A792&lt;=DATE(2022,10,31)),$M792,"")</f>
        <v/>
      </c>
      <c r="P792" s="5">
        <f>IF(AND($A792&gt;=DATE(2018,10,1),$A792&lt;=DATE(2018,12,31)),$M792,"")</f>
        <v/>
      </c>
      <c r="Q792" s="5">
        <f>SUMPRODUCT(Exposures!$B$8:$K$8,B792:K792)</f>
        <v/>
      </c>
      <c r="R792" s="5">
        <f>SUMPRODUCT(Exposures!$B$9:$K$9,B792:K792)</f>
        <v/>
      </c>
      <c r="S792" s="5">
        <f>SUMPRODUCT(Exposures!$B$10:$K$10,B792:K792)</f>
        <v/>
      </c>
    </row>
    <row r="793">
      <c r="A793" s="1" t="n">
        <v>43608</v>
      </c>
      <c r="B793" s="5" t="n">
        <v>-0.006314206120677667</v>
      </c>
      <c r="C793" s="5" t="n">
        <v>-0.0008283095903313782</v>
      </c>
      <c r="D793" s="5" t="n">
        <v>0.0005034771090166035</v>
      </c>
      <c r="E793" s="5" t="n">
        <v>-0.0006567697238539054</v>
      </c>
      <c r="F793" s="5" t="n">
        <v>-0.00353404256387956</v>
      </c>
      <c r="G793" s="5" t="n">
        <v>-0.01293242605901667</v>
      </c>
      <c r="H793" s="5" t="n">
        <v>0.002464519934951225</v>
      </c>
      <c r="I793" s="5" t="n">
        <v>-0.0001485674743678608</v>
      </c>
      <c r="J793" s="5" t="n">
        <v>-5.359311415021684e-05</v>
      </c>
      <c r="K793" s="5" t="n">
        <v>0.004386957070572799</v>
      </c>
      <c r="L793" s="5" t="n">
        <v>-0.001258251740953454</v>
      </c>
      <c r="M793" s="5">
        <f>SUMPRODUCT(Exposures!$B$6:$K$6,B793:K793)</f>
        <v/>
      </c>
      <c r="N793" s="5">
        <f>IF(AND($A793&gt;=DATE(2020,2,1),$A793&lt;=DATE(2020,5,31)),$M793,"")</f>
        <v/>
      </c>
      <c r="O793" s="5">
        <f>IF(AND($A793&gt;=DATE(2022,1,1),$A793&lt;=DATE(2022,10,31)),$M793,"")</f>
        <v/>
      </c>
      <c r="P793" s="5">
        <f>IF(AND($A793&gt;=DATE(2018,10,1),$A793&lt;=DATE(2018,12,31)),$M793,"")</f>
        <v/>
      </c>
      <c r="Q793" s="5">
        <f>SUMPRODUCT(Exposures!$B$8:$K$8,B793:K793)</f>
        <v/>
      </c>
      <c r="R793" s="5">
        <f>SUMPRODUCT(Exposures!$B$9:$K$9,B793:K793)</f>
        <v/>
      </c>
      <c r="S793" s="5">
        <f>SUMPRODUCT(Exposures!$B$10:$K$10,B793:K793)</f>
        <v/>
      </c>
    </row>
    <row r="794">
      <c r="A794" s="1" t="n">
        <v>43609</v>
      </c>
      <c r="B794" s="5" t="n">
        <v>0.001008527861135442</v>
      </c>
      <c r="C794" s="5" t="n">
        <v>-0.001505826885035198</v>
      </c>
      <c r="D794" s="5" t="n">
        <v>0.0006098790514358914</v>
      </c>
      <c r="E794" s="5" t="n">
        <v>-0.001202705982618089</v>
      </c>
      <c r="F794" s="5" t="n">
        <v>-0.003172940684999223</v>
      </c>
      <c r="G794" s="5" t="n">
        <v>0.003099158014209475</v>
      </c>
      <c r="H794" s="5" t="n">
        <v>-0.001898138368606719</v>
      </c>
      <c r="I794" s="5" t="n">
        <v>-0.0003270368688082459</v>
      </c>
      <c r="J794" s="5" t="n">
        <v>-0.003547116304637072</v>
      </c>
      <c r="K794" s="5" t="n">
        <v>0.0007377001928471622</v>
      </c>
      <c r="L794" s="5" t="n">
        <v>0.002506238275059829</v>
      </c>
      <c r="M794" s="5">
        <f>SUMPRODUCT(Exposures!$B$6:$K$6,B794:K794)</f>
        <v/>
      </c>
      <c r="N794" s="5">
        <f>IF(AND($A794&gt;=DATE(2020,2,1),$A794&lt;=DATE(2020,5,31)),$M794,"")</f>
        <v/>
      </c>
      <c r="O794" s="5">
        <f>IF(AND($A794&gt;=DATE(2022,1,1),$A794&lt;=DATE(2022,10,31)),$M794,"")</f>
        <v/>
      </c>
      <c r="P794" s="5">
        <f>IF(AND($A794&gt;=DATE(2018,10,1),$A794&lt;=DATE(2018,12,31)),$M794,"")</f>
        <v/>
      </c>
      <c r="Q794" s="5">
        <f>SUMPRODUCT(Exposures!$B$8:$K$8,B794:K794)</f>
        <v/>
      </c>
      <c r="R794" s="5">
        <f>SUMPRODUCT(Exposures!$B$9:$K$9,B794:K794)</f>
        <v/>
      </c>
      <c r="S794" s="5">
        <f>SUMPRODUCT(Exposures!$B$10:$K$10,B794:K794)</f>
        <v/>
      </c>
    </row>
    <row r="795">
      <c r="A795" s="1" t="n">
        <v>43613</v>
      </c>
      <c r="B795" s="5" t="n">
        <v>0.003442976714890883</v>
      </c>
      <c r="C795" s="5" t="n">
        <v>0.0008767007907981414</v>
      </c>
      <c r="D795" s="5" t="n">
        <v>-0.000635912490241681</v>
      </c>
      <c r="E795" s="5" t="n">
        <v>0.001246365216833159</v>
      </c>
      <c r="F795" s="5" t="n">
        <v>0.004254110589354049</v>
      </c>
      <c r="G795" s="5" t="n">
        <v>-0.006482656682465174</v>
      </c>
      <c r="H795" s="5" t="n">
        <v>0.006307562930869769</v>
      </c>
      <c r="I795" s="5" t="n">
        <v>-0.000526413302507465</v>
      </c>
      <c r="J795" s="5" t="n">
        <v>0.002497799964093391</v>
      </c>
      <c r="K795" s="5" t="n">
        <v>-0.004623335673616629</v>
      </c>
      <c r="L795" s="5" t="n">
        <v>0.0003266006408551033</v>
      </c>
      <c r="M795" s="5">
        <f>SUMPRODUCT(Exposures!$B$6:$K$6,B795:K795)</f>
        <v/>
      </c>
      <c r="N795" s="5">
        <f>IF(AND($A795&gt;=DATE(2020,2,1),$A795&lt;=DATE(2020,5,31)),$M795,"")</f>
        <v/>
      </c>
      <c r="O795" s="5">
        <f>IF(AND($A795&gt;=DATE(2022,1,1),$A795&lt;=DATE(2022,10,31)),$M795,"")</f>
        <v/>
      </c>
      <c r="P795" s="5">
        <f>IF(AND($A795&gt;=DATE(2018,10,1),$A795&lt;=DATE(2018,12,31)),$M795,"")</f>
        <v/>
      </c>
      <c r="Q795" s="5">
        <f>SUMPRODUCT(Exposures!$B$8:$K$8,B795:K795)</f>
        <v/>
      </c>
      <c r="R795" s="5">
        <f>SUMPRODUCT(Exposures!$B$9:$K$9,B795:K795)</f>
        <v/>
      </c>
      <c r="S795" s="5">
        <f>SUMPRODUCT(Exposures!$B$10:$K$10,B795:K795)</f>
        <v/>
      </c>
    </row>
    <row r="796">
      <c r="A796" s="1" t="n">
        <v>43614</v>
      </c>
      <c r="B796" s="5" t="n">
        <v>0.002957389157960128</v>
      </c>
      <c r="C796" s="5" t="n">
        <v>-0.0001299465726653464</v>
      </c>
      <c r="D796" s="5" t="n">
        <v>-0.001526156478632378</v>
      </c>
      <c r="E796" s="5" t="n">
        <v>0.001220835874183312</v>
      </c>
      <c r="F796" s="5" t="n">
        <v>-0.0006841607433692417</v>
      </c>
      <c r="G796" s="5" t="n">
        <v>-0.01091239849073461</v>
      </c>
      <c r="H796" s="5" t="n">
        <v>-0.005170278230883158</v>
      </c>
      <c r="I796" s="5" t="n">
        <v>-0.0009221095292945407</v>
      </c>
      <c r="J796" s="5" t="n">
        <v>-0.01174243260854166</v>
      </c>
      <c r="K796" s="5" t="n">
        <v>-0.0005437465509836792</v>
      </c>
      <c r="L796" s="5" t="n">
        <v>-0.001493157528283755</v>
      </c>
      <c r="M796" s="5">
        <f>SUMPRODUCT(Exposures!$B$6:$K$6,B796:K796)</f>
        <v/>
      </c>
      <c r="N796" s="5">
        <f>IF(AND($A796&gt;=DATE(2020,2,1),$A796&lt;=DATE(2020,5,31)),$M796,"")</f>
        <v/>
      </c>
      <c r="O796" s="5">
        <f>IF(AND($A796&gt;=DATE(2022,1,1),$A796&lt;=DATE(2022,10,31)),$M796,"")</f>
        <v/>
      </c>
      <c r="P796" s="5">
        <f>IF(AND($A796&gt;=DATE(2018,10,1),$A796&lt;=DATE(2018,12,31)),$M796,"")</f>
        <v/>
      </c>
      <c r="Q796" s="5">
        <f>SUMPRODUCT(Exposures!$B$8:$K$8,B796:K796)</f>
        <v/>
      </c>
      <c r="R796" s="5">
        <f>SUMPRODUCT(Exposures!$B$9:$K$9,B796:K796)</f>
        <v/>
      </c>
      <c r="S796" s="5">
        <f>SUMPRODUCT(Exposures!$B$10:$K$10,B796:K796)</f>
        <v/>
      </c>
    </row>
    <row r="797">
      <c r="A797" s="1" t="n">
        <v>43615</v>
      </c>
      <c r="B797" s="5" t="n">
        <v>-0.001140616296718041</v>
      </c>
      <c r="C797" s="5" t="n">
        <v>-0.0008662583548286965</v>
      </c>
      <c r="D797" s="5" t="n">
        <v>-8.977351313712465e-06</v>
      </c>
      <c r="E797" s="5" t="n">
        <v>-0.001788532275043839</v>
      </c>
      <c r="F797" s="5" t="n">
        <v>-0.0003735444576690685</v>
      </c>
      <c r="G797" s="5" t="n">
        <v>0.0009751705648153333</v>
      </c>
      <c r="H797" s="5" t="n">
        <v>0.005682198199282632</v>
      </c>
      <c r="I797" s="5" t="n">
        <v>0.0005247673018316473</v>
      </c>
      <c r="J797" s="5" t="n">
        <v>0.001850058983735169</v>
      </c>
      <c r="K797" s="5" t="n">
        <v>0.001411306664099131</v>
      </c>
      <c r="L797" s="5" t="n">
        <v>-0.0006405507502350217</v>
      </c>
      <c r="M797" s="5">
        <f>SUMPRODUCT(Exposures!$B$6:$K$6,B797:K797)</f>
        <v/>
      </c>
      <c r="N797" s="5">
        <f>IF(AND($A797&gt;=DATE(2020,2,1),$A797&lt;=DATE(2020,5,31)),$M797,"")</f>
        <v/>
      </c>
      <c r="O797" s="5">
        <f>IF(AND($A797&gt;=DATE(2022,1,1),$A797&lt;=DATE(2022,10,31)),$M797,"")</f>
        <v/>
      </c>
      <c r="P797" s="5">
        <f>IF(AND($A797&gt;=DATE(2018,10,1),$A797&lt;=DATE(2018,12,31)),$M797,"")</f>
        <v/>
      </c>
      <c r="Q797" s="5">
        <f>SUMPRODUCT(Exposures!$B$8:$K$8,B797:K797)</f>
        <v/>
      </c>
      <c r="R797" s="5">
        <f>SUMPRODUCT(Exposures!$B$9:$K$9,B797:K797)</f>
        <v/>
      </c>
      <c r="S797" s="5">
        <f>SUMPRODUCT(Exposures!$B$10:$K$10,B797:K797)</f>
        <v/>
      </c>
    </row>
    <row r="798">
      <c r="A798" s="1" t="n">
        <v>43616</v>
      </c>
      <c r="B798" s="5" t="n">
        <v>-0.006418834460687038</v>
      </c>
      <c r="C798" s="5" t="n">
        <v>-4.231099310686925e-05</v>
      </c>
      <c r="D798" s="5" t="n">
        <v>0.0007171044847280164</v>
      </c>
      <c r="E798" s="5" t="n">
        <v>-0.001131199617565031</v>
      </c>
      <c r="F798" s="5" t="n">
        <v>0.0006585847763506351</v>
      </c>
      <c r="G798" s="5" t="n">
        <v>-0.0121585323692272</v>
      </c>
      <c r="H798" s="5" t="n">
        <v>0.003147038724298661</v>
      </c>
      <c r="I798" s="5" t="n">
        <v>0.0008677772620610932</v>
      </c>
      <c r="J798" s="5" t="n">
        <v>-0.002572981438596644</v>
      </c>
      <c r="K798" s="5" t="n">
        <v>-0.001788105642369063</v>
      </c>
      <c r="L798" s="5" t="n">
        <v>-0.001436587240790141</v>
      </c>
      <c r="M798" s="5">
        <f>SUMPRODUCT(Exposures!$B$6:$K$6,B798:K798)</f>
        <v/>
      </c>
      <c r="N798" s="5">
        <f>IF(AND($A798&gt;=DATE(2020,2,1),$A798&lt;=DATE(2020,5,31)),$M798,"")</f>
        <v/>
      </c>
      <c r="O798" s="5">
        <f>IF(AND($A798&gt;=DATE(2022,1,1),$A798&lt;=DATE(2022,10,31)),$M798,"")</f>
        <v/>
      </c>
      <c r="P798" s="5">
        <f>IF(AND($A798&gt;=DATE(2018,10,1),$A798&lt;=DATE(2018,12,31)),$M798,"")</f>
        <v/>
      </c>
      <c r="Q798" s="5">
        <f>SUMPRODUCT(Exposures!$B$8:$K$8,B798:K798)</f>
        <v/>
      </c>
      <c r="R798" s="5">
        <f>SUMPRODUCT(Exposures!$B$9:$K$9,B798:K798)</f>
        <v/>
      </c>
      <c r="S798" s="5">
        <f>SUMPRODUCT(Exposures!$B$10:$K$10,B798:K798)</f>
        <v/>
      </c>
    </row>
    <row r="799">
      <c r="A799" s="1" t="n">
        <v>43619</v>
      </c>
      <c r="B799" s="5" t="n">
        <v>-0.009327808498910052</v>
      </c>
      <c r="C799" s="5" t="n">
        <v>0.002645726277725963</v>
      </c>
      <c r="D799" s="5" t="n">
        <v>-0.001124369826988063</v>
      </c>
      <c r="E799" s="5" t="n">
        <v>0.002720446904544734</v>
      </c>
      <c r="F799" s="5" t="n">
        <v>-0.007149208512842446</v>
      </c>
      <c r="G799" s="5" t="n">
        <v>0.005345444277809979</v>
      </c>
      <c r="H799" s="5" t="n">
        <v>-0.003242092447126715</v>
      </c>
      <c r="I799" s="5" t="n">
        <v>-0.001918138999070587</v>
      </c>
      <c r="J799" s="5" t="n">
        <v>0.00699029413896753</v>
      </c>
      <c r="K799" s="5" t="n">
        <v>0.006519507513190022</v>
      </c>
      <c r="L799" s="5" t="n">
        <v>3.752123717751005e-05</v>
      </c>
      <c r="M799" s="5">
        <f>SUMPRODUCT(Exposures!$B$6:$K$6,B799:K799)</f>
        <v/>
      </c>
      <c r="N799" s="5">
        <f>IF(AND($A799&gt;=DATE(2020,2,1),$A799&lt;=DATE(2020,5,31)),$M799,"")</f>
        <v/>
      </c>
      <c r="O799" s="5">
        <f>IF(AND($A799&gt;=DATE(2022,1,1),$A799&lt;=DATE(2022,10,31)),$M799,"")</f>
        <v/>
      </c>
      <c r="P799" s="5">
        <f>IF(AND($A799&gt;=DATE(2018,10,1),$A799&lt;=DATE(2018,12,31)),$M799,"")</f>
        <v/>
      </c>
      <c r="Q799" s="5">
        <f>SUMPRODUCT(Exposures!$B$8:$K$8,B799:K799)</f>
        <v/>
      </c>
      <c r="R799" s="5">
        <f>SUMPRODUCT(Exposures!$B$9:$K$9,B799:K799)</f>
        <v/>
      </c>
      <c r="S799" s="5">
        <f>SUMPRODUCT(Exposures!$B$10:$K$10,B799:K799)</f>
        <v/>
      </c>
    </row>
    <row r="800">
      <c r="A800" s="1" t="n">
        <v>43620</v>
      </c>
      <c r="B800" s="5" t="n">
        <v>0.01071151248705561</v>
      </c>
      <c r="C800" s="5" t="n">
        <v>0.003333974820171947</v>
      </c>
      <c r="D800" s="5" t="n">
        <v>-0.003987492020495715</v>
      </c>
      <c r="E800" s="5" t="n">
        <v>0.002511978048935831</v>
      </c>
      <c r="F800" s="5" t="n">
        <v>0.002439851114707397</v>
      </c>
      <c r="G800" s="5" t="n">
        <v>0.02408023841900495</v>
      </c>
      <c r="H800" s="5" t="n">
        <v>-0.001902984580036166</v>
      </c>
      <c r="I800" s="5" t="n">
        <v>-0.0008379307495911129</v>
      </c>
      <c r="J800" s="5" t="n">
        <v>0.002899846632508481</v>
      </c>
      <c r="K800" s="5" t="n">
        <v>-0.004119594714709084</v>
      </c>
      <c r="L800" s="5" t="n">
        <v>0.001093714416621824</v>
      </c>
      <c r="M800" s="5">
        <f>SUMPRODUCT(Exposures!$B$6:$K$6,B800:K800)</f>
        <v/>
      </c>
      <c r="N800" s="5">
        <f>IF(AND($A800&gt;=DATE(2020,2,1),$A800&lt;=DATE(2020,5,31)),$M800,"")</f>
        <v/>
      </c>
      <c r="O800" s="5">
        <f>IF(AND($A800&gt;=DATE(2022,1,1),$A800&lt;=DATE(2022,10,31)),$M800,"")</f>
        <v/>
      </c>
      <c r="P800" s="5">
        <f>IF(AND($A800&gt;=DATE(2018,10,1),$A800&lt;=DATE(2018,12,31)),$M800,"")</f>
        <v/>
      </c>
      <c r="Q800" s="5">
        <f>SUMPRODUCT(Exposures!$B$8:$K$8,B800:K800)</f>
        <v/>
      </c>
      <c r="R800" s="5">
        <f>SUMPRODUCT(Exposures!$B$9:$K$9,B800:K800)</f>
        <v/>
      </c>
      <c r="S800" s="5">
        <f>SUMPRODUCT(Exposures!$B$10:$K$10,B800:K800)</f>
        <v/>
      </c>
    </row>
    <row r="801">
      <c r="A801" s="1" t="n">
        <v>43621</v>
      </c>
      <c r="B801" s="5" t="n">
        <v>-0.003131503706389464</v>
      </c>
      <c r="C801" s="5" t="n">
        <v>9.893463471185139e-05</v>
      </c>
      <c r="D801" s="5" t="n">
        <v>0.0002741741642911363</v>
      </c>
      <c r="E801" s="5" t="n">
        <v>0.0002399848463938558</v>
      </c>
      <c r="F801" s="5" t="n">
        <v>0.00304264258258088</v>
      </c>
      <c r="G801" s="5" t="n">
        <v>0.004680710633338571</v>
      </c>
      <c r="H801" s="5" t="n">
        <v>0.003693675172870868</v>
      </c>
      <c r="I801" s="5" t="n">
        <v>-8.567770831410056e-05</v>
      </c>
      <c r="J801" s="5" t="n">
        <v>-0.004907827918238255</v>
      </c>
      <c r="K801" s="5" t="n">
        <v>-0.004580959839112506</v>
      </c>
      <c r="L801" s="5" t="n">
        <v>-0.005597471785301102</v>
      </c>
      <c r="M801" s="5">
        <f>SUMPRODUCT(Exposures!$B$6:$K$6,B801:K801)</f>
        <v/>
      </c>
      <c r="N801" s="5">
        <f>IF(AND($A801&gt;=DATE(2020,2,1),$A801&lt;=DATE(2020,5,31)),$M801,"")</f>
        <v/>
      </c>
      <c r="O801" s="5">
        <f>IF(AND($A801&gt;=DATE(2022,1,1),$A801&lt;=DATE(2022,10,31)),$M801,"")</f>
        <v/>
      </c>
      <c r="P801" s="5">
        <f>IF(AND($A801&gt;=DATE(2018,10,1),$A801&lt;=DATE(2018,12,31)),$M801,"")</f>
        <v/>
      </c>
      <c r="Q801" s="5">
        <f>SUMPRODUCT(Exposures!$B$8:$K$8,B801:K801)</f>
        <v/>
      </c>
      <c r="R801" s="5">
        <f>SUMPRODUCT(Exposures!$B$9:$K$9,B801:K801)</f>
        <v/>
      </c>
      <c r="S801" s="5">
        <f>SUMPRODUCT(Exposures!$B$10:$K$10,B801:K801)</f>
        <v/>
      </c>
    </row>
    <row r="802">
      <c r="A802" s="1" t="n">
        <v>43622</v>
      </c>
      <c r="B802" s="5" t="n">
        <v>0.001577336000369337</v>
      </c>
      <c r="C802" s="5" t="n">
        <v>-0.003663412736748833</v>
      </c>
      <c r="D802" s="5" t="n">
        <v>0.0003762963856857044</v>
      </c>
      <c r="E802" s="5" t="n">
        <v>0.0009081155189085752</v>
      </c>
      <c r="F802" s="5" t="n">
        <v>0.002414280438891399</v>
      </c>
      <c r="G802" s="5" t="n">
        <v>0.005010986372418223</v>
      </c>
      <c r="H802" s="5" t="n">
        <v>0.008579605194950126</v>
      </c>
      <c r="I802" s="5" t="n">
        <v>-0.002698036945461073</v>
      </c>
      <c r="J802" s="5" t="n">
        <v>0.00178631032974008</v>
      </c>
      <c r="K802" s="5" t="n">
        <v>0.003197624442875966</v>
      </c>
      <c r="L802" s="5" t="n">
        <v>0.002425409948785132</v>
      </c>
      <c r="M802" s="5">
        <f>SUMPRODUCT(Exposures!$B$6:$K$6,B802:K802)</f>
        <v/>
      </c>
      <c r="N802" s="5">
        <f>IF(AND($A802&gt;=DATE(2020,2,1),$A802&lt;=DATE(2020,5,31)),$M802,"")</f>
        <v/>
      </c>
      <c r="O802" s="5">
        <f>IF(AND($A802&gt;=DATE(2022,1,1),$A802&lt;=DATE(2022,10,31)),$M802,"")</f>
        <v/>
      </c>
      <c r="P802" s="5">
        <f>IF(AND($A802&gt;=DATE(2018,10,1),$A802&lt;=DATE(2018,12,31)),$M802,"")</f>
        <v/>
      </c>
      <c r="Q802" s="5">
        <f>SUMPRODUCT(Exposures!$B$8:$K$8,B802:K802)</f>
        <v/>
      </c>
      <c r="R802" s="5">
        <f>SUMPRODUCT(Exposures!$B$9:$K$9,B802:K802)</f>
        <v/>
      </c>
      <c r="S802" s="5">
        <f>SUMPRODUCT(Exposures!$B$10:$K$10,B802:K802)</f>
        <v/>
      </c>
    </row>
    <row r="803">
      <c r="A803" s="1" t="n">
        <v>43623</v>
      </c>
      <c r="B803" s="5" t="n">
        <v>0.005123354060782757</v>
      </c>
      <c r="C803" s="5" t="n">
        <v>0.0009288012573461714</v>
      </c>
      <c r="D803" s="5" t="n">
        <v>-0.000870504372785581</v>
      </c>
      <c r="E803" s="5" t="n">
        <v>-0.002085461079063106</v>
      </c>
      <c r="F803" s="5" t="n">
        <v>0.002919928444584238</v>
      </c>
      <c r="G803" s="5" t="n">
        <v>0.006757308841311017</v>
      </c>
      <c r="H803" s="5" t="n">
        <v>1.083196536615219e-05</v>
      </c>
      <c r="I803" s="5" t="n">
        <v>0.002106610276753301</v>
      </c>
      <c r="J803" s="5" t="n">
        <v>-0.002185837282941017</v>
      </c>
      <c r="K803" s="5" t="n">
        <v>-0.004500339516416075</v>
      </c>
      <c r="L803" s="5" t="n">
        <v>-0.001579275944702169</v>
      </c>
      <c r="M803" s="5">
        <f>SUMPRODUCT(Exposures!$B$6:$K$6,B803:K803)</f>
        <v/>
      </c>
      <c r="N803" s="5">
        <f>IF(AND($A803&gt;=DATE(2020,2,1),$A803&lt;=DATE(2020,5,31)),$M803,"")</f>
        <v/>
      </c>
      <c r="O803" s="5">
        <f>IF(AND($A803&gt;=DATE(2022,1,1),$A803&lt;=DATE(2022,10,31)),$M803,"")</f>
        <v/>
      </c>
      <c r="P803" s="5">
        <f>IF(AND($A803&gt;=DATE(2018,10,1),$A803&lt;=DATE(2018,12,31)),$M803,"")</f>
        <v/>
      </c>
      <c r="Q803" s="5">
        <f>SUMPRODUCT(Exposures!$B$8:$K$8,B803:K803)</f>
        <v/>
      </c>
      <c r="R803" s="5">
        <f>SUMPRODUCT(Exposures!$B$9:$K$9,B803:K803)</f>
        <v/>
      </c>
      <c r="S803" s="5">
        <f>SUMPRODUCT(Exposures!$B$10:$K$10,B803:K803)</f>
        <v/>
      </c>
    </row>
    <row r="804">
      <c r="A804" s="1" t="n">
        <v>43626</v>
      </c>
      <c r="B804" s="5" t="n">
        <v>0.005697348832713252</v>
      </c>
      <c r="C804" s="5" t="n">
        <v>0.00246162233551352</v>
      </c>
      <c r="D804" s="5" t="n">
        <v>0.002199232788511605</v>
      </c>
      <c r="E804" s="5" t="n">
        <v>-0.001287600474086663</v>
      </c>
      <c r="F804" s="5" t="n">
        <v>-0.0003095679903979114</v>
      </c>
      <c r="G804" s="5" t="n">
        <v>0.004557048951287769</v>
      </c>
      <c r="H804" s="5" t="n">
        <v>0.0010917549325177</v>
      </c>
      <c r="I804" s="5" t="n">
        <v>0.001321035285957547</v>
      </c>
      <c r="J804" s="5" t="n">
        <v>-0.001313354596882584</v>
      </c>
      <c r="K804" s="5" t="n">
        <v>0.001006904650891647</v>
      </c>
      <c r="L804" s="5" t="n">
        <v>0.001677628011262874</v>
      </c>
      <c r="M804" s="5">
        <f>SUMPRODUCT(Exposures!$B$6:$K$6,B804:K804)</f>
        <v/>
      </c>
      <c r="N804" s="5">
        <f>IF(AND($A804&gt;=DATE(2020,2,1),$A804&lt;=DATE(2020,5,31)),$M804,"")</f>
        <v/>
      </c>
      <c r="O804" s="5">
        <f>IF(AND($A804&gt;=DATE(2022,1,1),$A804&lt;=DATE(2022,10,31)),$M804,"")</f>
        <v/>
      </c>
      <c r="P804" s="5">
        <f>IF(AND($A804&gt;=DATE(2018,10,1),$A804&lt;=DATE(2018,12,31)),$M804,"")</f>
        <v/>
      </c>
      <c r="Q804" s="5">
        <f>SUMPRODUCT(Exposures!$B$8:$K$8,B804:K804)</f>
        <v/>
      </c>
      <c r="R804" s="5">
        <f>SUMPRODUCT(Exposures!$B$9:$K$9,B804:K804)</f>
        <v/>
      </c>
      <c r="S804" s="5">
        <f>SUMPRODUCT(Exposures!$B$10:$K$10,B804:K804)</f>
        <v/>
      </c>
    </row>
    <row r="805">
      <c r="A805" s="1" t="n">
        <v>43627</v>
      </c>
      <c r="B805" s="5" t="n">
        <v>0.000121501174608794</v>
      </c>
      <c r="C805" s="5" t="n">
        <v>0.005350202900506254</v>
      </c>
      <c r="D805" s="5" t="n">
        <v>-0.0004690441793366776</v>
      </c>
      <c r="E805" s="5" t="n">
        <v>0.0001319626826251786</v>
      </c>
      <c r="F805" s="5" t="n">
        <v>-0.00107992253535409</v>
      </c>
      <c r="G805" s="5" t="n">
        <v>0.0005157537464820396</v>
      </c>
      <c r="H805" s="5" t="n">
        <v>-0.002668892424101105</v>
      </c>
      <c r="I805" s="5" t="n">
        <v>5.71499637572704e-05</v>
      </c>
      <c r="J805" s="5" t="n">
        <v>0.0009026231841853505</v>
      </c>
      <c r="K805" s="5" t="n">
        <v>-0.0009578079045928819</v>
      </c>
      <c r="L805" s="5" t="n">
        <v>-0.002023826913641763</v>
      </c>
      <c r="M805" s="5">
        <f>SUMPRODUCT(Exposures!$B$6:$K$6,B805:K805)</f>
        <v/>
      </c>
      <c r="N805" s="5">
        <f>IF(AND($A805&gt;=DATE(2020,2,1),$A805&lt;=DATE(2020,5,31)),$M805,"")</f>
        <v/>
      </c>
      <c r="O805" s="5">
        <f>IF(AND($A805&gt;=DATE(2022,1,1),$A805&lt;=DATE(2022,10,31)),$M805,"")</f>
        <v/>
      </c>
      <c r="P805" s="5">
        <f>IF(AND($A805&gt;=DATE(2018,10,1),$A805&lt;=DATE(2018,12,31)),$M805,"")</f>
        <v/>
      </c>
      <c r="Q805" s="5">
        <f>SUMPRODUCT(Exposures!$B$8:$K$8,B805:K805)</f>
        <v/>
      </c>
      <c r="R805" s="5">
        <f>SUMPRODUCT(Exposures!$B$9:$K$9,B805:K805)</f>
        <v/>
      </c>
      <c r="S805" s="5">
        <f>SUMPRODUCT(Exposures!$B$10:$K$10,B805:K805)</f>
        <v/>
      </c>
    </row>
    <row r="806">
      <c r="A806" s="1" t="n">
        <v>43628</v>
      </c>
      <c r="B806" s="5" t="n">
        <v>-0.003648361573108515</v>
      </c>
      <c r="C806" s="5" t="n">
        <v>0.000898383131288973</v>
      </c>
      <c r="D806" s="5" t="n">
        <v>-0.002551537871885429</v>
      </c>
      <c r="E806" s="5" t="n">
        <v>-0.0001131243358490053</v>
      </c>
      <c r="F806" s="5" t="n">
        <v>0.002702294646881569</v>
      </c>
      <c r="G806" s="5" t="n">
        <v>-0.0008488104088818389</v>
      </c>
      <c r="H806" s="5" t="n">
        <v>0.001221046680441929</v>
      </c>
      <c r="I806" s="5" t="n">
        <v>-0.000409337359171301</v>
      </c>
      <c r="J806" s="5" t="n">
        <v>-0.001625249872798877</v>
      </c>
      <c r="K806" s="5" t="n">
        <v>-0.005138210720974817</v>
      </c>
      <c r="L806" s="5" t="n">
        <v>-0.003424223577326805</v>
      </c>
      <c r="M806" s="5">
        <f>SUMPRODUCT(Exposures!$B$6:$K$6,B806:K806)</f>
        <v/>
      </c>
      <c r="N806" s="5">
        <f>IF(AND($A806&gt;=DATE(2020,2,1),$A806&lt;=DATE(2020,5,31)),$M806,"")</f>
        <v/>
      </c>
      <c r="O806" s="5">
        <f>IF(AND($A806&gt;=DATE(2022,1,1),$A806&lt;=DATE(2022,10,31)),$M806,"")</f>
        <v/>
      </c>
      <c r="P806" s="5">
        <f>IF(AND($A806&gt;=DATE(2018,10,1),$A806&lt;=DATE(2018,12,31)),$M806,"")</f>
        <v/>
      </c>
      <c r="Q806" s="5">
        <f>SUMPRODUCT(Exposures!$B$8:$K$8,B806:K806)</f>
        <v/>
      </c>
      <c r="R806" s="5">
        <f>SUMPRODUCT(Exposures!$B$9:$K$9,B806:K806)</f>
        <v/>
      </c>
      <c r="S806" s="5">
        <f>SUMPRODUCT(Exposures!$B$10:$K$10,B806:K806)</f>
        <v/>
      </c>
    </row>
    <row r="807">
      <c r="A807" s="1" t="n">
        <v>43629</v>
      </c>
      <c r="B807" s="5" t="n">
        <v>0.0004210461596372841</v>
      </c>
      <c r="C807" s="5" t="n">
        <v>0.001600378507543933</v>
      </c>
      <c r="D807" s="5" t="n">
        <v>-0.001492775738774566</v>
      </c>
      <c r="E807" s="5" t="n">
        <v>-0.0002792151926764212</v>
      </c>
      <c r="F807" s="5" t="n">
        <v>-0.001169540099877466</v>
      </c>
      <c r="G807" s="5" t="n">
        <v>0.005263633142447844</v>
      </c>
      <c r="H807" s="5" t="n">
        <v>-0.004983108053142017</v>
      </c>
      <c r="I807" s="5" t="n">
        <v>-0.002689626560368009</v>
      </c>
      <c r="J807" s="5" t="n">
        <v>0.0009000689494335775</v>
      </c>
      <c r="K807" s="5" t="n">
        <v>0.0018397219453487</v>
      </c>
      <c r="L807" s="5" t="n">
        <v>0.0001728480542403507</v>
      </c>
      <c r="M807" s="5">
        <f>SUMPRODUCT(Exposures!$B$6:$K$6,B807:K807)</f>
        <v/>
      </c>
      <c r="N807" s="5">
        <f>IF(AND($A807&gt;=DATE(2020,2,1),$A807&lt;=DATE(2020,5,31)),$M807,"")</f>
        <v/>
      </c>
      <c r="O807" s="5">
        <f>IF(AND($A807&gt;=DATE(2022,1,1),$A807&lt;=DATE(2022,10,31)),$M807,"")</f>
        <v/>
      </c>
      <c r="P807" s="5">
        <f>IF(AND($A807&gt;=DATE(2018,10,1),$A807&lt;=DATE(2018,12,31)),$M807,"")</f>
        <v/>
      </c>
      <c r="Q807" s="5">
        <f>SUMPRODUCT(Exposures!$B$8:$K$8,B807:K807)</f>
        <v/>
      </c>
      <c r="R807" s="5">
        <f>SUMPRODUCT(Exposures!$B$9:$K$9,B807:K807)</f>
        <v/>
      </c>
      <c r="S807" s="5">
        <f>SUMPRODUCT(Exposures!$B$10:$K$10,B807:K807)</f>
        <v/>
      </c>
    </row>
    <row r="808">
      <c r="A808" s="1" t="n">
        <v>43630</v>
      </c>
      <c r="B808" s="5" t="n">
        <v>-0.005947088809141361</v>
      </c>
      <c r="C808" s="5" t="n">
        <v>-0.000911799818647527</v>
      </c>
      <c r="D808" s="5" t="n">
        <v>0.0006056528567370081</v>
      </c>
      <c r="E808" s="5" t="n">
        <v>0.002435490242270151</v>
      </c>
      <c r="F808" s="5" t="n">
        <v>-0.0006729565368264103</v>
      </c>
      <c r="G808" s="5" t="n">
        <v>-0.005172229641633812</v>
      </c>
      <c r="H808" s="5" t="n">
        <v>-0.0004835431218311275</v>
      </c>
      <c r="I808" s="5" t="n">
        <v>0.0001504046024183119</v>
      </c>
      <c r="J808" s="5" t="n">
        <v>-0.00146931184570289</v>
      </c>
      <c r="K808" s="5" t="n">
        <v>0.001720574233365089</v>
      </c>
      <c r="L808" s="5" t="n">
        <v>-0.0002560991456666041</v>
      </c>
      <c r="M808" s="5">
        <f>SUMPRODUCT(Exposures!$B$6:$K$6,B808:K808)</f>
        <v/>
      </c>
      <c r="N808" s="5">
        <f>IF(AND($A808&gt;=DATE(2020,2,1),$A808&lt;=DATE(2020,5,31)),$M808,"")</f>
        <v/>
      </c>
      <c r="O808" s="5">
        <f>IF(AND($A808&gt;=DATE(2022,1,1),$A808&lt;=DATE(2022,10,31)),$M808,"")</f>
        <v/>
      </c>
      <c r="P808" s="5">
        <f>IF(AND($A808&gt;=DATE(2018,10,1),$A808&lt;=DATE(2018,12,31)),$M808,"")</f>
        <v/>
      </c>
      <c r="Q808" s="5">
        <f>SUMPRODUCT(Exposures!$B$8:$K$8,B808:K808)</f>
        <v/>
      </c>
      <c r="R808" s="5">
        <f>SUMPRODUCT(Exposures!$B$9:$K$9,B808:K808)</f>
        <v/>
      </c>
      <c r="S808" s="5">
        <f>SUMPRODUCT(Exposures!$B$10:$K$10,B808:K808)</f>
        <v/>
      </c>
    </row>
    <row r="809">
      <c r="A809" s="1" t="n">
        <v>43633</v>
      </c>
      <c r="B809" s="5" t="n">
        <v>-0.001319129653453375</v>
      </c>
      <c r="C809" s="5" t="n">
        <v>-0.00104387633805382</v>
      </c>
      <c r="D809" s="5" t="n">
        <v>-0.0003759522814141553</v>
      </c>
      <c r="E809" s="5" t="n">
        <v>-0.002595111353782743</v>
      </c>
      <c r="F809" s="5" t="n">
        <v>0.003068425348054903</v>
      </c>
      <c r="G809" s="5" t="n">
        <v>1.216407736945715e-07</v>
      </c>
      <c r="H809" s="5" t="n">
        <v>-0.001719672599578994</v>
      </c>
      <c r="I809" s="5" t="n">
        <v>0.001631022563976698</v>
      </c>
      <c r="J809" s="5" t="n">
        <v>0.001838087707380244</v>
      </c>
      <c r="K809" s="5" t="n">
        <v>-0.001092964330254793</v>
      </c>
      <c r="L809" s="5" t="n">
        <v>-0.0008419024029678388</v>
      </c>
      <c r="M809" s="5">
        <f>SUMPRODUCT(Exposures!$B$6:$K$6,B809:K809)</f>
        <v/>
      </c>
      <c r="N809" s="5">
        <f>IF(AND($A809&gt;=DATE(2020,2,1),$A809&lt;=DATE(2020,5,31)),$M809,"")</f>
        <v/>
      </c>
      <c r="O809" s="5">
        <f>IF(AND($A809&gt;=DATE(2022,1,1),$A809&lt;=DATE(2022,10,31)),$M809,"")</f>
        <v/>
      </c>
      <c r="P809" s="5">
        <f>IF(AND($A809&gt;=DATE(2018,10,1),$A809&lt;=DATE(2018,12,31)),$M809,"")</f>
        <v/>
      </c>
      <c r="Q809" s="5">
        <f>SUMPRODUCT(Exposures!$B$8:$K$8,B809:K809)</f>
        <v/>
      </c>
      <c r="R809" s="5">
        <f>SUMPRODUCT(Exposures!$B$9:$K$9,B809:K809)</f>
        <v/>
      </c>
      <c r="S809" s="5">
        <f>SUMPRODUCT(Exposures!$B$10:$K$10,B809:K809)</f>
        <v/>
      </c>
    </row>
    <row r="810">
      <c r="A810" s="1" t="n">
        <v>43634</v>
      </c>
      <c r="B810" s="5" t="n">
        <v>0.008673223601825831</v>
      </c>
      <c r="C810" s="5" t="n">
        <v>0.001305206541970928</v>
      </c>
      <c r="D810" s="5" t="n">
        <v>0.004081205809431387</v>
      </c>
      <c r="E810" s="5" t="n">
        <v>0.000364133566426428</v>
      </c>
      <c r="F810" s="5" t="n">
        <v>-0.004593170958415806</v>
      </c>
      <c r="G810" s="5" t="n">
        <v>0.01009742647928476</v>
      </c>
      <c r="H810" s="5" t="n">
        <v>0.001058696733945888</v>
      </c>
      <c r="I810" s="5" t="n">
        <v>-0.0008158364788854941</v>
      </c>
      <c r="J810" s="5" t="n">
        <v>0.0001433034164204966</v>
      </c>
      <c r="K810" s="5" t="n">
        <v>0.007049690539412302</v>
      </c>
      <c r="L810" s="5" t="n">
        <v>0.001324742600358279</v>
      </c>
      <c r="M810" s="5">
        <f>SUMPRODUCT(Exposures!$B$6:$K$6,B810:K810)</f>
        <v/>
      </c>
      <c r="N810" s="5">
        <f>IF(AND($A810&gt;=DATE(2020,2,1),$A810&lt;=DATE(2020,5,31)),$M810,"")</f>
        <v/>
      </c>
      <c r="O810" s="5">
        <f>IF(AND($A810&gt;=DATE(2022,1,1),$A810&lt;=DATE(2022,10,31)),$M810,"")</f>
        <v/>
      </c>
      <c r="P810" s="5">
        <f>IF(AND($A810&gt;=DATE(2018,10,1),$A810&lt;=DATE(2018,12,31)),$M810,"")</f>
        <v/>
      </c>
      <c r="Q810" s="5">
        <f>SUMPRODUCT(Exposures!$B$8:$K$8,B810:K810)</f>
        <v/>
      </c>
      <c r="R810" s="5">
        <f>SUMPRODUCT(Exposures!$B$9:$K$9,B810:K810)</f>
        <v/>
      </c>
      <c r="S810" s="5">
        <f>SUMPRODUCT(Exposures!$B$10:$K$10,B810:K810)</f>
        <v/>
      </c>
    </row>
    <row r="811">
      <c r="A811" s="1" t="n">
        <v>43635</v>
      </c>
      <c r="B811" s="5" t="n">
        <v>0.001650033203384447</v>
      </c>
      <c r="C811" s="5" t="n">
        <v>-0.0005784771861469845</v>
      </c>
      <c r="D811" s="5" t="n">
        <v>-0.0007973000194711378</v>
      </c>
      <c r="E811" s="5" t="n">
        <v>-0.002743565062531927</v>
      </c>
      <c r="F811" s="5" t="n">
        <v>-0.002016478359525082</v>
      </c>
      <c r="G811" s="5" t="n">
        <v>0.003273318997660268</v>
      </c>
      <c r="H811" s="5" t="n">
        <v>0.002859290734343853</v>
      </c>
      <c r="I811" s="5" t="n">
        <v>0.001073020063065568</v>
      </c>
      <c r="J811" s="5" t="n">
        <v>-0.002447730963606764</v>
      </c>
      <c r="K811" s="5" t="n">
        <v>0.000790308605105778</v>
      </c>
      <c r="L811" s="5" t="n">
        <v>-0.001400424507619711</v>
      </c>
      <c r="M811" s="5">
        <f>SUMPRODUCT(Exposures!$B$6:$K$6,B811:K811)</f>
        <v/>
      </c>
      <c r="N811" s="5">
        <f>IF(AND($A811&gt;=DATE(2020,2,1),$A811&lt;=DATE(2020,5,31)),$M811,"")</f>
        <v/>
      </c>
      <c r="O811" s="5">
        <f>IF(AND($A811&gt;=DATE(2022,1,1),$A811&lt;=DATE(2022,10,31)),$M811,"")</f>
        <v/>
      </c>
      <c r="P811" s="5">
        <f>IF(AND($A811&gt;=DATE(2018,10,1),$A811&lt;=DATE(2018,12,31)),$M811,"")</f>
        <v/>
      </c>
      <c r="Q811" s="5">
        <f>SUMPRODUCT(Exposures!$B$8:$K$8,B811:K811)</f>
        <v/>
      </c>
      <c r="R811" s="5">
        <f>SUMPRODUCT(Exposures!$B$9:$K$9,B811:K811)</f>
        <v/>
      </c>
      <c r="S811" s="5">
        <f>SUMPRODUCT(Exposures!$B$10:$K$10,B811:K811)</f>
        <v/>
      </c>
    </row>
    <row r="812">
      <c r="A812" s="1" t="n">
        <v>43636</v>
      </c>
      <c r="B812" s="5" t="n">
        <v>0.002365996350761689</v>
      </c>
      <c r="C812" s="5" t="n">
        <v>-0.0008832575144887779</v>
      </c>
      <c r="D812" s="5" t="n">
        <v>0.003799162836973728</v>
      </c>
      <c r="E812" s="5" t="n">
        <v>-0.0006594117240480942</v>
      </c>
      <c r="F812" s="5" t="n">
        <v>-0.001439219327184954</v>
      </c>
      <c r="G812" s="5" t="n">
        <v>0.006429412864296609</v>
      </c>
      <c r="H812" s="5" t="n">
        <v>-0.0003868220369780762</v>
      </c>
      <c r="I812" s="5" t="n">
        <v>0.001651156158553967</v>
      </c>
      <c r="J812" s="5" t="n">
        <v>-0.004510828856608614</v>
      </c>
      <c r="K812" s="5" t="n">
        <v>0.0003024978283236283</v>
      </c>
      <c r="L812" s="5" t="n">
        <v>-0.0006495900204137543</v>
      </c>
      <c r="M812" s="5">
        <f>SUMPRODUCT(Exposures!$B$6:$K$6,B812:K812)</f>
        <v/>
      </c>
      <c r="N812" s="5">
        <f>IF(AND($A812&gt;=DATE(2020,2,1),$A812&lt;=DATE(2020,5,31)),$M812,"")</f>
        <v/>
      </c>
      <c r="O812" s="5">
        <f>IF(AND($A812&gt;=DATE(2022,1,1),$A812&lt;=DATE(2022,10,31)),$M812,"")</f>
        <v/>
      </c>
      <c r="P812" s="5">
        <f>IF(AND($A812&gt;=DATE(2018,10,1),$A812&lt;=DATE(2018,12,31)),$M812,"")</f>
        <v/>
      </c>
      <c r="Q812" s="5">
        <f>SUMPRODUCT(Exposures!$B$8:$K$8,B812:K812)</f>
        <v/>
      </c>
      <c r="R812" s="5">
        <f>SUMPRODUCT(Exposures!$B$9:$K$9,B812:K812)</f>
        <v/>
      </c>
      <c r="S812" s="5">
        <f>SUMPRODUCT(Exposures!$B$10:$K$10,B812:K812)</f>
        <v/>
      </c>
    </row>
    <row r="813">
      <c r="A813" s="1" t="n">
        <v>43637</v>
      </c>
      <c r="B813" s="5" t="n">
        <v>-0.001514320572383</v>
      </c>
      <c r="C813" s="5" t="n">
        <v>0.0008358567438518774</v>
      </c>
      <c r="D813" s="5" t="n">
        <v>-0.0004249601791555692</v>
      </c>
      <c r="E813" s="5" t="n">
        <v>-0.001612710294818908</v>
      </c>
      <c r="F813" s="5" t="n">
        <v>0.001588181484503977</v>
      </c>
      <c r="G813" s="5" t="n">
        <v>-0.005959886289333911</v>
      </c>
      <c r="H813" s="5" t="n">
        <v>-0.003427234059695206</v>
      </c>
      <c r="I813" s="5" t="n">
        <v>0.0001462062095609798</v>
      </c>
      <c r="J813" s="5" t="n">
        <v>-0.001806110697070254</v>
      </c>
      <c r="K813" s="5" t="n">
        <v>0.0006357264744225558</v>
      </c>
      <c r="L813" s="5" t="n">
        <v>6.39047717316994e-05</v>
      </c>
      <c r="M813" s="5">
        <f>SUMPRODUCT(Exposures!$B$6:$K$6,B813:K813)</f>
        <v/>
      </c>
      <c r="N813" s="5">
        <f>IF(AND($A813&gt;=DATE(2020,2,1),$A813&lt;=DATE(2020,5,31)),$M813,"")</f>
        <v/>
      </c>
      <c r="O813" s="5">
        <f>IF(AND($A813&gt;=DATE(2022,1,1),$A813&lt;=DATE(2022,10,31)),$M813,"")</f>
        <v/>
      </c>
      <c r="P813" s="5">
        <f>IF(AND($A813&gt;=DATE(2018,10,1),$A813&lt;=DATE(2018,12,31)),$M813,"")</f>
        <v/>
      </c>
      <c r="Q813" s="5">
        <f>SUMPRODUCT(Exposures!$B$8:$K$8,B813:K813)</f>
        <v/>
      </c>
      <c r="R813" s="5">
        <f>SUMPRODUCT(Exposures!$B$9:$K$9,B813:K813)</f>
        <v/>
      </c>
      <c r="S813" s="5">
        <f>SUMPRODUCT(Exposures!$B$10:$K$10,B813:K813)</f>
        <v/>
      </c>
    </row>
    <row r="814">
      <c r="A814" s="1" t="n">
        <v>43640</v>
      </c>
      <c r="B814" s="5" t="n">
        <v>-0.002350797239572101</v>
      </c>
      <c r="C814" s="5" t="n">
        <v>9.753375945097467e-05</v>
      </c>
      <c r="D814" s="5" t="n">
        <v>0.00132288629730814</v>
      </c>
      <c r="E814" s="5" t="n">
        <v>-0.0007468319151087404</v>
      </c>
      <c r="F814" s="5" t="n">
        <v>0.002743784699354122</v>
      </c>
      <c r="G814" s="5" t="n">
        <v>-0.008560058500497222</v>
      </c>
      <c r="H814" s="5" t="n">
        <v>0.002031008634912153</v>
      </c>
      <c r="I814" s="5" t="n">
        <v>-0.0008303150107407647</v>
      </c>
      <c r="J814" s="5" t="n">
        <v>-0.003550743616114046</v>
      </c>
      <c r="K814" s="5" t="n">
        <v>8.745580464368128e-05</v>
      </c>
      <c r="L814" s="5" t="n">
        <v>-0.0001049730170446493</v>
      </c>
      <c r="M814" s="5">
        <f>SUMPRODUCT(Exposures!$B$6:$K$6,B814:K814)</f>
        <v/>
      </c>
      <c r="N814" s="5">
        <f>IF(AND($A814&gt;=DATE(2020,2,1),$A814&lt;=DATE(2020,5,31)),$M814,"")</f>
        <v/>
      </c>
      <c r="O814" s="5">
        <f>IF(AND($A814&gt;=DATE(2022,1,1),$A814&lt;=DATE(2022,10,31)),$M814,"")</f>
        <v/>
      </c>
      <c r="P814" s="5">
        <f>IF(AND($A814&gt;=DATE(2018,10,1),$A814&lt;=DATE(2018,12,31)),$M814,"")</f>
        <v/>
      </c>
      <c r="Q814" s="5">
        <f>SUMPRODUCT(Exposures!$B$8:$K$8,B814:K814)</f>
        <v/>
      </c>
      <c r="R814" s="5">
        <f>SUMPRODUCT(Exposures!$B$9:$K$9,B814:K814)</f>
        <v/>
      </c>
      <c r="S814" s="5">
        <f>SUMPRODUCT(Exposures!$B$10:$K$10,B814:K814)</f>
        <v/>
      </c>
    </row>
    <row r="815">
      <c r="A815" s="1" t="n">
        <v>43641</v>
      </c>
      <c r="B815" s="5" t="n">
        <v>-0.002975366884316051</v>
      </c>
      <c r="C815" s="5" t="n">
        <v>0.001090989973166509</v>
      </c>
      <c r="D815" s="5" t="n">
        <v>-0.004852826179110089</v>
      </c>
      <c r="E815" s="5" t="n">
        <v>-0.002828277142744629</v>
      </c>
      <c r="F815" s="5" t="n">
        <v>-0.005231048408034405</v>
      </c>
      <c r="G815" s="5" t="n">
        <v>-0.007662657704962877</v>
      </c>
      <c r="H815" s="5" t="n">
        <v>0.0008200701514514985</v>
      </c>
      <c r="I815" s="5" t="n">
        <v>-0.00333766247080979</v>
      </c>
      <c r="J815" s="5" t="n">
        <v>0.002966106480276363</v>
      </c>
      <c r="K815" s="5" t="n">
        <v>0.004493682475482123</v>
      </c>
      <c r="L815" s="5" t="n">
        <v>0.002044969769985085</v>
      </c>
      <c r="M815" s="5">
        <f>SUMPRODUCT(Exposures!$B$6:$K$6,B815:K815)</f>
        <v/>
      </c>
      <c r="N815" s="5">
        <f>IF(AND($A815&gt;=DATE(2020,2,1),$A815&lt;=DATE(2020,5,31)),$M815,"")</f>
        <v/>
      </c>
      <c r="O815" s="5">
        <f>IF(AND($A815&gt;=DATE(2022,1,1),$A815&lt;=DATE(2022,10,31)),$M815,"")</f>
        <v/>
      </c>
      <c r="P815" s="5">
        <f>IF(AND($A815&gt;=DATE(2018,10,1),$A815&lt;=DATE(2018,12,31)),$M815,"")</f>
        <v/>
      </c>
      <c r="Q815" s="5">
        <f>SUMPRODUCT(Exposures!$B$8:$K$8,B815:K815)</f>
        <v/>
      </c>
      <c r="R815" s="5">
        <f>SUMPRODUCT(Exposures!$B$9:$K$9,B815:K815)</f>
        <v/>
      </c>
      <c r="S815" s="5">
        <f>SUMPRODUCT(Exposures!$B$10:$K$10,B815:K815)</f>
        <v/>
      </c>
    </row>
    <row r="816">
      <c r="A816" s="1" t="n">
        <v>43642</v>
      </c>
      <c r="B816" s="5" t="n">
        <v>0.008412341460142718</v>
      </c>
      <c r="C816" s="5" t="n">
        <v>0.004008357819977624</v>
      </c>
      <c r="D816" s="5" t="n">
        <v>0.002944541017535244</v>
      </c>
      <c r="E816" s="5" t="n">
        <v>0.0006196855960431224</v>
      </c>
      <c r="F816" s="5" t="n">
        <v>-0.003969272719882388</v>
      </c>
      <c r="G816" s="5" t="n">
        <v>-0.001877058033571025</v>
      </c>
      <c r="H816" s="5" t="n">
        <v>-0.002094346061509862</v>
      </c>
      <c r="I816" s="5" t="n">
        <v>0.0003500604208638892</v>
      </c>
      <c r="J816" s="5" t="n">
        <v>0.00159616473087961</v>
      </c>
      <c r="K816" s="5" t="n">
        <v>0.003665221779951855</v>
      </c>
      <c r="L816" s="5" t="n">
        <v>-0.0007070832350331225</v>
      </c>
      <c r="M816" s="5">
        <f>SUMPRODUCT(Exposures!$B$6:$K$6,B816:K816)</f>
        <v/>
      </c>
      <c r="N816" s="5">
        <f>IF(AND($A816&gt;=DATE(2020,2,1),$A816&lt;=DATE(2020,5,31)),$M816,"")</f>
        <v/>
      </c>
      <c r="O816" s="5">
        <f>IF(AND($A816&gt;=DATE(2022,1,1),$A816&lt;=DATE(2022,10,31)),$M816,"")</f>
        <v/>
      </c>
      <c r="P816" s="5">
        <f>IF(AND($A816&gt;=DATE(2018,10,1),$A816&lt;=DATE(2018,12,31)),$M816,"")</f>
        <v/>
      </c>
      <c r="Q816" s="5">
        <f>SUMPRODUCT(Exposures!$B$8:$K$8,B816:K816)</f>
        <v/>
      </c>
      <c r="R816" s="5">
        <f>SUMPRODUCT(Exposures!$B$9:$K$9,B816:K816)</f>
        <v/>
      </c>
      <c r="S816" s="5">
        <f>SUMPRODUCT(Exposures!$B$10:$K$10,B816:K816)</f>
        <v/>
      </c>
    </row>
    <row r="817">
      <c r="A817" s="1" t="n">
        <v>43643</v>
      </c>
      <c r="B817" s="5" t="n">
        <v>0.003015654061096973</v>
      </c>
      <c r="C817" s="5" t="n">
        <v>0.000566352169286225</v>
      </c>
      <c r="D817" s="5" t="n">
        <v>-0.001615749459219614</v>
      </c>
      <c r="E817" s="5" t="n">
        <v>0.0005004767383499197</v>
      </c>
      <c r="F817" s="5" t="n">
        <v>-0.003060863586893725</v>
      </c>
      <c r="G817" s="5" t="n">
        <v>0.01211146496330524</v>
      </c>
      <c r="H817" s="5" t="n">
        <v>-0.0008298802114606034</v>
      </c>
      <c r="I817" s="5" t="n">
        <v>0.0008857955841541265</v>
      </c>
      <c r="J817" s="5" t="n">
        <v>0.002601597953023924</v>
      </c>
      <c r="K817" s="5" t="n">
        <v>-0.002743916746144595</v>
      </c>
      <c r="L817" s="5" t="n">
        <v>0.0001497329604840221</v>
      </c>
      <c r="M817" s="5">
        <f>SUMPRODUCT(Exposures!$B$6:$K$6,B817:K817)</f>
        <v/>
      </c>
      <c r="N817" s="5">
        <f>IF(AND($A817&gt;=DATE(2020,2,1),$A817&lt;=DATE(2020,5,31)),$M817,"")</f>
        <v/>
      </c>
      <c r="O817" s="5">
        <f>IF(AND($A817&gt;=DATE(2022,1,1),$A817&lt;=DATE(2022,10,31)),$M817,"")</f>
        <v/>
      </c>
      <c r="P817" s="5">
        <f>IF(AND($A817&gt;=DATE(2018,10,1),$A817&lt;=DATE(2018,12,31)),$M817,"")</f>
        <v/>
      </c>
      <c r="Q817" s="5">
        <f>SUMPRODUCT(Exposures!$B$8:$K$8,B817:K817)</f>
        <v/>
      </c>
      <c r="R817" s="5">
        <f>SUMPRODUCT(Exposures!$B$9:$K$9,B817:K817)</f>
        <v/>
      </c>
      <c r="S817" s="5">
        <f>SUMPRODUCT(Exposures!$B$10:$K$10,B817:K817)</f>
        <v/>
      </c>
    </row>
    <row r="818">
      <c r="A818" s="1" t="n">
        <v>43644</v>
      </c>
      <c r="B818" s="5" t="n">
        <v>0.00120340916578195</v>
      </c>
      <c r="C818" s="5" t="n">
        <v>-0.002043187310699194</v>
      </c>
      <c r="D818" s="5" t="n">
        <v>0.001195019334751987</v>
      </c>
      <c r="E818" s="5" t="n">
        <v>0.002055793600307905</v>
      </c>
      <c r="F818" s="5" t="n">
        <v>-0.005242747432753575</v>
      </c>
      <c r="G818" s="5" t="n">
        <v>0.009507578665697085</v>
      </c>
      <c r="H818" s="5" t="n">
        <v>-0.000412532435102494</v>
      </c>
      <c r="I818" s="5" t="n">
        <v>-0.001290956531088427</v>
      </c>
      <c r="J818" s="5" t="n">
        <v>-0.000807377105256664</v>
      </c>
      <c r="K818" s="5" t="n">
        <v>0.001773291669086494</v>
      </c>
      <c r="L818" s="5" t="n">
        <v>0.002506312162315221</v>
      </c>
      <c r="M818" s="5">
        <f>SUMPRODUCT(Exposures!$B$6:$K$6,B818:K818)</f>
        <v/>
      </c>
      <c r="N818" s="5">
        <f>IF(AND($A818&gt;=DATE(2020,2,1),$A818&lt;=DATE(2020,5,31)),$M818,"")</f>
        <v/>
      </c>
      <c r="O818" s="5">
        <f>IF(AND($A818&gt;=DATE(2022,1,1),$A818&lt;=DATE(2022,10,31)),$M818,"")</f>
        <v/>
      </c>
      <c r="P818" s="5">
        <f>IF(AND($A818&gt;=DATE(2018,10,1),$A818&lt;=DATE(2018,12,31)),$M818,"")</f>
        <v/>
      </c>
      <c r="Q818" s="5">
        <f>SUMPRODUCT(Exposures!$B$8:$K$8,B818:K818)</f>
        <v/>
      </c>
      <c r="R818" s="5">
        <f>SUMPRODUCT(Exposures!$B$9:$K$9,B818:K818)</f>
        <v/>
      </c>
      <c r="S818" s="5">
        <f>SUMPRODUCT(Exposures!$B$10:$K$10,B818:K818)</f>
        <v/>
      </c>
    </row>
    <row r="819">
      <c r="A819" s="1" t="n">
        <v>43647</v>
      </c>
      <c r="B819" s="5" t="n">
        <v>0.003552101894470286</v>
      </c>
      <c r="C819" s="5" t="n">
        <v>0.0003131278637438021</v>
      </c>
      <c r="D819" s="5" t="n">
        <v>-0.0001973702701928381</v>
      </c>
      <c r="E819" s="5" t="n">
        <v>-0.001582027606282936</v>
      </c>
      <c r="F819" s="5" t="n">
        <v>0.00267403223491139</v>
      </c>
      <c r="G819" s="5" t="n">
        <v>0.00618503333294699</v>
      </c>
      <c r="H819" s="5" t="n">
        <v>0.004079036820350945</v>
      </c>
      <c r="I819" s="5" t="n">
        <v>0.001522492811574908</v>
      </c>
      <c r="J819" s="5" t="n">
        <v>-0.001091407285734963</v>
      </c>
      <c r="K819" s="5" t="n">
        <v>-0.002319148921657117</v>
      </c>
      <c r="L819" s="5" t="n">
        <v>0.002499272216941594</v>
      </c>
      <c r="M819" s="5">
        <f>SUMPRODUCT(Exposures!$B$6:$K$6,B819:K819)</f>
        <v/>
      </c>
      <c r="N819" s="5">
        <f>IF(AND($A819&gt;=DATE(2020,2,1),$A819&lt;=DATE(2020,5,31)),$M819,"")</f>
        <v/>
      </c>
      <c r="O819" s="5">
        <f>IF(AND($A819&gt;=DATE(2022,1,1),$A819&lt;=DATE(2022,10,31)),$M819,"")</f>
        <v/>
      </c>
      <c r="P819" s="5">
        <f>IF(AND($A819&gt;=DATE(2018,10,1),$A819&lt;=DATE(2018,12,31)),$M819,"")</f>
        <v/>
      </c>
      <c r="Q819" s="5">
        <f>SUMPRODUCT(Exposures!$B$8:$K$8,B819:K819)</f>
        <v/>
      </c>
      <c r="R819" s="5">
        <f>SUMPRODUCT(Exposures!$B$9:$K$9,B819:K819)</f>
        <v/>
      </c>
      <c r="S819" s="5">
        <f>SUMPRODUCT(Exposures!$B$10:$K$10,B819:K819)</f>
        <v/>
      </c>
    </row>
    <row r="820">
      <c r="A820" s="1" t="n">
        <v>43648</v>
      </c>
      <c r="B820" s="5" t="n">
        <v>-0.006343019610820155</v>
      </c>
      <c r="C820" s="5" t="n">
        <v>0.0005650281226366257</v>
      </c>
      <c r="D820" s="5" t="n">
        <v>-0.002061550979348902</v>
      </c>
      <c r="E820" s="5" t="n">
        <v>-0.001388007077574366</v>
      </c>
      <c r="F820" s="5" t="n">
        <v>0.001578731277922559</v>
      </c>
      <c r="G820" s="5" t="n">
        <v>-0.002760181615387397</v>
      </c>
      <c r="H820" s="5" t="n">
        <v>0.002647578466614025</v>
      </c>
      <c r="I820" s="5" t="n">
        <v>-0.001616036749049372</v>
      </c>
      <c r="J820" s="5" t="n">
        <v>0.001890335334383681</v>
      </c>
      <c r="K820" s="5" t="n">
        <v>0.005362650316636081</v>
      </c>
      <c r="L820" s="5" t="n">
        <v>-0.0001773220682613539</v>
      </c>
      <c r="M820" s="5">
        <f>SUMPRODUCT(Exposures!$B$6:$K$6,B820:K820)</f>
        <v/>
      </c>
      <c r="N820" s="5">
        <f>IF(AND($A820&gt;=DATE(2020,2,1),$A820&lt;=DATE(2020,5,31)),$M820,"")</f>
        <v/>
      </c>
      <c r="O820" s="5">
        <f>IF(AND($A820&gt;=DATE(2022,1,1),$A820&lt;=DATE(2022,10,31)),$M820,"")</f>
        <v/>
      </c>
      <c r="P820" s="5">
        <f>IF(AND($A820&gt;=DATE(2018,10,1),$A820&lt;=DATE(2018,12,31)),$M820,"")</f>
        <v/>
      </c>
      <c r="Q820" s="5">
        <f>SUMPRODUCT(Exposures!$B$8:$K$8,B820:K820)</f>
        <v/>
      </c>
      <c r="R820" s="5">
        <f>SUMPRODUCT(Exposures!$B$9:$K$9,B820:K820)</f>
        <v/>
      </c>
      <c r="S820" s="5">
        <f>SUMPRODUCT(Exposures!$B$10:$K$10,B820:K820)</f>
        <v/>
      </c>
    </row>
    <row r="821">
      <c r="A821" s="1" t="n">
        <v>43649</v>
      </c>
      <c r="B821" s="5" t="n">
        <v>-0.001810350445967222</v>
      </c>
      <c r="C821" s="5" t="n">
        <v>-0.001071905527998005</v>
      </c>
      <c r="D821" s="5" t="n">
        <v>0.0008728911070904978</v>
      </c>
      <c r="E821" s="5" t="n">
        <v>0.001789302372351063</v>
      </c>
      <c r="F821" s="5" t="n">
        <v>0.003580878661236242</v>
      </c>
      <c r="G821" s="5" t="n">
        <v>0.008313964146950148</v>
      </c>
      <c r="H821" s="5" t="n">
        <v>0.001087729087422487</v>
      </c>
      <c r="I821" s="5" t="n">
        <v>0.001485217080066978</v>
      </c>
      <c r="J821" s="5" t="n">
        <v>-0.002583749960671166</v>
      </c>
      <c r="K821" s="5" t="n">
        <v>-0.006668151835627325</v>
      </c>
      <c r="L821" s="5" t="n">
        <v>-0.001445009093834183</v>
      </c>
      <c r="M821" s="5">
        <f>SUMPRODUCT(Exposures!$B$6:$K$6,B821:K821)</f>
        <v/>
      </c>
      <c r="N821" s="5">
        <f>IF(AND($A821&gt;=DATE(2020,2,1),$A821&lt;=DATE(2020,5,31)),$M821,"")</f>
        <v/>
      </c>
      <c r="O821" s="5">
        <f>IF(AND($A821&gt;=DATE(2022,1,1),$A821&lt;=DATE(2022,10,31)),$M821,"")</f>
        <v/>
      </c>
      <c r="P821" s="5">
        <f>IF(AND($A821&gt;=DATE(2018,10,1),$A821&lt;=DATE(2018,12,31)),$M821,"")</f>
        <v/>
      </c>
      <c r="Q821" s="5">
        <f>SUMPRODUCT(Exposures!$B$8:$K$8,B821:K821)</f>
        <v/>
      </c>
      <c r="R821" s="5">
        <f>SUMPRODUCT(Exposures!$B$9:$K$9,B821:K821)</f>
        <v/>
      </c>
      <c r="S821" s="5">
        <f>SUMPRODUCT(Exposures!$B$10:$K$10,B821:K821)</f>
        <v/>
      </c>
    </row>
    <row r="822">
      <c r="A822" s="1" t="n">
        <v>43651</v>
      </c>
      <c r="B822" s="5" t="n">
        <v>0.001196427216748332</v>
      </c>
      <c r="C822" s="5" t="n">
        <v>-0.001196264495185239</v>
      </c>
      <c r="D822" s="5" t="n">
        <v>-0.001424822882228787</v>
      </c>
      <c r="E822" s="5" t="n">
        <v>0.0007240987608341595</v>
      </c>
      <c r="F822" s="5" t="n">
        <v>-0.004044521758469367</v>
      </c>
      <c r="G822" s="5" t="n">
        <v>8.14633606559955e-05</v>
      </c>
      <c r="H822" s="5" t="n">
        <v>0.001153894058403392</v>
      </c>
      <c r="I822" s="5" t="n">
        <v>-0.0003266182220287737</v>
      </c>
      <c r="J822" s="5" t="n">
        <v>0.001901929831900086</v>
      </c>
      <c r="K822" s="5" t="n">
        <v>0.003635236277440745</v>
      </c>
      <c r="L822" s="5" t="n">
        <v>0.003864239632589922</v>
      </c>
      <c r="M822" s="5">
        <f>SUMPRODUCT(Exposures!$B$6:$K$6,B822:K822)</f>
        <v/>
      </c>
      <c r="N822" s="5">
        <f>IF(AND($A822&gt;=DATE(2020,2,1),$A822&lt;=DATE(2020,5,31)),$M822,"")</f>
        <v/>
      </c>
      <c r="O822" s="5">
        <f>IF(AND($A822&gt;=DATE(2022,1,1),$A822&lt;=DATE(2022,10,31)),$M822,"")</f>
        <v/>
      </c>
      <c r="P822" s="5">
        <f>IF(AND($A822&gt;=DATE(2018,10,1),$A822&lt;=DATE(2018,12,31)),$M822,"")</f>
        <v/>
      </c>
      <c r="Q822" s="5">
        <f>SUMPRODUCT(Exposures!$B$8:$K$8,B822:K822)</f>
        <v/>
      </c>
      <c r="R822" s="5">
        <f>SUMPRODUCT(Exposures!$B$9:$K$9,B822:K822)</f>
        <v/>
      </c>
      <c r="S822" s="5">
        <f>SUMPRODUCT(Exposures!$B$10:$K$10,B822:K822)</f>
        <v/>
      </c>
    </row>
    <row r="823">
      <c r="A823" s="1" t="n">
        <v>43654</v>
      </c>
      <c r="B823" s="5" t="n">
        <v>-0.004756402938140947</v>
      </c>
      <c r="C823" s="5" t="n">
        <v>-0.001316917281980851</v>
      </c>
      <c r="D823" s="5" t="n">
        <v>-0.002397060659524883</v>
      </c>
      <c r="E823" s="5" t="n">
        <v>0.000368870992870212</v>
      </c>
      <c r="F823" s="5" t="n">
        <v>0.003899811627794133</v>
      </c>
      <c r="G823" s="5" t="n">
        <v>-0.008913651769636075</v>
      </c>
      <c r="H823" s="5" t="n">
        <v>0.004888896064575946</v>
      </c>
      <c r="I823" s="5" t="n">
        <v>0.001296973988097338</v>
      </c>
      <c r="J823" s="5" t="n">
        <v>0.002036629025302131</v>
      </c>
      <c r="K823" s="5" t="n">
        <v>-0.002628832700401734</v>
      </c>
      <c r="L823" s="5" t="n">
        <v>0.0006888733037715635</v>
      </c>
      <c r="M823" s="5">
        <f>SUMPRODUCT(Exposures!$B$6:$K$6,B823:K823)</f>
        <v/>
      </c>
      <c r="N823" s="5">
        <f>IF(AND($A823&gt;=DATE(2020,2,1),$A823&lt;=DATE(2020,5,31)),$M823,"")</f>
        <v/>
      </c>
      <c r="O823" s="5">
        <f>IF(AND($A823&gt;=DATE(2022,1,1),$A823&lt;=DATE(2022,10,31)),$M823,"")</f>
        <v/>
      </c>
      <c r="P823" s="5">
        <f>IF(AND($A823&gt;=DATE(2018,10,1),$A823&lt;=DATE(2018,12,31)),$M823,"")</f>
        <v/>
      </c>
      <c r="Q823" s="5">
        <f>SUMPRODUCT(Exposures!$B$8:$K$8,B823:K823)</f>
        <v/>
      </c>
      <c r="R823" s="5">
        <f>SUMPRODUCT(Exposures!$B$9:$K$9,B823:K823)</f>
        <v/>
      </c>
      <c r="S823" s="5">
        <f>SUMPRODUCT(Exposures!$B$10:$K$10,B823:K823)</f>
        <v/>
      </c>
    </row>
    <row r="824">
      <c r="A824" s="1" t="n">
        <v>43655</v>
      </c>
      <c r="B824" s="5" t="n">
        <v>0.002159257524255992</v>
      </c>
      <c r="C824" s="5" t="n">
        <v>-0.001253442978944302</v>
      </c>
      <c r="D824" s="5" t="n">
        <v>0.002040169898732054</v>
      </c>
      <c r="E824" s="5" t="n">
        <v>0.0001858666463954431</v>
      </c>
      <c r="F824" s="5" t="n">
        <v>0.001380768438412715</v>
      </c>
      <c r="G824" s="5" t="n">
        <v>0.001256435554988463</v>
      </c>
      <c r="H824" s="5" t="n">
        <v>0.001477161473023861</v>
      </c>
      <c r="I824" s="5" t="n">
        <v>0.0006434528565524549</v>
      </c>
      <c r="J824" s="5" t="n">
        <v>0.001395057336761641</v>
      </c>
      <c r="K824" s="5" t="n">
        <v>-0.0002787311988346928</v>
      </c>
      <c r="L824" s="5" t="n">
        <v>0.002195653698376075</v>
      </c>
      <c r="M824" s="5">
        <f>SUMPRODUCT(Exposures!$B$6:$K$6,B824:K824)</f>
        <v/>
      </c>
      <c r="N824" s="5">
        <f>IF(AND($A824&gt;=DATE(2020,2,1),$A824&lt;=DATE(2020,5,31)),$M824,"")</f>
        <v/>
      </c>
      <c r="O824" s="5">
        <f>IF(AND($A824&gt;=DATE(2022,1,1),$A824&lt;=DATE(2022,10,31)),$M824,"")</f>
        <v/>
      </c>
      <c r="P824" s="5">
        <f>IF(AND($A824&gt;=DATE(2018,10,1),$A824&lt;=DATE(2018,12,31)),$M824,"")</f>
        <v/>
      </c>
      <c r="Q824" s="5">
        <f>SUMPRODUCT(Exposures!$B$8:$K$8,B824:K824)</f>
        <v/>
      </c>
      <c r="R824" s="5">
        <f>SUMPRODUCT(Exposures!$B$9:$K$9,B824:K824)</f>
        <v/>
      </c>
      <c r="S824" s="5">
        <f>SUMPRODUCT(Exposures!$B$10:$K$10,B824:K824)</f>
        <v/>
      </c>
    </row>
    <row r="825">
      <c r="A825" s="1" t="n">
        <v>43656</v>
      </c>
      <c r="B825" s="5" t="n">
        <v>0.0001815732471486086</v>
      </c>
      <c r="C825" s="5" t="n">
        <v>-0.002302939402275174</v>
      </c>
      <c r="D825" s="5" t="n">
        <v>-0.0006526779044701761</v>
      </c>
      <c r="E825" s="5" t="n">
        <v>-0.00193445083917591</v>
      </c>
      <c r="F825" s="5" t="n">
        <v>0.001475904312379811</v>
      </c>
      <c r="G825" s="5" t="n">
        <v>0.00176293819862844</v>
      </c>
      <c r="H825" s="5" t="n">
        <v>0.0007132412110007845</v>
      </c>
      <c r="I825" s="5" t="n">
        <v>0.0006065838502950471</v>
      </c>
      <c r="J825" s="5" t="n">
        <v>0.002512188218497415</v>
      </c>
      <c r="K825" s="5" t="n">
        <v>0.002402550976013812</v>
      </c>
      <c r="L825" s="5" t="n">
        <v>-0.001140153591591995</v>
      </c>
      <c r="M825" s="5">
        <f>SUMPRODUCT(Exposures!$B$6:$K$6,B825:K825)</f>
        <v/>
      </c>
      <c r="N825" s="5">
        <f>IF(AND($A825&gt;=DATE(2020,2,1),$A825&lt;=DATE(2020,5,31)),$M825,"")</f>
        <v/>
      </c>
      <c r="O825" s="5">
        <f>IF(AND($A825&gt;=DATE(2022,1,1),$A825&lt;=DATE(2022,10,31)),$M825,"")</f>
        <v/>
      </c>
      <c r="P825" s="5">
        <f>IF(AND($A825&gt;=DATE(2018,10,1),$A825&lt;=DATE(2018,12,31)),$M825,"")</f>
        <v/>
      </c>
      <c r="Q825" s="5">
        <f>SUMPRODUCT(Exposures!$B$8:$K$8,B825:K825)</f>
        <v/>
      </c>
      <c r="R825" s="5">
        <f>SUMPRODUCT(Exposures!$B$9:$K$9,B825:K825)</f>
        <v/>
      </c>
      <c r="S825" s="5">
        <f>SUMPRODUCT(Exposures!$B$10:$K$10,B825:K825)</f>
        <v/>
      </c>
    </row>
    <row r="826">
      <c r="A826" s="1" t="n">
        <v>43657</v>
      </c>
      <c r="B826" s="5" t="n">
        <v>-0.002195323462590727</v>
      </c>
      <c r="C826" s="5" t="n">
        <v>-0.0004082697154071006</v>
      </c>
      <c r="D826" s="5" t="n">
        <v>-0.00215814438943923</v>
      </c>
      <c r="E826" s="5" t="n">
        <v>0.0001441223263199337</v>
      </c>
      <c r="F826" s="5" t="n">
        <v>0.003307115879522911</v>
      </c>
      <c r="G826" s="5" t="n">
        <v>-0.000565626883651994</v>
      </c>
      <c r="H826" s="5" t="n">
        <v>-0.001340719537004922</v>
      </c>
      <c r="I826" s="5" t="n">
        <v>-0.0003699138343937334</v>
      </c>
      <c r="J826" s="5" t="n">
        <v>-0.001914287889517704</v>
      </c>
      <c r="K826" s="5" t="n">
        <v>0.0008322151091027468</v>
      </c>
      <c r="L826" s="5" t="n">
        <v>0.002400356872922265</v>
      </c>
      <c r="M826" s="5">
        <f>SUMPRODUCT(Exposures!$B$6:$K$6,B826:K826)</f>
        <v/>
      </c>
      <c r="N826" s="5">
        <f>IF(AND($A826&gt;=DATE(2020,2,1),$A826&lt;=DATE(2020,5,31)),$M826,"")</f>
        <v/>
      </c>
      <c r="O826" s="5">
        <f>IF(AND($A826&gt;=DATE(2022,1,1),$A826&lt;=DATE(2022,10,31)),$M826,"")</f>
        <v/>
      </c>
      <c r="P826" s="5">
        <f>IF(AND($A826&gt;=DATE(2018,10,1),$A826&lt;=DATE(2018,12,31)),$M826,"")</f>
        <v/>
      </c>
      <c r="Q826" s="5">
        <f>SUMPRODUCT(Exposures!$B$8:$K$8,B826:K826)</f>
        <v/>
      </c>
      <c r="R826" s="5">
        <f>SUMPRODUCT(Exposures!$B$9:$K$9,B826:K826)</f>
        <v/>
      </c>
      <c r="S826" s="5">
        <f>SUMPRODUCT(Exposures!$B$10:$K$10,B826:K826)</f>
        <v/>
      </c>
    </row>
    <row r="827">
      <c r="A827" s="1" t="n">
        <v>43658</v>
      </c>
      <c r="B827" s="5" t="n">
        <v>0.002225029758716069</v>
      </c>
      <c r="C827" s="5" t="n">
        <v>0.002198522727891884</v>
      </c>
      <c r="D827" s="5" t="n">
        <v>-0.002618766912479881</v>
      </c>
      <c r="E827" s="5" t="n">
        <v>0.000870354450634521</v>
      </c>
      <c r="F827" s="5" t="n">
        <v>0.0001614283035823331</v>
      </c>
      <c r="G827" s="5" t="n">
        <v>0.007904222846353205</v>
      </c>
      <c r="H827" s="5" t="n">
        <v>-0.0007124411781023991</v>
      </c>
      <c r="I827" s="5" t="n">
        <v>-0.0007280509926609297</v>
      </c>
      <c r="J827" s="5" t="n">
        <v>0.00314610216087678</v>
      </c>
      <c r="K827" s="5" t="n">
        <v>-0.001748383997452539</v>
      </c>
      <c r="L827" s="5" t="n">
        <v>0.0005777672993403706</v>
      </c>
      <c r="M827" s="5">
        <f>SUMPRODUCT(Exposures!$B$6:$K$6,B827:K827)</f>
        <v/>
      </c>
      <c r="N827" s="5">
        <f>IF(AND($A827&gt;=DATE(2020,2,1),$A827&lt;=DATE(2020,5,31)),$M827,"")</f>
        <v/>
      </c>
      <c r="O827" s="5">
        <f>IF(AND($A827&gt;=DATE(2022,1,1),$A827&lt;=DATE(2022,10,31)),$M827,"")</f>
        <v/>
      </c>
      <c r="P827" s="5">
        <f>IF(AND($A827&gt;=DATE(2018,10,1),$A827&lt;=DATE(2018,12,31)),$M827,"")</f>
        <v/>
      </c>
      <c r="Q827" s="5">
        <f>SUMPRODUCT(Exposures!$B$8:$K$8,B827:K827)</f>
        <v/>
      </c>
      <c r="R827" s="5">
        <f>SUMPRODUCT(Exposures!$B$9:$K$9,B827:K827)</f>
        <v/>
      </c>
      <c r="S827" s="5">
        <f>SUMPRODUCT(Exposures!$B$10:$K$10,B827:K827)</f>
        <v/>
      </c>
    </row>
    <row r="828">
      <c r="A828" s="1" t="n">
        <v>43661</v>
      </c>
      <c r="B828" s="5" t="n">
        <v>-0.000728902436622226</v>
      </c>
      <c r="C828" s="5" t="n">
        <v>0.002674306855037332</v>
      </c>
      <c r="D828" s="5" t="n">
        <v>0.003340843516116163</v>
      </c>
      <c r="E828" s="5" t="n">
        <v>-0.002945810853517086</v>
      </c>
      <c r="F828" s="5" t="n">
        <v>0.0003529100181254322</v>
      </c>
      <c r="G828" s="5" t="n">
        <v>-0.0005777018242009653</v>
      </c>
      <c r="H828" s="5" t="n">
        <v>0.0003729401082171803</v>
      </c>
      <c r="I828" s="5" t="n">
        <v>-0.001921225284523267</v>
      </c>
      <c r="J828" s="5" t="n">
        <v>0.004399657866679137</v>
      </c>
      <c r="K828" s="5" t="n">
        <v>0.004597708914275251</v>
      </c>
      <c r="L828" s="5" t="n">
        <v>-0.001293485972723201</v>
      </c>
      <c r="M828" s="5">
        <f>SUMPRODUCT(Exposures!$B$6:$K$6,B828:K828)</f>
        <v/>
      </c>
      <c r="N828" s="5">
        <f>IF(AND($A828&gt;=DATE(2020,2,1),$A828&lt;=DATE(2020,5,31)),$M828,"")</f>
        <v/>
      </c>
      <c r="O828" s="5">
        <f>IF(AND($A828&gt;=DATE(2022,1,1),$A828&lt;=DATE(2022,10,31)),$M828,"")</f>
        <v/>
      </c>
      <c r="P828" s="5">
        <f>IF(AND($A828&gt;=DATE(2018,10,1),$A828&lt;=DATE(2018,12,31)),$M828,"")</f>
        <v/>
      </c>
      <c r="Q828" s="5">
        <f>SUMPRODUCT(Exposures!$B$8:$K$8,B828:K828)</f>
        <v/>
      </c>
      <c r="R828" s="5">
        <f>SUMPRODUCT(Exposures!$B$9:$K$9,B828:K828)</f>
        <v/>
      </c>
      <c r="S828" s="5">
        <f>SUMPRODUCT(Exposures!$B$10:$K$10,B828:K828)</f>
        <v/>
      </c>
    </row>
    <row r="829">
      <c r="A829" s="1" t="n">
        <v>43662</v>
      </c>
      <c r="B829" s="5" t="n">
        <v>-0.0007608735020782731</v>
      </c>
      <c r="C829" s="5" t="n">
        <v>0.001422828597349265</v>
      </c>
      <c r="D829" s="5" t="n">
        <v>-0.0006878397968832896</v>
      </c>
      <c r="E829" s="5" t="n">
        <v>-0.000100251532438443</v>
      </c>
      <c r="F829" s="5" t="n">
        <v>-0.001004016550787624</v>
      </c>
      <c r="G829" s="5" t="n">
        <v>0.0004676226167973797</v>
      </c>
      <c r="H829" s="5" t="n">
        <v>-0.004220830002607367</v>
      </c>
      <c r="I829" s="5" t="n">
        <v>-0.001603045878005175</v>
      </c>
      <c r="J829" s="5" t="n">
        <v>-0.002104767004041753</v>
      </c>
      <c r="K829" s="5" t="n">
        <v>-0.001587318356545151</v>
      </c>
      <c r="L829" s="5" t="n">
        <v>-0.001663585763018287</v>
      </c>
      <c r="M829" s="5">
        <f>SUMPRODUCT(Exposures!$B$6:$K$6,B829:K829)</f>
        <v/>
      </c>
      <c r="N829" s="5">
        <f>IF(AND($A829&gt;=DATE(2020,2,1),$A829&lt;=DATE(2020,5,31)),$M829,"")</f>
        <v/>
      </c>
      <c r="O829" s="5">
        <f>IF(AND($A829&gt;=DATE(2022,1,1),$A829&lt;=DATE(2022,10,31)),$M829,"")</f>
        <v/>
      </c>
      <c r="P829" s="5">
        <f>IF(AND($A829&gt;=DATE(2018,10,1),$A829&lt;=DATE(2018,12,31)),$M829,"")</f>
        <v/>
      </c>
      <c r="Q829" s="5">
        <f>SUMPRODUCT(Exposures!$B$8:$K$8,B829:K829)</f>
        <v/>
      </c>
      <c r="R829" s="5">
        <f>SUMPRODUCT(Exposures!$B$9:$K$9,B829:K829)</f>
        <v/>
      </c>
      <c r="S829" s="5">
        <f>SUMPRODUCT(Exposures!$B$10:$K$10,B829:K829)</f>
        <v/>
      </c>
    </row>
    <row r="830">
      <c r="A830" s="1" t="n">
        <v>43663</v>
      </c>
      <c r="B830" s="5" t="n">
        <v>-0.002672542425151174</v>
      </c>
      <c r="C830" s="5" t="n">
        <v>-0.0008306623729532626</v>
      </c>
      <c r="D830" s="5" t="n">
        <v>0.0006341644331015984</v>
      </c>
      <c r="E830" s="5" t="n">
        <v>-0.0009897984858771444</v>
      </c>
      <c r="F830" s="5" t="n">
        <v>-0.00205256412676911</v>
      </c>
      <c r="G830" s="5" t="n">
        <v>-0.007000204795913892</v>
      </c>
      <c r="H830" s="5" t="n">
        <v>0.001318500080739531</v>
      </c>
      <c r="I830" s="5" t="n">
        <v>0.002901179124732096</v>
      </c>
      <c r="J830" s="5" t="n">
        <v>0.00172654617619816</v>
      </c>
      <c r="K830" s="5" t="n">
        <v>0.004757207825760772</v>
      </c>
      <c r="L830" s="5" t="n">
        <v>-0.0004443021770250106</v>
      </c>
      <c r="M830" s="5">
        <f>SUMPRODUCT(Exposures!$B$6:$K$6,B830:K830)</f>
        <v/>
      </c>
      <c r="N830" s="5">
        <f>IF(AND($A830&gt;=DATE(2020,2,1),$A830&lt;=DATE(2020,5,31)),$M830,"")</f>
        <v/>
      </c>
      <c r="O830" s="5">
        <f>IF(AND($A830&gt;=DATE(2022,1,1),$A830&lt;=DATE(2022,10,31)),$M830,"")</f>
        <v/>
      </c>
      <c r="P830" s="5">
        <f>IF(AND($A830&gt;=DATE(2018,10,1),$A830&lt;=DATE(2018,12,31)),$M830,"")</f>
        <v/>
      </c>
      <c r="Q830" s="5">
        <f>SUMPRODUCT(Exposures!$B$8:$K$8,B830:K830)</f>
        <v/>
      </c>
      <c r="R830" s="5">
        <f>SUMPRODUCT(Exposures!$B$9:$K$9,B830:K830)</f>
        <v/>
      </c>
      <c r="S830" s="5">
        <f>SUMPRODUCT(Exposures!$B$10:$K$10,B830:K830)</f>
        <v/>
      </c>
    </row>
    <row r="831">
      <c r="A831" s="1" t="n">
        <v>43664</v>
      </c>
      <c r="B831" s="5" t="n">
        <v>0.000640846549547225</v>
      </c>
      <c r="C831" s="5" t="n">
        <v>-0.001693524981047407</v>
      </c>
      <c r="D831" s="5" t="n">
        <v>0.002716522680264947</v>
      </c>
      <c r="E831" s="5" t="n">
        <v>-0.0002493872811092769</v>
      </c>
      <c r="F831" s="5" t="n">
        <v>-0.001070242171713955</v>
      </c>
      <c r="G831" s="5" t="n">
        <v>0.004505146854563178</v>
      </c>
      <c r="H831" s="5" t="n">
        <v>-0.000559980860555815</v>
      </c>
      <c r="I831" s="5" t="n">
        <v>-0.001654514270656801</v>
      </c>
      <c r="J831" s="5" t="n">
        <v>-0.003540310836939228</v>
      </c>
      <c r="K831" s="5" t="n">
        <v>0.001457388337277962</v>
      </c>
      <c r="L831" s="5" t="n">
        <v>0.001157907642399721</v>
      </c>
      <c r="M831" s="5">
        <f>SUMPRODUCT(Exposures!$B$6:$K$6,B831:K831)</f>
        <v/>
      </c>
      <c r="N831" s="5">
        <f>IF(AND($A831&gt;=DATE(2020,2,1),$A831&lt;=DATE(2020,5,31)),$M831,"")</f>
        <v/>
      </c>
      <c r="O831" s="5">
        <f>IF(AND($A831&gt;=DATE(2022,1,1),$A831&lt;=DATE(2022,10,31)),$M831,"")</f>
        <v/>
      </c>
      <c r="P831" s="5">
        <f>IF(AND($A831&gt;=DATE(2018,10,1),$A831&lt;=DATE(2018,12,31)),$M831,"")</f>
        <v/>
      </c>
      <c r="Q831" s="5">
        <f>SUMPRODUCT(Exposures!$B$8:$K$8,B831:K831)</f>
        <v/>
      </c>
      <c r="R831" s="5">
        <f>SUMPRODUCT(Exposures!$B$9:$K$9,B831:K831)</f>
        <v/>
      </c>
      <c r="S831" s="5">
        <f>SUMPRODUCT(Exposures!$B$10:$K$10,B831:K831)</f>
        <v/>
      </c>
    </row>
    <row r="832">
      <c r="A832" s="1" t="n">
        <v>43665</v>
      </c>
      <c r="B832" s="5" t="n">
        <v>0.0003918130868607838</v>
      </c>
      <c r="C832" s="5" t="n">
        <v>0.0003143613993311187</v>
      </c>
      <c r="D832" s="5" t="n">
        <v>-0.0004677800238427559</v>
      </c>
      <c r="E832" s="5" t="n">
        <v>0.00101006779758945</v>
      </c>
      <c r="F832" s="5" t="n">
        <v>0.0009794900690370809</v>
      </c>
      <c r="G832" s="5" t="n">
        <v>-0.005529358343663367</v>
      </c>
      <c r="H832" s="5" t="n">
        <v>-0.003651531293999193</v>
      </c>
      <c r="I832" s="5" t="n">
        <v>0.0006357889828997696</v>
      </c>
      <c r="J832" s="5" t="n">
        <v>-0.001086801783366211</v>
      </c>
      <c r="K832" s="5" t="n">
        <v>-0.002390780997881384</v>
      </c>
      <c r="L832" s="5" t="n">
        <v>0.0001853161245622559</v>
      </c>
      <c r="M832" s="5">
        <f>SUMPRODUCT(Exposures!$B$6:$K$6,B832:K832)</f>
        <v/>
      </c>
      <c r="N832" s="5">
        <f>IF(AND($A832&gt;=DATE(2020,2,1),$A832&lt;=DATE(2020,5,31)),$M832,"")</f>
        <v/>
      </c>
      <c r="O832" s="5">
        <f>IF(AND($A832&gt;=DATE(2022,1,1),$A832&lt;=DATE(2022,10,31)),$M832,"")</f>
        <v/>
      </c>
      <c r="P832" s="5">
        <f>IF(AND($A832&gt;=DATE(2018,10,1),$A832&lt;=DATE(2018,12,31)),$M832,"")</f>
        <v/>
      </c>
      <c r="Q832" s="5">
        <f>SUMPRODUCT(Exposures!$B$8:$K$8,B832:K832)</f>
        <v/>
      </c>
      <c r="R832" s="5">
        <f>SUMPRODUCT(Exposures!$B$9:$K$9,B832:K832)</f>
        <v/>
      </c>
      <c r="S832" s="5">
        <f>SUMPRODUCT(Exposures!$B$10:$K$10,B832:K832)</f>
        <v/>
      </c>
    </row>
    <row r="833">
      <c r="A833" s="1" t="n">
        <v>43668</v>
      </c>
      <c r="B833" s="5" t="n">
        <v>0.002463508869096229</v>
      </c>
      <c r="C833" s="5" t="n">
        <v>0.001056985108851141</v>
      </c>
      <c r="D833" s="5" t="n">
        <v>0.001108348383419941</v>
      </c>
      <c r="E833" s="5" t="n">
        <v>-0.001341481510188223</v>
      </c>
      <c r="F833" s="5" t="n">
        <v>0.00100876218888066</v>
      </c>
      <c r="G833" s="5" t="n">
        <v>-0.001576821966998419</v>
      </c>
      <c r="H833" s="5" t="n">
        <v>0.002721527442404426</v>
      </c>
      <c r="I833" s="5" t="n">
        <v>9.983358967730169e-05</v>
      </c>
      <c r="J833" s="5" t="n">
        <v>-0.001332370569965995</v>
      </c>
      <c r="K833" s="5" t="n">
        <v>0.0007278630044820331</v>
      </c>
      <c r="L833" s="5" t="n">
        <v>0.0009195527179216023</v>
      </c>
      <c r="M833" s="5">
        <f>SUMPRODUCT(Exposures!$B$6:$K$6,B833:K833)</f>
        <v/>
      </c>
      <c r="N833" s="5">
        <f>IF(AND($A833&gt;=DATE(2020,2,1),$A833&lt;=DATE(2020,5,31)),$M833,"")</f>
        <v/>
      </c>
      <c r="O833" s="5">
        <f>IF(AND($A833&gt;=DATE(2022,1,1),$A833&lt;=DATE(2022,10,31)),$M833,"")</f>
        <v/>
      </c>
      <c r="P833" s="5">
        <f>IF(AND($A833&gt;=DATE(2018,10,1),$A833&lt;=DATE(2018,12,31)),$M833,"")</f>
        <v/>
      </c>
      <c r="Q833" s="5">
        <f>SUMPRODUCT(Exposures!$B$8:$K$8,B833:K833)</f>
        <v/>
      </c>
      <c r="R833" s="5">
        <f>SUMPRODUCT(Exposures!$B$9:$K$9,B833:K833)</f>
        <v/>
      </c>
      <c r="S833" s="5">
        <f>SUMPRODUCT(Exposures!$B$10:$K$10,B833:K833)</f>
        <v/>
      </c>
    </row>
    <row r="834">
      <c r="A834" s="1" t="n">
        <v>43669</v>
      </c>
      <c r="B834" s="5" t="n">
        <v>-0.0007454336623460899</v>
      </c>
      <c r="C834" s="5" t="n">
        <v>-0.001019071509292999</v>
      </c>
      <c r="D834" s="5" t="n">
        <v>0.0001468134248392798</v>
      </c>
      <c r="E834" s="5" t="n">
        <v>0.002036018618732345</v>
      </c>
      <c r="F834" s="5" t="n">
        <v>0.003965467088829324</v>
      </c>
      <c r="G834" s="5" t="n">
        <v>0.007382542049201448</v>
      </c>
      <c r="H834" s="5" t="n">
        <v>-0.003912625753830601</v>
      </c>
      <c r="I834" s="5" t="n">
        <v>-0.000135836022680683</v>
      </c>
      <c r="J834" s="5" t="n">
        <v>-0.003077259382640552</v>
      </c>
      <c r="K834" s="5" t="n">
        <v>-0.002470957257155121</v>
      </c>
      <c r="L834" s="5" t="n">
        <v>0.001034792701939768</v>
      </c>
      <c r="M834" s="5">
        <f>SUMPRODUCT(Exposures!$B$6:$K$6,B834:K834)</f>
        <v/>
      </c>
      <c r="N834" s="5">
        <f>IF(AND($A834&gt;=DATE(2020,2,1),$A834&lt;=DATE(2020,5,31)),$M834,"")</f>
        <v/>
      </c>
      <c r="O834" s="5">
        <f>IF(AND($A834&gt;=DATE(2022,1,1),$A834&lt;=DATE(2022,10,31)),$M834,"")</f>
        <v/>
      </c>
      <c r="P834" s="5">
        <f>IF(AND($A834&gt;=DATE(2018,10,1),$A834&lt;=DATE(2018,12,31)),$M834,"")</f>
        <v/>
      </c>
      <c r="Q834" s="5">
        <f>SUMPRODUCT(Exposures!$B$8:$K$8,B834:K834)</f>
        <v/>
      </c>
      <c r="R834" s="5">
        <f>SUMPRODUCT(Exposures!$B$9:$K$9,B834:K834)</f>
        <v/>
      </c>
      <c r="S834" s="5">
        <f>SUMPRODUCT(Exposures!$B$10:$K$10,B834:K834)</f>
        <v/>
      </c>
    </row>
    <row r="835">
      <c r="A835" s="1" t="n">
        <v>43670</v>
      </c>
      <c r="B835" s="5" t="n">
        <v>0.006495258259470942</v>
      </c>
      <c r="C835" s="5" t="n">
        <v>0.002476607493222767</v>
      </c>
      <c r="D835" s="5" t="n">
        <v>-0.0003243710901442353</v>
      </c>
      <c r="E835" s="5" t="n">
        <v>0.0008584771368653068</v>
      </c>
      <c r="F835" s="5" t="n">
        <v>-0.007221744744883362</v>
      </c>
      <c r="G835" s="5" t="n">
        <v>0.009804285894748034</v>
      </c>
      <c r="H835" s="5" t="n">
        <v>-0.0002812779822718296</v>
      </c>
      <c r="I835" s="5" t="n">
        <v>-0.003580710874735696</v>
      </c>
      <c r="J835" s="5" t="n">
        <v>0.00241594432153465</v>
      </c>
      <c r="K835" s="5" t="n">
        <v>0.002476614407483397</v>
      </c>
      <c r="L835" s="5" t="n">
        <v>0.002499458458192875</v>
      </c>
      <c r="M835" s="5">
        <f>SUMPRODUCT(Exposures!$B$6:$K$6,B835:K835)</f>
        <v/>
      </c>
      <c r="N835" s="5">
        <f>IF(AND($A835&gt;=DATE(2020,2,1),$A835&lt;=DATE(2020,5,31)),$M835,"")</f>
        <v/>
      </c>
      <c r="O835" s="5">
        <f>IF(AND($A835&gt;=DATE(2022,1,1),$A835&lt;=DATE(2022,10,31)),$M835,"")</f>
        <v/>
      </c>
      <c r="P835" s="5">
        <f>IF(AND($A835&gt;=DATE(2018,10,1),$A835&lt;=DATE(2018,12,31)),$M835,"")</f>
        <v/>
      </c>
      <c r="Q835" s="5">
        <f>SUMPRODUCT(Exposures!$B$8:$K$8,B835:K835)</f>
        <v/>
      </c>
      <c r="R835" s="5">
        <f>SUMPRODUCT(Exposures!$B$9:$K$9,B835:K835)</f>
        <v/>
      </c>
      <c r="S835" s="5">
        <f>SUMPRODUCT(Exposures!$B$10:$K$10,B835:K835)</f>
        <v/>
      </c>
    </row>
    <row r="836">
      <c r="A836" s="1" t="n">
        <v>43671</v>
      </c>
      <c r="B836" s="5" t="n">
        <v>-0.005926476443649601</v>
      </c>
      <c r="C836" s="5" t="n">
        <v>0.003640892518722847</v>
      </c>
      <c r="D836" s="5" t="n">
        <v>-0.00333791129493041</v>
      </c>
      <c r="E836" s="5" t="n">
        <v>0.0003297302815073774</v>
      </c>
      <c r="F836" s="5" t="n">
        <v>-0.01076499077602833</v>
      </c>
      <c r="G836" s="5" t="n">
        <v>-0.008422897980744547</v>
      </c>
      <c r="H836" s="5" t="n">
        <v>0.0042276929328721</v>
      </c>
      <c r="I836" s="5" t="n">
        <v>0.00297866955375072</v>
      </c>
      <c r="J836" s="5" t="n">
        <v>0.002662916156263575</v>
      </c>
      <c r="K836" s="5" t="n">
        <v>0.006478530869838487</v>
      </c>
      <c r="L836" s="5" t="n">
        <v>0.002299433209485785</v>
      </c>
      <c r="M836" s="5">
        <f>SUMPRODUCT(Exposures!$B$6:$K$6,B836:K836)</f>
        <v/>
      </c>
      <c r="N836" s="5">
        <f>IF(AND($A836&gt;=DATE(2020,2,1),$A836&lt;=DATE(2020,5,31)),$M836,"")</f>
        <v/>
      </c>
      <c r="O836" s="5">
        <f>IF(AND($A836&gt;=DATE(2022,1,1),$A836&lt;=DATE(2022,10,31)),$M836,"")</f>
        <v/>
      </c>
      <c r="P836" s="5">
        <f>IF(AND($A836&gt;=DATE(2018,10,1),$A836&lt;=DATE(2018,12,31)),$M836,"")</f>
        <v/>
      </c>
      <c r="Q836" s="5">
        <f>SUMPRODUCT(Exposures!$B$8:$K$8,B836:K836)</f>
        <v/>
      </c>
      <c r="R836" s="5">
        <f>SUMPRODUCT(Exposures!$B$9:$K$9,B836:K836)</f>
        <v/>
      </c>
      <c r="S836" s="5">
        <f>SUMPRODUCT(Exposures!$B$10:$K$10,B836:K836)</f>
        <v/>
      </c>
    </row>
    <row r="837">
      <c r="A837" s="1" t="n">
        <v>43672</v>
      </c>
      <c r="B837" s="5" t="n">
        <v>0.0004201899356310409</v>
      </c>
      <c r="C837" s="5" t="n">
        <v>0.0007363575502534225</v>
      </c>
      <c r="D837" s="5" t="n">
        <v>0.001634921283147814</v>
      </c>
      <c r="E837" s="5" t="n">
        <v>0.0004311316631434808</v>
      </c>
      <c r="F837" s="5" t="n">
        <v>0.0007568064122888431</v>
      </c>
      <c r="G837" s="5" t="n">
        <v>0.00816176280299051</v>
      </c>
      <c r="H837" s="5" t="n">
        <v>0.001268855773380445</v>
      </c>
      <c r="I837" s="5" t="n">
        <v>-0.001768209696294386</v>
      </c>
      <c r="J837" s="5" t="n">
        <v>0.0009771539071309395</v>
      </c>
      <c r="K837" s="5" t="n">
        <v>-0.000448325148578525</v>
      </c>
      <c r="L837" s="5" t="n">
        <v>0.004577723701618629</v>
      </c>
      <c r="M837" s="5">
        <f>SUMPRODUCT(Exposures!$B$6:$K$6,B837:K837)</f>
        <v/>
      </c>
      <c r="N837" s="5">
        <f>IF(AND($A837&gt;=DATE(2020,2,1),$A837&lt;=DATE(2020,5,31)),$M837,"")</f>
        <v/>
      </c>
      <c r="O837" s="5">
        <f>IF(AND($A837&gt;=DATE(2022,1,1),$A837&lt;=DATE(2022,10,31)),$M837,"")</f>
        <v/>
      </c>
      <c r="P837" s="5">
        <f>IF(AND($A837&gt;=DATE(2018,10,1),$A837&lt;=DATE(2018,12,31)),$M837,"")</f>
        <v/>
      </c>
      <c r="Q837" s="5">
        <f>SUMPRODUCT(Exposures!$B$8:$K$8,B837:K837)</f>
        <v/>
      </c>
      <c r="R837" s="5">
        <f>SUMPRODUCT(Exposures!$B$9:$K$9,B837:K837)</f>
        <v/>
      </c>
      <c r="S837" s="5">
        <f>SUMPRODUCT(Exposures!$B$10:$K$10,B837:K837)</f>
        <v/>
      </c>
    </row>
    <row r="838">
      <c r="A838" s="1" t="n">
        <v>43675</v>
      </c>
      <c r="B838" s="5" t="n">
        <v>-0.004863925222881917</v>
      </c>
      <c r="C838" s="5" t="n">
        <v>0.001957209783756439</v>
      </c>
      <c r="D838" s="5" t="n">
        <v>0.001261744140975097</v>
      </c>
      <c r="E838" s="5" t="n">
        <v>-0.0008241831154023172</v>
      </c>
      <c r="F838" s="5" t="n">
        <v>-0.0002292970848730602</v>
      </c>
      <c r="G838" s="5" t="n">
        <v>-0.003029246767145249</v>
      </c>
      <c r="H838" s="5" t="n">
        <v>0.0005839865865158797</v>
      </c>
      <c r="I838" s="5" t="n">
        <v>-0.0003035437786287324</v>
      </c>
      <c r="J838" s="5" t="n">
        <v>0.002538343346560394</v>
      </c>
      <c r="K838" s="5" t="n">
        <v>0.002038606928679954</v>
      </c>
      <c r="L838" s="5" t="n">
        <v>-0.0007362749639768407</v>
      </c>
      <c r="M838" s="5">
        <f>SUMPRODUCT(Exposures!$B$6:$K$6,B838:K838)</f>
        <v/>
      </c>
      <c r="N838" s="5">
        <f>IF(AND($A838&gt;=DATE(2020,2,1),$A838&lt;=DATE(2020,5,31)),$M838,"")</f>
        <v/>
      </c>
      <c r="O838" s="5">
        <f>IF(AND($A838&gt;=DATE(2022,1,1),$A838&lt;=DATE(2022,10,31)),$M838,"")</f>
        <v/>
      </c>
      <c r="P838" s="5">
        <f>IF(AND($A838&gt;=DATE(2018,10,1),$A838&lt;=DATE(2018,12,31)),$M838,"")</f>
        <v/>
      </c>
      <c r="Q838" s="5">
        <f>SUMPRODUCT(Exposures!$B$8:$K$8,B838:K838)</f>
        <v/>
      </c>
      <c r="R838" s="5">
        <f>SUMPRODUCT(Exposures!$B$9:$K$9,B838:K838)</f>
        <v/>
      </c>
      <c r="S838" s="5">
        <f>SUMPRODUCT(Exposures!$B$10:$K$10,B838:K838)</f>
        <v/>
      </c>
    </row>
    <row r="839">
      <c r="A839" s="1" t="n">
        <v>43676</v>
      </c>
      <c r="B839" s="5" t="n">
        <v>0.0001359339985075696</v>
      </c>
      <c r="C839" s="5" t="n">
        <v>-0.00194901103121382</v>
      </c>
      <c r="D839" s="5" t="n">
        <v>0.003841880035923309</v>
      </c>
      <c r="E839" s="5" t="n">
        <v>0.002106142731317221</v>
      </c>
      <c r="F839" s="5" t="n">
        <v>-0.0008816568089555965</v>
      </c>
      <c r="G839" s="5" t="n">
        <v>0.004059967809163102</v>
      </c>
      <c r="H839" s="5" t="n">
        <v>-0.0006342282715577098</v>
      </c>
      <c r="I839" s="5" t="n">
        <v>-0.0005366593611658325</v>
      </c>
      <c r="J839" s="5" t="n">
        <v>0.002702385683256443</v>
      </c>
      <c r="K839" s="5" t="n">
        <v>-0.002360810090046416</v>
      </c>
      <c r="L839" s="5" t="n">
        <v>-0.001299394646728947</v>
      </c>
      <c r="M839" s="5">
        <f>SUMPRODUCT(Exposures!$B$6:$K$6,B839:K839)</f>
        <v/>
      </c>
      <c r="N839" s="5">
        <f>IF(AND($A839&gt;=DATE(2020,2,1),$A839&lt;=DATE(2020,5,31)),$M839,"")</f>
        <v/>
      </c>
      <c r="O839" s="5">
        <f>IF(AND($A839&gt;=DATE(2022,1,1),$A839&lt;=DATE(2022,10,31)),$M839,"")</f>
        <v/>
      </c>
      <c r="P839" s="5">
        <f>IF(AND($A839&gt;=DATE(2018,10,1),$A839&lt;=DATE(2018,12,31)),$M839,"")</f>
        <v/>
      </c>
      <c r="Q839" s="5">
        <f>SUMPRODUCT(Exposures!$B$8:$K$8,B839:K839)</f>
        <v/>
      </c>
      <c r="R839" s="5">
        <f>SUMPRODUCT(Exposures!$B$9:$K$9,B839:K839)</f>
        <v/>
      </c>
      <c r="S839" s="5">
        <f>SUMPRODUCT(Exposures!$B$10:$K$10,B839:K839)</f>
        <v/>
      </c>
    </row>
    <row r="840">
      <c r="A840" s="1" t="n">
        <v>43677</v>
      </c>
      <c r="B840" s="5" t="n">
        <v>-0.001780841536643473</v>
      </c>
      <c r="C840" s="5" t="n">
        <v>0.002145633126131823</v>
      </c>
      <c r="D840" s="5" t="n">
        <v>0.0005399742535202612</v>
      </c>
      <c r="E840" s="5" t="n">
        <v>0.001448096964699179</v>
      </c>
      <c r="F840" s="5" t="n">
        <v>-0.001476754517589663</v>
      </c>
      <c r="G840" s="5" t="n">
        <v>-0.01079765053308014</v>
      </c>
      <c r="H840" s="5" t="n">
        <v>-0.005125662597407412</v>
      </c>
      <c r="I840" s="5" t="n">
        <v>0.003098690042197532</v>
      </c>
      <c r="J840" s="5" t="n">
        <v>-0.004917121312837103</v>
      </c>
      <c r="K840" s="5" t="n">
        <v>-0.002367190922736773</v>
      </c>
      <c r="L840" s="5" t="n">
        <v>-0.001715294873855179</v>
      </c>
      <c r="M840" s="5">
        <f>SUMPRODUCT(Exposures!$B$6:$K$6,B840:K840)</f>
        <v/>
      </c>
      <c r="N840" s="5">
        <f>IF(AND($A840&gt;=DATE(2020,2,1),$A840&lt;=DATE(2020,5,31)),$M840,"")</f>
        <v/>
      </c>
      <c r="O840" s="5">
        <f>IF(AND($A840&gt;=DATE(2022,1,1),$A840&lt;=DATE(2022,10,31)),$M840,"")</f>
        <v/>
      </c>
      <c r="P840" s="5">
        <f>IF(AND($A840&gt;=DATE(2018,10,1),$A840&lt;=DATE(2018,12,31)),$M840,"")</f>
        <v/>
      </c>
      <c r="Q840" s="5">
        <f>SUMPRODUCT(Exposures!$B$8:$K$8,B840:K840)</f>
        <v/>
      </c>
      <c r="R840" s="5">
        <f>SUMPRODUCT(Exposures!$B$9:$K$9,B840:K840)</f>
        <v/>
      </c>
      <c r="S840" s="5">
        <f>SUMPRODUCT(Exposures!$B$10:$K$10,B840:K840)</f>
        <v/>
      </c>
    </row>
    <row r="841">
      <c r="A841" s="1" t="n">
        <v>43678</v>
      </c>
      <c r="B841" s="5" t="n">
        <v>-0.004409139411567382</v>
      </c>
      <c r="C841" s="5" t="n">
        <v>0.00703493058487123</v>
      </c>
      <c r="D841" s="5" t="n">
        <v>0.009047510559564763</v>
      </c>
      <c r="E841" s="5" t="n">
        <v>-0.0007260398809257896</v>
      </c>
      <c r="F841" s="5" t="n">
        <v>-0.001396450324743596</v>
      </c>
      <c r="G841" s="5" t="n">
        <v>-0.01012116572976134</v>
      </c>
      <c r="H841" s="5" t="n">
        <v>0.0109602473498877</v>
      </c>
      <c r="I841" s="5" t="n">
        <v>0.001693457146231003</v>
      </c>
      <c r="J841" s="5" t="n">
        <v>0.002352801465678932</v>
      </c>
      <c r="K841" s="5" t="n">
        <v>-0.004120989423384268</v>
      </c>
      <c r="L841" s="5" t="n">
        <v>-0.006554936679862136</v>
      </c>
      <c r="M841" s="5">
        <f>SUMPRODUCT(Exposures!$B$6:$K$6,B841:K841)</f>
        <v/>
      </c>
      <c r="N841" s="5">
        <f>IF(AND($A841&gt;=DATE(2020,2,1),$A841&lt;=DATE(2020,5,31)),$M841,"")</f>
        <v/>
      </c>
      <c r="O841" s="5">
        <f>IF(AND($A841&gt;=DATE(2022,1,1),$A841&lt;=DATE(2022,10,31)),$M841,"")</f>
        <v/>
      </c>
      <c r="P841" s="5">
        <f>IF(AND($A841&gt;=DATE(2018,10,1),$A841&lt;=DATE(2018,12,31)),$M841,"")</f>
        <v/>
      </c>
      <c r="Q841" s="5">
        <f>SUMPRODUCT(Exposures!$B$8:$K$8,B841:K841)</f>
        <v/>
      </c>
      <c r="R841" s="5">
        <f>SUMPRODUCT(Exposures!$B$9:$K$9,B841:K841)</f>
        <v/>
      </c>
      <c r="S841" s="5">
        <f>SUMPRODUCT(Exposures!$B$10:$K$10,B841:K841)</f>
        <v/>
      </c>
    </row>
    <row r="842">
      <c r="A842" s="1" t="n">
        <v>43679</v>
      </c>
      <c r="B842" s="5" t="n">
        <v>-0.006399072662200723</v>
      </c>
      <c r="C842" s="5" t="n">
        <v>-0.0007142457682315399</v>
      </c>
      <c r="D842" s="5" t="n">
        <v>0.004051070810576257</v>
      </c>
      <c r="E842" s="5" t="n">
        <v>0.001156383994612018</v>
      </c>
      <c r="F842" s="5" t="n">
        <v>-0.0004353367145230476</v>
      </c>
      <c r="G842" s="5" t="n">
        <v>-0.005375660342357512</v>
      </c>
      <c r="H842" s="5" t="n">
        <v>0.0002369183101218165</v>
      </c>
      <c r="I842" s="5" t="n">
        <v>0.003161146743152102</v>
      </c>
      <c r="J842" s="5" t="n">
        <v>0.0003691554912668884</v>
      </c>
      <c r="K842" s="5" t="n">
        <v>-0.003724873199097321</v>
      </c>
      <c r="L842" s="5" t="n">
        <v>-0.0009272158204235697</v>
      </c>
      <c r="M842" s="5">
        <f>SUMPRODUCT(Exposures!$B$6:$K$6,B842:K842)</f>
        <v/>
      </c>
      <c r="N842" s="5">
        <f>IF(AND($A842&gt;=DATE(2020,2,1),$A842&lt;=DATE(2020,5,31)),$M842,"")</f>
        <v/>
      </c>
      <c r="O842" s="5">
        <f>IF(AND($A842&gt;=DATE(2022,1,1),$A842&lt;=DATE(2022,10,31)),$M842,"")</f>
        <v/>
      </c>
      <c r="P842" s="5">
        <f>IF(AND($A842&gt;=DATE(2018,10,1),$A842&lt;=DATE(2018,12,31)),$M842,"")</f>
        <v/>
      </c>
      <c r="Q842" s="5">
        <f>SUMPRODUCT(Exposures!$B$8:$K$8,B842:K842)</f>
        <v/>
      </c>
      <c r="R842" s="5">
        <f>SUMPRODUCT(Exposures!$B$9:$K$9,B842:K842)</f>
        <v/>
      </c>
      <c r="S842" s="5">
        <f>SUMPRODUCT(Exposures!$B$10:$K$10,B842:K842)</f>
        <v/>
      </c>
    </row>
    <row r="843">
      <c r="A843" s="1" t="n">
        <v>43682</v>
      </c>
      <c r="B843" s="5" t="n">
        <v>-0.009464215780735858</v>
      </c>
      <c r="C843" s="5" t="n">
        <v>0.001644248599393317</v>
      </c>
      <c r="D843" s="5" t="n">
        <v>0.000350180348967265</v>
      </c>
      <c r="E843" s="5" t="n">
        <v>0.002540625824692224</v>
      </c>
      <c r="F843" s="5" t="n">
        <v>0.001485325085206016</v>
      </c>
      <c r="G843" s="5" t="n">
        <v>-0.03272138282243231</v>
      </c>
      <c r="H843" s="5" t="n">
        <v>0.002039279160665268</v>
      </c>
      <c r="I843" s="5" t="n">
        <v>-0.002461481492278723</v>
      </c>
      <c r="J843" s="5" t="n">
        <v>0.001531426074612353</v>
      </c>
      <c r="K843" s="5" t="n">
        <v>0.00319538494715712</v>
      </c>
      <c r="L843" s="5" t="n">
        <v>-0.00315406853809058</v>
      </c>
      <c r="M843" s="5">
        <f>SUMPRODUCT(Exposures!$B$6:$K$6,B843:K843)</f>
        <v/>
      </c>
      <c r="N843" s="5">
        <f>IF(AND($A843&gt;=DATE(2020,2,1),$A843&lt;=DATE(2020,5,31)),$M843,"")</f>
        <v/>
      </c>
      <c r="O843" s="5">
        <f>IF(AND($A843&gt;=DATE(2022,1,1),$A843&lt;=DATE(2022,10,31)),$M843,"")</f>
        <v/>
      </c>
      <c r="P843" s="5">
        <f>IF(AND($A843&gt;=DATE(2018,10,1),$A843&lt;=DATE(2018,12,31)),$M843,"")</f>
        <v/>
      </c>
      <c r="Q843" s="5">
        <f>SUMPRODUCT(Exposures!$B$8:$K$8,B843:K843)</f>
        <v/>
      </c>
      <c r="R843" s="5">
        <f>SUMPRODUCT(Exposures!$B$9:$K$9,B843:K843)</f>
        <v/>
      </c>
      <c r="S843" s="5">
        <f>SUMPRODUCT(Exposures!$B$10:$K$10,B843:K843)</f>
        <v/>
      </c>
    </row>
    <row r="844">
      <c r="A844" s="1" t="n">
        <v>43683</v>
      </c>
      <c r="B844" s="5" t="n">
        <v>0.001634551388492566</v>
      </c>
      <c r="C844" s="5" t="n">
        <v>-0.004640590574790434</v>
      </c>
      <c r="D844" s="5" t="n">
        <v>-0.003023585275087573</v>
      </c>
      <c r="E844" s="5" t="n">
        <v>-0.001175611351224333</v>
      </c>
      <c r="F844" s="5" t="n">
        <v>0.005175325784790603</v>
      </c>
      <c r="G844" s="5" t="n">
        <v>0.01095303959809981</v>
      </c>
      <c r="H844" s="5" t="n">
        <v>0.00266291824079995</v>
      </c>
      <c r="I844" s="5" t="n">
        <v>0.0008431970916941648</v>
      </c>
      <c r="J844" s="5" t="n">
        <v>-0.002757241726830098</v>
      </c>
      <c r="K844" s="5" t="n">
        <v>-0.003359682986296515</v>
      </c>
      <c r="L844" s="5" t="n">
        <v>0.002074841994792308</v>
      </c>
      <c r="M844" s="5">
        <f>SUMPRODUCT(Exposures!$B$6:$K$6,B844:K844)</f>
        <v/>
      </c>
      <c r="N844" s="5">
        <f>IF(AND($A844&gt;=DATE(2020,2,1),$A844&lt;=DATE(2020,5,31)),$M844,"")</f>
        <v/>
      </c>
      <c r="O844" s="5">
        <f>IF(AND($A844&gt;=DATE(2022,1,1),$A844&lt;=DATE(2022,10,31)),$M844,"")</f>
        <v/>
      </c>
      <c r="P844" s="5">
        <f>IF(AND($A844&gt;=DATE(2018,10,1),$A844&lt;=DATE(2018,12,31)),$M844,"")</f>
        <v/>
      </c>
      <c r="Q844" s="5">
        <f>SUMPRODUCT(Exposures!$B$8:$K$8,B844:K844)</f>
        <v/>
      </c>
      <c r="R844" s="5">
        <f>SUMPRODUCT(Exposures!$B$9:$K$9,B844:K844)</f>
        <v/>
      </c>
      <c r="S844" s="5">
        <f>SUMPRODUCT(Exposures!$B$10:$K$10,B844:K844)</f>
        <v/>
      </c>
    </row>
    <row r="845">
      <c r="A845" s="1" t="n">
        <v>43684</v>
      </c>
      <c r="B845" s="5" t="n">
        <v>-0.001925574737200448</v>
      </c>
      <c r="C845" s="5" t="n">
        <v>0.002475549032694843</v>
      </c>
      <c r="D845" s="5" t="n">
        <v>0.0002151025761238746</v>
      </c>
      <c r="E845" s="5" t="n">
        <v>-0.001906374434232244</v>
      </c>
      <c r="F845" s="5" t="n">
        <v>0.005015823634523474</v>
      </c>
      <c r="G845" s="5" t="n">
        <v>0.000279432608485585</v>
      </c>
      <c r="H845" s="5" t="n">
        <v>0.001227597783680076</v>
      </c>
      <c r="I845" s="5" t="n">
        <v>0.0008767860650755551</v>
      </c>
      <c r="J845" s="5" t="n">
        <v>-0.0005683402578360299</v>
      </c>
      <c r="K845" s="5" t="n">
        <v>-0.00448700732858992</v>
      </c>
      <c r="L845" s="5" t="n">
        <v>-0.003014559005457899</v>
      </c>
      <c r="M845" s="5">
        <f>SUMPRODUCT(Exposures!$B$6:$K$6,B845:K845)</f>
        <v/>
      </c>
      <c r="N845" s="5">
        <f>IF(AND($A845&gt;=DATE(2020,2,1),$A845&lt;=DATE(2020,5,31)),$M845,"")</f>
        <v/>
      </c>
      <c r="O845" s="5">
        <f>IF(AND($A845&gt;=DATE(2022,1,1),$A845&lt;=DATE(2022,10,31)),$M845,"")</f>
        <v/>
      </c>
      <c r="P845" s="5">
        <f>IF(AND($A845&gt;=DATE(2018,10,1),$A845&lt;=DATE(2018,12,31)),$M845,"")</f>
        <v/>
      </c>
      <c r="Q845" s="5">
        <f>SUMPRODUCT(Exposures!$B$8:$K$8,B845:K845)</f>
        <v/>
      </c>
      <c r="R845" s="5">
        <f>SUMPRODUCT(Exposures!$B$9:$K$9,B845:K845)</f>
        <v/>
      </c>
      <c r="S845" s="5">
        <f>SUMPRODUCT(Exposures!$B$10:$K$10,B845:K845)</f>
        <v/>
      </c>
    </row>
    <row r="846">
      <c r="A846" s="1" t="n">
        <v>43685</v>
      </c>
      <c r="B846" s="5" t="n">
        <v>0.006669285095945178</v>
      </c>
      <c r="C846" s="5" t="n">
        <v>-0.003734283810557123</v>
      </c>
      <c r="D846" s="5" t="n">
        <v>-0.004577208765113363</v>
      </c>
      <c r="E846" s="5" t="n">
        <v>-0.001016312175099099</v>
      </c>
      <c r="F846" s="5" t="n">
        <v>0.007293316808744971</v>
      </c>
      <c r="G846" s="5" t="n">
        <v>0.01872385776134505</v>
      </c>
      <c r="H846" s="5" t="n">
        <v>0.003570135091772001</v>
      </c>
      <c r="I846" s="5" t="n">
        <v>-0.001346342888456011</v>
      </c>
      <c r="J846" s="5" t="n">
        <v>-0.0005028696435468391</v>
      </c>
      <c r="K846" s="5" t="n">
        <v>-0.003537504953761688</v>
      </c>
      <c r="L846" s="5" t="n">
        <v>0.000178541969547586</v>
      </c>
      <c r="M846" s="5">
        <f>SUMPRODUCT(Exposures!$B$6:$K$6,B846:K846)</f>
        <v/>
      </c>
      <c r="N846" s="5">
        <f>IF(AND($A846&gt;=DATE(2020,2,1),$A846&lt;=DATE(2020,5,31)),$M846,"")</f>
        <v/>
      </c>
      <c r="O846" s="5">
        <f>IF(AND($A846&gt;=DATE(2022,1,1),$A846&lt;=DATE(2022,10,31)),$M846,"")</f>
        <v/>
      </c>
      <c r="P846" s="5">
        <f>IF(AND($A846&gt;=DATE(2018,10,1),$A846&lt;=DATE(2018,12,31)),$M846,"")</f>
        <v/>
      </c>
      <c r="Q846" s="5">
        <f>SUMPRODUCT(Exposures!$B$8:$K$8,B846:K846)</f>
        <v/>
      </c>
      <c r="R846" s="5">
        <f>SUMPRODUCT(Exposures!$B$9:$K$9,B846:K846)</f>
        <v/>
      </c>
      <c r="S846" s="5">
        <f>SUMPRODUCT(Exposures!$B$10:$K$10,B846:K846)</f>
        <v/>
      </c>
    </row>
    <row r="847">
      <c r="A847" s="1" t="n">
        <v>43686</v>
      </c>
      <c r="B847" s="5" t="n">
        <v>-0.005532906669896564</v>
      </c>
      <c r="C847" s="5" t="n">
        <v>-0.0008857684244442921</v>
      </c>
      <c r="D847" s="5" t="n">
        <v>0.001996440068482199</v>
      </c>
      <c r="E847" s="5" t="n">
        <v>0.001514407169845998</v>
      </c>
      <c r="F847" s="5" t="n">
        <v>0.002848210478004843</v>
      </c>
      <c r="G847" s="5" t="n">
        <v>-0.008341857579870066</v>
      </c>
      <c r="H847" s="5" t="n">
        <v>0.005940704117038752</v>
      </c>
      <c r="I847" s="5" t="n">
        <v>0.004278887772361403</v>
      </c>
      <c r="J847" s="5" t="n">
        <v>0.0007259701837395542</v>
      </c>
      <c r="K847" s="5" t="n">
        <v>-0.002417006627335361</v>
      </c>
      <c r="L847" s="5" t="n">
        <v>-0.0009300156531708429</v>
      </c>
      <c r="M847" s="5">
        <f>SUMPRODUCT(Exposures!$B$6:$K$6,B847:K847)</f>
        <v/>
      </c>
      <c r="N847" s="5">
        <f>IF(AND($A847&gt;=DATE(2020,2,1),$A847&lt;=DATE(2020,5,31)),$M847,"")</f>
        <v/>
      </c>
      <c r="O847" s="5">
        <f>IF(AND($A847&gt;=DATE(2022,1,1),$A847&lt;=DATE(2022,10,31)),$M847,"")</f>
        <v/>
      </c>
      <c r="P847" s="5">
        <f>IF(AND($A847&gt;=DATE(2018,10,1),$A847&lt;=DATE(2018,12,31)),$M847,"")</f>
        <v/>
      </c>
      <c r="Q847" s="5">
        <f>SUMPRODUCT(Exposures!$B$8:$K$8,B847:K847)</f>
        <v/>
      </c>
      <c r="R847" s="5">
        <f>SUMPRODUCT(Exposures!$B$9:$K$9,B847:K847)</f>
        <v/>
      </c>
      <c r="S847" s="5">
        <f>SUMPRODUCT(Exposures!$B$10:$K$10,B847:K847)</f>
        <v/>
      </c>
    </row>
    <row r="848">
      <c r="A848" s="1" t="n">
        <v>43689</v>
      </c>
      <c r="B848" s="5" t="n">
        <v>-0.006578888385756826</v>
      </c>
      <c r="C848" s="5" t="n">
        <v>0.0008839195028279209</v>
      </c>
      <c r="D848" s="5" t="n">
        <v>0.001227791552065278</v>
      </c>
      <c r="E848" s="5" t="n">
        <v>-0.002051184345497376</v>
      </c>
      <c r="F848" s="5" t="n">
        <v>0.001864295149281912</v>
      </c>
      <c r="G848" s="5" t="n">
        <v>-0.01551515062582298</v>
      </c>
      <c r="H848" s="5" t="n">
        <v>0.00231941520015367</v>
      </c>
      <c r="I848" s="5" t="n">
        <v>0.00194671138915722</v>
      </c>
      <c r="J848" s="5" t="n">
        <v>-0.00230390666834021</v>
      </c>
      <c r="K848" s="5" t="n">
        <v>-0.001843873334105117</v>
      </c>
      <c r="L848" s="5" t="n">
        <v>-0.001224658401974423</v>
      </c>
      <c r="M848" s="5">
        <f>SUMPRODUCT(Exposures!$B$6:$K$6,B848:K848)</f>
        <v/>
      </c>
      <c r="N848" s="5">
        <f>IF(AND($A848&gt;=DATE(2020,2,1),$A848&lt;=DATE(2020,5,31)),$M848,"")</f>
        <v/>
      </c>
      <c r="O848" s="5">
        <f>IF(AND($A848&gt;=DATE(2022,1,1),$A848&lt;=DATE(2022,10,31)),$M848,"")</f>
        <v/>
      </c>
      <c r="P848" s="5">
        <f>IF(AND($A848&gt;=DATE(2018,10,1),$A848&lt;=DATE(2018,12,31)),$M848,"")</f>
        <v/>
      </c>
      <c r="Q848" s="5">
        <f>SUMPRODUCT(Exposures!$B$8:$K$8,B848:K848)</f>
        <v/>
      </c>
      <c r="R848" s="5">
        <f>SUMPRODUCT(Exposures!$B$9:$K$9,B848:K848)</f>
        <v/>
      </c>
      <c r="S848" s="5">
        <f>SUMPRODUCT(Exposures!$B$10:$K$10,B848:K848)</f>
        <v/>
      </c>
    </row>
    <row r="849">
      <c r="A849" s="1" t="n">
        <v>43690</v>
      </c>
      <c r="B849" s="5" t="n">
        <v>0.006002597793102724</v>
      </c>
      <c r="C849" s="5" t="n">
        <v>0.00254257836034699</v>
      </c>
      <c r="D849" s="5" t="n">
        <v>-0.004672318215742573</v>
      </c>
      <c r="E849" s="5" t="n">
        <v>-0.001560197606204305</v>
      </c>
      <c r="F849" s="5" t="n">
        <v>-0.004113164742922714</v>
      </c>
      <c r="G849" s="5" t="n">
        <v>0.01221610493566759</v>
      </c>
      <c r="H849" s="5" t="n">
        <v>-0.0009862897860652715</v>
      </c>
      <c r="I849" s="5" t="n">
        <v>0.001186346528909373</v>
      </c>
      <c r="J849" s="5" t="n">
        <v>-0.002208426046731912</v>
      </c>
      <c r="K849" s="5" t="n">
        <v>0.003759303370962187</v>
      </c>
      <c r="L849" s="5" t="n">
        <v>0.0005967849432123139</v>
      </c>
      <c r="M849" s="5">
        <f>SUMPRODUCT(Exposures!$B$6:$K$6,B849:K849)</f>
        <v/>
      </c>
      <c r="N849" s="5">
        <f>IF(AND($A849&gt;=DATE(2020,2,1),$A849&lt;=DATE(2020,5,31)),$M849,"")</f>
        <v/>
      </c>
      <c r="O849" s="5">
        <f>IF(AND($A849&gt;=DATE(2022,1,1),$A849&lt;=DATE(2022,10,31)),$M849,"")</f>
        <v/>
      </c>
      <c r="P849" s="5">
        <f>IF(AND($A849&gt;=DATE(2018,10,1),$A849&lt;=DATE(2018,12,31)),$M849,"")</f>
        <v/>
      </c>
      <c r="Q849" s="5">
        <f>SUMPRODUCT(Exposures!$B$8:$K$8,B849:K849)</f>
        <v/>
      </c>
      <c r="R849" s="5">
        <f>SUMPRODUCT(Exposures!$B$9:$K$9,B849:K849)</f>
        <v/>
      </c>
      <c r="S849" s="5">
        <f>SUMPRODUCT(Exposures!$B$10:$K$10,B849:K849)</f>
        <v/>
      </c>
    </row>
    <row r="850">
      <c r="A850" s="1" t="n">
        <v>43691</v>
      </c>
      <c r="B850" s="5" t="n">
        <v>-0.006704527797451951</v>
      </c>
      <c r="C850" s="5" t="n">
        <v>0.0001243660084493016</v>
      </c>
      <c r="D850" s="5" t="n">
        <v>0.002305442896759218</v>
      </c>
      <c r="E850" s="5" t="n">
        <v>-0.0001817988607062436</v>
      </c>
      <c r="F850" s="5" t="n">
        <v>0.005087077118668262</v>
      </c>
      <c r="G850" s="5" t="n">
        <v>-0.02928265957908254</v>
      </c>
      <c r="H850" s="5" t="n">
        <v>0.00242049999859925</v>
      </c>
      <c r="I850" s="5" t="n">
        <v>0.001969438959615162</v>
      </c>
      <c r="J850" s="5" t="n">
        <v>-0.0003565563547040479</v>
      </c>
      <c r="K850" s="5" t="n">
        <v>-0.008409361388057373</v>
      </c>
      <c r="L850" s="5" t="n">
        <v>-0.002547930792413656</v>
      </c>
      <c r="M850" s="5">
        <f>SUMPRODUCT(Exposures!$B$6:$K$6,B850:K850)</f>
        <v/>
      </c>
      <c r="N850" s="5">
        <f>IF(AND($A850&gt;=DATE(2020,2,1),$A850&lt;=DATE(2020,5,31)),$M850,"")</f>
        <v/>
      </c>
      <c r="O850" s="5">
        <f>IF(AND($A850&gt;=DATE(2022,1,1),$A850&lt;=DATE(2022,10,31)),$M850,"")</f>
        <v/>
      </c>
      <c r="P850" s="5">
        <f>IF(AND($A850&gt;=DATE(2018,10,1),$A850&lt;=DATE(2018,12,31)),$M850,"")</f>
        <v/>
      </c>
      <c r="Q850" s="5">
        <f>SUMPRODUCT(Exposures!$B$8:$K$8,B850:K850)</f>
        <v/>
      </c>
      <c r="R850" s="5">
        <f>SUMPRODUCT(Exposures!$B$9:$K$9,B850:K850)</f>
        <v/>
      </c>
      <c r="S850" s="5">
        <f>SUMPRODUCT(Exposures!$B$10:$K$10,B850:K850)</f>
        <v/>
      </c>
    </row>
    <row r="851">
      <c r="A851" s="1" t="n">
        <v>43692</v>
      </c>
      <c r="B851" s="5" t="n">
        <v>-0.007347605833296586</v>
      </c>
      <c r="C851" s="5" t="n">
        <v>-0.002605781979377991</v>
      </c>
      <c r="D851" s="5" t="n">
        <v>0.004927566724579171</v>
      </c>
      <c r="E851" s="5" t="n">
        <v>0.001196849235347891</v>
      </c>
      <c r="F851" s="5" t="n">
        <v>0.009599672431594965</v>
      </c>
      <c r="G851" s="5" t="n">
        <v>-0.001593011468641461</v>
      </c>
      <c r="H851" s="5" t="n">
        <v>0.001625375072356854</v>
      </c>
      <c r="I851" s="5" t="n">
        <v>-0.00104136637525221</v>
      </c>
      <c r="J851" s="5" t="n">
        <v>-0.002250229511301106</v>
      </c>
      <c r="K851" s="5" t="n">
        <v>-0.006824138489999985</v>
      </c>
      <c r="L851" s="5" t="n">
        <v>-0.0002497071844615529</v>
      </c>
      <c r="M851" s="5">
        <f>SUMPRODUCT(Exposures!$B$6:$K$6,B851:K851)</f>
        <v/>
      </c>
      <c r="N851" s="5">
        <f>IF(AND($A851&gt;=DATE(2020,2,1),$A851&lt;=DATE(2020,5,31)),$M851,"")</f>
        <v/>
      </c>
      <c r="O851" s="5">
        <f>IF(AND($A851&gt;=DATE(2022,1,1),$A851&lt;=DATE(2022,10,31)),$M851,"")</f>
        <v/>
      </c>
      <c r="P851" s="5">
        <f>IF(AND($A851&gt;=DATE(2018,10,1),$A851&lt;=DATE(2018,12,31)),$M851,"")</f>
        <v/>
      </c>
      <c r="Q851" s="5">
        <f>SUMPRODUCT(Exposures!$B$8:$K$8,B851:K851)</f>
        <v/>
      </c>
      <c r="R851" s="5">
        <f>SUMPRODUCT(Exposures!$B$9:$K$9,B851:K851)</f>
        <v/>
      </c>
      <c r="S851" s="5">
        <f>SUMPRODUCT(Exposures!$B$10:$K$10,B851:K851)</f>
        <v/>
      </c>
    </row>
    <row r="852">
      <c r="A852" s="1" t="n">
        <v>43693</v>
      </c>
      <c r="B852" s="5" t="n">
        <v>0.00458966649962308</v>
      </c>
      <c r="C852" s="5" t="n">
        <v>0.004257809737541224</v>
      </c>
      <c r="D852" s="5" t="n">
        <v>0.006179634773278378</v>
      </c>
      <c r="E852" s="5" t="n">
        <v>0.001101920961731017</v>
      </c>
      <c r="F852" s="5" t="n">
        <v>-0.00739949668929157</v>
      </c>
      <c r="G852" s="5" t="n">
        <v>0.01871552613790685</v>
      </c>
      <c r="H852" s="5" t="n">
        <v>0.0001018704186125854</v>
      </c>
      <c r="I852" s="5" t="n">
        <v>-0.001244955335912686</v>
      </c>
      <c r="J852" s="5" t="n">
        <v>0.004662821439881773</v>
      </c>
      <c r="K852" s="5" t="n">
        <v>0.006182981624280028</v>
      </c>
      <c r="L852" s="5" t="n">
        <v>0.001714413843638143</v>
      </c>
      <c r="M852" s="5">
        <f>SUMPRODUCT(Exposures!$B$6:$K$6,B852:K852)</f>
        <v/>
      </c>
      <c r="N852" s="5">
        <f>IF(AND($A852&gt;=DATE(2020,2,1),$A852&lt;=DATE(2020,5,31)),$M852,"")</f>
        <v/>
      </c>
      <c r="O852" s="5">
        <f>IF(AND($A852&gt;=DATE(2022,1,1),$A852&lt;=DATE(2022,10,31)),$M852,"")</f>
        <v/>
      </c>
      <c r="P852" s="5">
        <f>IF(AND($A852&gt;=DATE(2018,10,1),$A852&lt;=DATE(2018,12,31)),$M852,"")</f>
        <v/>
      </c>
      <c r="Q852" s="5">
        <f>SUMPRODUCT(Exposures!$B$8:$K$8,B852:K852)</f>
        <v/>
      </c>
      <c r="R852" s="5">
        <f>SUMPRODUCT(Exposures!$B$9:$K$9,B852:K852)</f>
        <v/>
      </c>
      <c r="S852" s="5">
        <f>SUMPRODUCT(Exposures!$B$10:$K$10,B852:K852)</f>
        <v/>
      </c>
    </row>
    <row r="853">
      <c r="A853" s="1" t="n">
        <v>43696</v>
      </c>
      <c r="B853" s="5" t="n">
        <v>0.002256664597112521</v>
      </c>
      <c r="C853" s="5" t="n">
        <v>0.001840450934234356</v>
      </c>
      <c r="D853" s="5" t="n">
        <v>0.0007063161063731528</v>
      </c>
      <c r="E853" s="5" t="n">
        <v>-0.0006499188103965489</v>
      </c>
      <c r="F853" s="5" t="n">
        <v>-0.004078169888400128</v>
      </c>
      <c r="G853" s="5" t="n">
        <v>0.01043276578348078</v>
      </c>
      <c r="H853" s="5" t="n">
        <v>-0.003054367317330472</v>
      </c>
      <c r="I853" s="5" t="n">
        <v>-0.000245653223056765</v>
      </c>
      <c r="J853" s="5" t="n">
        <v>0.001507577356538558</v>
      </c>
      <c r="K853" s="5" t="n">
        <v>0.00524702998905266</v>
      </c>
      <c r="L853" s="5" t="n">
        <v>7.102377556945255e-05</v>
      </c>
      <c r="M853" s="5">
        <f>SUMPRODUCT(Exposures!$B$6:$K$6,B853:K853)</f>
        <v/>
      </c>
      <c r="N853" s="5">
        <f>IF(AND($A853&gt;=DATE(2020,2,1),$A853&lt;=DATE(2020,5,31)),$M853,"")</f>
        <v/>
      </c>
      <c r="O853" s="5">
        <f>IF(AND($A853&gt;=DATE(2022,1,1),$A853&lt;=DATE(2022,10,31)),$M853,"")</f>
        <v/>
      </c>
      <c r="P853" s="5">
        <f>IF(AND($A853&gt;=DATE(2018,10,1),$A853&lt;=DATE(2018,12,31)),$M853,"")</f>
        <v/>
      </c>
      <c r="Q853" s="5">
        <f>SUMPRODUCT(Exposures!$B$8:$K$8,B853:K853)</f>
        <v/>
      </c>
      <c r="R853" s="5">
        <f>SUMPRODUCT(Exposures!$B$9:$K$9,B853:K853)</f>
        <v/>
      </c>
      <c r="S853" s="5">
        <f>SUMPRODUCT(Exposures!$B$10:$K$10,B853:K853)</f>
        <v/>
      </c>
    </row>
    <row r="854">
      <c r="A854" s="1" t="n">
        <v>43697</v>
      </c>
      <c r="B854" s="5" t="n">
        <v>-0.0002647298523151298</v>
      </c>
      <c r="C854" s="5" t="n">
        <v>0.001565063881472418</v>
      </c>
      <c r="D854" s="5" t="n">
        <v>0.004274019488598484</v>
      </c>
      <c r="E854" s="5" t="n">
        <v>-0.00163088503609631</v>
      </c>
      <c r="F854" s="5" t="n">
        <v>-0.003189168143504755</v>
      </c>
      <c r="G854" s="5" t="n">
        <v>-0.008139241777234782</v>
      </c>
      <c r="H854" s="5" t="n">
        <v>0.001828333959732285</v>
      </c>
      <c r="I854" s="5" t="n">
        <v>-0.001090539430603296</v>
      </c>
      <c r="J854" s="5" t="n">
        <v>0.000589094305048087</v>
      </c>
      <c r="K854" s="5" t="n">
        <v>0.00259158133564501</v>
      </c>
      <c r="L854" s="5" t="n">
        <v>-0.0008477201531675424</v>
      </c>
      <c r="M854" s="5">
        <f>SUMPRODUCT(Exposures!$B$6:$K$6,B854:K854)</f>
        <v/>
      </c>
      <c r="N854" s="5">
        <f>IF(AND($A854&gt;=DATE(2020,2,1),$A854&lt;=DATE(2020,5,31)),$M854,"")</f>
        <v/>
      </c>
      <c r="O854" s="5">
        <f>IF(AND($A854&gt;=DATE(2022,1,1),$A854&lt;=DATE(2022,10,31)),$M854,"")</f>
        <v/>
      </c>
      <c r="P854" s="5">
        <f>IF(AND($A854&gt;=DATE(2018,10,1),$A854&lt;=DATE(2018,12,31)),$M854,"")</f>
        <v/>
      </c>
      <c r="Q854" s="5">
        <f>SUMPRODUCT(Exposures!$B$8:$K$8,B854:K854)</f>
        <v/>
      </c>
      <c r="R854" s="5">
        <f>SUMPRODUCT(Exposures!$B$9:$K$9,B854:K854)</f>
        <v/>
      </c>
      <c r="S854" s="5">
        <f>SUMPRODUCT(Exposures!$B$10:$K$10,B854:K854)</f>
        <v/>
      </c>
    </row>
    <row r="855">
      <c r="A855" s="1" t="n">
        <v>43698</v>
      </c>
      <c r="B855" s="5" t="n">
        <v>0.00197098233757763</v>
      </c>
      <c r="C855" s="5" t="n">
        <v>-0.001623858036979952</v>
      </c>
      <c r="D855" s="5" t="n">
        <v>-0.0006317705547791958</v>
      </c>
      <c r="E855" s="5" t="n">
        <v>0.001402118606378389</v>
      </c>
      <c r="F855" s="5" t="n">
        <v>0.005784645313947396</v>
      </c>
      <c r="G855" s="5" t="n">
        <v>0.008823399462797411</v>
      </c>
      <c r="H855" s="5" t="n">
        <v>-0.002298159199502936</v>
      </c>
      <c r="I855" s="5" t="n">
        <v>-0.0004627983873662151</v>
      </c>
      <c r="J855" s="5" t="n">
        <v>0.0008267213797899017</v>
      </c>
      <c r="K855" s="5" t="n">
        <v>-0.005608510109164026</v>
      </c>
      <c r="L855" s="5" t="n">
        <v>-0.003034051017696418</v>
      </c>
      <c r="M855" s="5">
        <f>SUMPRODUCT(Exposures!$B$6:$K$6,B855:K855)</f>
        <v/>
      </c>
      <c r="N855" s="5">
        <f>IF(AND($A855&gt;=DATE(2020,2,1),$A855&lt;=DATE(2020,5,31)),$M855,"")</f>
        <v/>
      </c>
      <c r="O855" s="5">
        <f>IF(AND($A855&gt;=DATE(2022,1,1),$A855&lt;=DATE(2022,10,31)),$M855,"")</f>
        <v/>
      </c>
      <c r="P855" s="5">
        <f>IF(AND($A855&gt;=DATE(2018,10,1),$A855&lt;=DATE(2018,12,31)),$M855,"")</f>
        <v/>
      </c>
      <c r="Q855" s="5">
        <f>SUMPRODUCT(Exposures!$B$8:$K$8,B855:K855)</f>
        <v/>
      </c>
      <c r="R855" s="5">
        <f>SUMPRODUCT(Exposures!$B$9:$K$9,B855:K855)</f>
        <v/>
      </c>
      <c r="S855" s="5">
        <f>SUMPRODUCT(Exposures!$B$10:$K$10,B855:K855)</f>
        <v/>
      </c>
    </row>
    <row r="856">
      <c r="A856" s="1" t="n">
        <v>43699</v>
      </c>
      <c r="B856" s="5" t="n">
        <v>-0.002100575103225524</v>
      </c>
      <c r="C856" s="5" t="n">
        <v>-0.002682833187748722</v>
      </c>
      <c r="D856" s="5" t="n">
        <v>0.000131878023784645</v>
      </c>
      <c r="E856" s="5" t="n">
        <v>0.002001053871695249</v>
      </c>
      <c r="F856" s="5" t="n">
        <v>0.00773342431817872</v>
      </c>
      <c r="G856" s="5" t="n">
        <v>-0.0009537095182797415</v>
      </c>
      <c r="H856" s="5" t="n">
        <v>-0.0006242834772265466</v>
      </c>
      <c r="I856" s="5" t="n">
        <v>-0.001205424046315466</v>
      </c>
      <c r="J856" s="5" t="n">
        <v>-0.002779460791212144</v>
      </c>
      <c r="K856" s="5" t="n">
        <v>-0.007461267106769122</v>
      </c>
      <c r="L856" s="5" t="n">
        <v>-0.002126195015186056</v>
      </c>
      <c r="M856" s="5">
        <f>SUMPRODUCT(Exposures!$B$6:$K$6,B856:K856)</f>
        <v/>
      </c>
      <c r="N856" s="5">
        <f>IF(AND($A856&gt;=DATE(2020,2,1),$A856&lt;=DATE(2020,5,31)),$M856,"")</f>
        <v/>
      </c>
      <c r="O856" s="5">
        <f>IF(AND($A856&gt;=DATE(2022,1,1),$A856&lt;=DATE(2022,10,31)),$M856,"")</f>
        <v/>
      </c>
      <c r="P856" s="5">
        <f>IF(AND($A856&gt;=DATE(2018,10,1),$A856&lt;=DATE(2018,12,31)),$M856,"")</f>
        <v/>
      </c>
      <c r="Q856" s="5">
        <f>SUMPRODUCT(Exposures!$B$8:$K$8,B856:K856)</f>
        <v/>
      </c>
      <c r="R856" s="5">
        <f>SUMPRODUCT(Exposures!$B$9:$K$9,B856:K856)</f>
        <v/>
      </c>
      <c r="S856" s="5">
        <f>SUMPRODUCT(Exposures!$B$10:$K$10,B856:K856)</f>
        <v/>
      </c>
    </row>
    <row r="857">
      <c r="A857" s="1" t="n">
        <v>43700</v>
      </c>
      <c r="B857" s="5" t="n">
        <v>-0.007406503841955396</v>
      </c>
      <c r="C857" s="5" t="n">
        <v>-0.002047254192430308</v>
      </c>
      <c r="D857" s="5" t="n">
        <v>0.0002947097363545931</v>
      </c>
      <c r="E857" s="5" t="n">
        <v>0.0005265232272935892</v>
      </c>
      <c r="F857" s="5" t="n">
        <v>0.003080895363927875</v>
      </c>
      <c r="G857" s="5" t="n">
        <v>-0.02716183905934171</v>
      </c>
      <c r="H857" s="5" t="n">
        <v>0.0004115072285459228</v>
      </c>
      <c r="I857" s="5" t="n">
        <v>0.001037619568584582</v>
      </c>
      <c r="J857" s="5" t="n">
        <v>-0.0008816900533490965</v>
      </c>
      <c r="K857" s="5" t="n">
        <v>-0.001473836215907878</v>
      </c>
      <c r="L857" s="5" t="n">
        <v>-0.002454578219196851</v>
      </c>
      <c r="M857" s="5">
        <f>SUMPRODUCT(Exposures!$B$6:$K$6,B857:K857)</f>
        <v/>
      </c>
      <c r="N857" s="5">
        <f>IF(AND($A857&gt;=DATE(2020,2,1),$A857&lt;=DATE(2020,5,31)),$M857,"")</f>
        <v/>
      </c>
      <c r="O857" s="5">
        <f>IF(AND($A857&gt;=DATE(2022,1,1),$A857&lt;=DATE(2022,10,31)),$M857,"")</f>
        <v/>
      </c>
      <c r="P857" s="5">
        <f>IF(AND($A857&gt;=DATE(2018,10,1),$A857&lt;=DATE(2018,12,31)),$M857,"")</f>
        <v/>
      </c>
      <c r="Q857" s="5">
        <f>SUMPRODUCT(Exposures!$B$8:$K$8,B857:K857)</f>
        <v/>
      </c>
      <c r="R857" s="5">
        <f>SUMPRODUCT(Exposures!$B$9:$K$9,B857:K857)</f>
        <v/>
      </c>
      <c r="S857" s="5">
        <f>SUMPRODUCT(Exposures!$B$10:$K$10,B857:K857)</f>
        <v/>
      </c>
    </row>
    <row r="858">
      <c r="A858" s="1" t="n">
        <v>43703</v>
      </c>
      <c r="B858" s="5" t="n">
        <v>0.000135372111845887</v>
      </c>
      <c r="C858" s="5" t="n">
        <v>-0.000648632447394684</v>
      </c>
      <c r="D858" s="5" t="n">
        <v>0.003024938568084775</v>
      </c>
      <c r="E858" s="5" t="n">
        <v>0.001175706064024249</v>
      </c>
      <c r="F858" s="5" t="n">
        <v>0.002863699080233885</v>
      </c>
      <c r="G858" s="5" t="n">
        <v>0.01041137258200637</v>
      </c>
      <c r="H858" s="5" t="n">
        <v>0.002167384937383252</v>
      </c>
      <c r="I858" s="5" t="n">
        <v>0.003023763163943591</v>
      </c>
      <c r="J858" s="5" t="n">
        <v>0.001137507767577398</v>
      </c>
      <c r="K858" s="5" t="n">
        <v>-0.004634808455954478</v>
      </c>
      <c r="L858" s="5" t="n">
        <v>0.0003935159073931386</v>
      </c>
      <c r="M858" s="5">
        <f>SUMPRODUCT(Exposures!$B$6:$K$6,B858:K858)</f>
        <v/>
      </c>
      <c r="N858" s="5">
        <f>IF(AND($A858&gt;=DATE(2020,2,1),$A858&lt;=DATE(2020,5,31)),$M858,"")</f>
        <v/>
      </c>
      <c r="O858" s="5">
        <f>IF(AND($A858&gt;=DATE(2022,1,1),$A858&lt;=DATE(2022,10,31)),$M858,"")</f>
        <v/>
      </c>
      <c r="P858" s="5">
        <f>IF(AND($A858&gt;=DATE(2018,10,1),$A858&lt;=DATE(2018,12,31)),$M858,"")</f>
        <v/>
      </c>
      <c r="Q858" s="5">
        <f>SUMPRODUCT(Exposures!$B$8:$K$8,B858:K858)</f>
        <v/>
      </c>
      <c r="R858" s="5">
        <f>SUMPRODUCT(Exposures!$B$9:$K$9,B858:K858)</f>
        <v/>
      </c>
      <c r="S858" s="5">
        <f>SUMPRODUCT(Exposures!$B$10:$K$10,B858:K858)</f>
        <v/>
      </c>
    </row>
    <row r="859">
      <c r="A859" s="1" t="n">
        <v>43704</v>
      </c>
      <c r="B859" s="5" t="n">
        <v>0.0004161495936449047</v>
      </c>
      <c r="C859" s="5" t="n">
        <v>-0.003347399716328803</v>
      </c>
      <c r="D859" s="5" t="n">
        <v>-0.001633536287663705</v>
      </c>
      <c r="E859" s="5" t="n">
        <v>-0.002805882828106563</v>
      </c>
      <c r="F859" s="5" t="n">
        <v>0.004874015624340363</v>
      </c>
      <c r="G859" s="5" t="n">
        <v>-0.009626381776287529</v>
      </c>
      <c r="H859" s="5" t="n">
        <v>0.004659362703582444</v>
      </c>
      <c r="I859" s="5" t="n">
        <v>-0.0006336555043538813</v>
      </c>
      <c r="J859" s="5" t="n">
        <v>-0.006218036985259081</v>
      </c>
      <c r="K859" s="5" t="n">
        <v>-0.00250579610366503</v>
      </c>
      <c r="L859" s="5" t="n">
        <v>0.0001024051525284194</v>
      </c>
      <c r="M859" s="5">
        <f>SUMPRODUCT(Exposures!$B$6:$K$6,B859:K859)</f>
        <v/>
      </c>
      <c r="N859" s="5">
        <f>IF(AND($A859&gt;=DATE(2020,2,1),$A859&lt;=DATE(2020,5,31)),$M859,"")</f>
        <v/>
      </c>
      <c r="O859" s="5">
        <f>IF(AND($A859&gt;=DATE(2022,1,1),$A859&lt;=DATE(2022,10,31)),$M859,"")</f>
        <v/>
      </c>
      <c r="P859" s="5">
        <f>IF(AND($A859&gt;=DATE(2018,10,1),$A859&lt;=DATE(2018,12,31)),$M859,"")</f>
        <v/>
      </c>
      <c r="Q859" s="5">
        <f>SUMPRODUCT(Exposures!$B$8:$K$8,B859:K859)</f>
        <v/>
      </c>
      <c r="R859" s="5">
        <f>SUMPRODUCT(Exposures!$B$9:$K$9,B859:K859)</f>
        <v/>
      </c>
      <c r="S859" s="5">
        <f>SUMPRODUCT(Exposures!$B$10:$K$10,B859:K859)</f>
        <v/>
      </c>
    </row>
    <row r="860">
      <c r="A860" s="1" t="n">
        <v>43705</v>
      </c>
      <c r="B860" s="5" t="n">
        <v>-0.0003589336606632928</v>
      </c>
      <c r="C860" s="5" t="n">
        <v>0.001815877465141984</v>
      </c>
      <c r="D860" s="5" t="n">
        <v>0.0005156149426096235</v>
      </c>
      <c r="E860" s="5" t="n">
        <v>0.002179044051730132</v>
      </c>
      <c r="F860" s="5" t="n">
        <v>0.0008584410765017148</v>
      </c>
      <c r="G860" s="5" t="n">
        <v>0.008016581492808763</v>
      </c>
      <c r="H860" s="5" t="n">
        <v>-0.002972448328571823</v>
      </c>
      <c r="I860" s="5" t="n">
        <v>-0.001654656469820716</v>
      </c>
      <c r="J860" s="5" t="n">
        <v>0.002741928514887973</v>
      </c>
      <c r="K860" s="5" t="n">
        <v>-0.0008153770627997139</v>
      </c>
      <c r="L860" s="5" t="n">
        <v>-0.0006199301307024768</v>
      </c>
      <c r="M860" s="5">
        <f>SUMPRODUCT(Exposures!$B$6:$K$6,B860:K860)</f>
        <v/>
      </c>
      <c r="N860" s="5">
        <f>IF(AND($A860&gt;=DATE(2020,2,1),$A860&lt;=DATE(2020,5,31)),$M860,"")</f>
        <v/>
      </c>
      <c r="O860" s="5">
        <f>IF(AND($A860&gt;=DATE(2022,1,1),$A860&lt;=DATE(2022,10,31)),$M860,"")</f>
        <v/>
      </c>
      <c r="P860" s="5">
        <f>IF(AND($A860&gt;=DATE(2018,10,1),$A860&lt;=DATE(2018,12,31)),$M860,"")</f>
        <v/>
      </c>
      <c r="Q860" s="5">
        <f>SUMPRODUCT(Exposures!$B$8:$K$8,B860:K860)</f>
        <v/>
      </c>
      <c r="R860" s="5">
        <f>SUMPRODUCT(Exposures!$B$9:$K$9,B860:K860)</f>
        <v/>
      </c>
      <c r="S860" s="5">
        <f>SUMPRODUCT(Exposures!$B$10:$K$10,B860:K860)</f>
        <v/>
      </c>
    </row>
    <row r="861">
      <c r="A861" s="1" t="n">
        <v>43706</v>
      </c>
      <c r="B861" s="5" t="n">
        <v>0.009192688212770087</v>
      </c>
      <c r="C861" s="5" t="n">
        <v>0.002779546400189318</v>
      </c>
      <c r="D861" s="5" t="n">
        <v>0.008147310974641961</v>
      </c>
      <c r="E861" s="5" t="n">
        <v>-0.0009543459321677375</v>
      </c>
      <c r="F861" s="5" t="n">
        <v>-0.009507009641579026</v>
      </c>
      <c r="G861" s="5" t="n">
        <v>0.01132098665817908</v>
      </c>
      <c r="H861" s="5" t="n">
        <v>0.001630088730826797</v>
      </c>
      <c r="I861" s="5" t="n">
        <v>-0.003297827193530591</v>
      </c>
      <c r="J861" s="5" t="n">
        <v>-0.00211743198510824</v>
      </c>
      <c r="K861" s="5" t="n">
        <v>0.009452719036240247</v>
      </c>
      <c r="L861" s="5" t="n">
        <v>0.003113696554608869</v>
      </c>
      <c r="M861" s="5">
        <f>SUMPRODUCT(Exposures!$B$6:$K$6,B861:K861)</f>
        <v/>
      </c>
      <c r="N861" s="5">
        <f>IF(AND($A861&gt;=DATE(2020,2,1),$A861&lt;=DATE(2020,5,31)),$M861,"")</f>
        <v/>
      </c>
      <c r="O861" s="5">
        <f>IF(AND($A861&gt;=DATE(2022,1,1),$A861&lt;=DATE(2022,10,31)),$M861,"")</f>
        <v/>
      </c>
      <c r="P861" s="5">
        <f>IF(AND($A861&gt;=DATE(2018,10,1),$A861&lt;=DATE(2018,12,31)),$M861,"")</f>
        <v/>
      </c>
      <c r="Q861" s="5">
        <f>SUMPRODUCT(Exposures!$B$8:$K$8,B861:K861)</f>
        <v/>
      </c>
      <c r="R861" s="5">
        <f>SUMPRODUCT(Exposures!$B$9:$K$9,B861:K861)</f>
        <v/>
      </c>
      <c r="S861" s="5">
        <f>SUMPRODUCT(Exposures!$B$10:$K$10,B861:K861)</f>
        <v/>
      </c>
    </row>
    <row r="862">
      <c r="A862" s="1" t="n">
        <v>43707</v>
      </c>
      <c r="B862" s="5" t="n">
        <v>-0.0005056356052539903</v>
      </c>
      <c r="C862" s="5" t="n">
        <v>-0.0009160236989346739</v>
      </c>
      <c r="D862" s="5" t="n">
        <v>-0.001609083874275524</v>
      </c>
      <c r="E862" s="5" t="n">
        <v>0.0005897339703064808</v>
      </c>
      <c r="F862" s="5" t="n">
        <v>0.000642517411998505</v>
      </c>
      <c r="G862" s="5" t="n">
        <v>0.001999064672706472</v>
      </c>
      <c r="H862" s="5" t="n">
        <v>-0.002667567926309318</v>
      </c>
      <c r="I862" s="5" t="n">
        <v>-0.0003996513582900331</v>
      </c>
      <c r="J862" s="5" t="n">
        <v>-0.001209648157758508</v>
      </c>
      <c r="K862" s="5" t="n">
        <v>-0.0001835602194903182</v>
      </c>
      <c r="L862" s="5" t="n">
        <v>0.0001336931296894969</v>
      </c>
      <c r="M862" s="5">
        <f>SUMPRODUCT(Exposures!$B$6:$K$6,B862:K862)</f>
        <v/>
      </c>
      <c r="N862" s="5">
        <f>IF(AND($A862&gt;=DATE(2020,2,1),$A862&lt;=DATE(2020,5,31)),$M862,"")</f>
        <v/>
      </c>
      <c r="O862" s="5">
        <f>IF(AND($A862&gt;=DATE(2022,1,1),$A862&lt;=DATE(2022,10,31)),$M862,"")</f>
        <v/>
      </c>
      <c r="P862" s="5">
        <f>IF(AND($A862&gt;=DATE(2018,10,1),$A862&lt;=DATE(2018,12,31)),$M862,"")</f>
        <v/>
      </c>
      <c r="Q862" s="5">
        <f>SUMPRODUCT(Exposures!$B$8:$K$8,B862:K862)</f>
        <v/>
      </c>
      <c r="R862" s="5">
        <f>SUMPRODUCT(Exposures!$B$9:$K$9,B862:K862)</f>
        <v/>
      </c>
      <c r="S862" s="5">
        <f>SUMPRODUCT(Exposures!$B$10:$K$10,B862:K862)</f>
        <v/>
      </c>
    </row>
    <row r="863">
      <c r="A863" s="1" t="n">
        <v>43711</v>
      </c>
      <c r="B863" s="5" t="n">
        <v>-0.009846360259671054</v>
      </c>
      <c r="C863" s="5" t="n">
        <v>0.0003419555717318484</v>
      </c>
      <c r="D863" s="5" t="n">
        <v>0.0004952444894390446</v>
      </c>
      <c r="E863" s="5" t="n">
        <v>-0.0009480900662274404</v>
      </c>
      <c r="F863" s="5" t="n">
        <v>0.004094551674876202</v>
      </c>
      <c r="G863" s="5" t="n">
        <v>-0.01148030786504744</v>
      </c>
      <c r="H863" s="5" t="n">
        <v>-0.0006793097641789857</v>
      </c>
      <c r="I863" s="5" t="n">
        <v>-0.0009627956580693978</v>
      </c>
      <c r="J863" s="5" t="n">
        <v>1.79384936206204e-05</v>
      </c>
      <c r="K863" s="5" t="n">
        <v>0.000527822118390457</v>
      </c>
      <c r="L863" s="5" t="n">
        <v>-0.001622870456936935</v>
      </c>
      <c r="M863" s="5">
        <f>SUMPRODUCT(Exposures!$B$6:$K$6,B863:K863)</f>
        <v/>
      </c>
      <c r="N863" s="5">
        <f>IF(AND($A863&gt;=DATE(2020,2,1),$A863&lt;=DATE(2020,5,31)),$M863,"")</f>
        <v/>
      </c>
      <c r="O863" s="5">
        <f>IF(AND($A863&gt;=DATE(2022,1,1),$A863&lt;=DATE(2022,10,31)),$M863,"")</f>
        <v/>
      </c>
      <c r="P863" s="5">
        <f>IF(AND($A863&gt;=DATE(2018,10,1),$A863&lt;=DATE(2018,12,31)),$M863,"")</f>
        <v/>
      </c>
      <c r="Q863" s="5">
        <f>SUMPRODUCT(Exposures!$B$8:$K$8,B863:K863)</f>
        <v/>
      </c>
      <c r="R863" s="5">
        <f>SUMPRODUCT(Exposures!$B$9:$K$9,B863:K863)</f>
        <v/>
      </c>
      <c r="S863" s="5">
        <f>SUMPRODUCT(Exposures!$B$10:$K$10,B863:K863)</f>
        <v/>
      </c>
    </row>
    <row r="864">
      <c r="A864" s="1" t="n">
        <v>43712</v>
      </c>
      <c r="B864" s="5" t="n">
        <v>0.005309352376169899</v>
      </c>
      <c r="C864" s="5" t="n">
        <v>0.0006542884722014904</v>
      </c>
      <c r="D864" s="5" t="n">
        <v>0.001217897550555667</v>
      </c>
      <c r="E864" s="5" t="n">
        <v>0.00178978887535005</v>
      </c>
      <c r="F864" s="5" t="n">
        <v>-0.005974325939500163</v>
      </c>
      <c r="G864" s="5" t="n">
        <v>0.0123583072990243</v>
      </c>
      <c r="H864" s="5" t="n">
        <v>0.0001040106631435424</v>
      </c>
      <c r="I864" s="5" t="n">
        <v>-0.0005899756531213267</v>
      </c>
      <c r="J864" s="5" t="n">
        <v>-0.001274659877935835</v>
      </c>
      <c r="K864" s="5" t="n">
        <v>0.004012475769232074</v>
      </c>
      <c r="L864" s="5" t="n">
        <v>0.0006207393493724715</v>
      </c>
      <c r="M864" s="5">
        <f>SUMPRODUCT(Exposures!$B$6:$K$6,B864:K864)</f>
        <v/>
      </c>
      <c r="N864" s="5">
        <f>IF(AND($A864&gt;=DATE(2020,2,1),$A864&lt;=DATE(2020,5,31)),$M864,"")</f>
        <v/>
      </c>
      <c r="O864" s="5">
        <f>IF(AND($A864&gt;=DATE(2022,1,1),$A864&lt;=DATE(2022,10,31)),$M864,"")</f>
        <v/>
      </c>
      <c r="P864" s="5">
        <f>IF(AND($A864&gt;=DATE(2018,10,1),$A864&lt;=DATE(2018,12,31)),$M864,"")</f>
        <v/>
      </c>
      <c r="Q864" s="5">
        <f>SUMPRODUCT(Exposures!$B$8:$K$8,B864:K864)</f>
        <v/>
      </c>
      <c r="R864" s="5">
        <f>SUMPRODUCT(Exposures!$B$9:$K$9,B864:K864)</f>
        <v/>
      </c>
      <c r="S864" s="5">
        <f>SUMPRODUCT(Exposures!$B$10:$K$10,B864:K864)</f>
        <v/>
      </c>
    </row>
    <row r="865">
      <c r="A865" s="1" t="n">
        <v>43713</v>
      </c>
      <c r="B865" s="5" t="n">
        <v>0.01104030819460644</v>
      </c>
      <c r="C865" s="5" t="n">
        <v>0.00197072963375416</v>
      </c>
      <c r="D865" s="5" t="n">
        <v>-0.001097523640432541</v>
      </c>
      <c r="E865" s="5" t="n">
        <v>-0.0001557194353383115</v>
      </c>
      <c r="F865" s="5" t="n">
        <v>-0.009190232617619636</v>
      </c>
      <c r="G865" s="5" t="n">
        <v>0.01554356878447285</v>
      </c>
      <c r="H865" s="5" t="n">
        <v>-0.007513861237112392</v>
      </c>
      <c r="I865" s="5" t="n">
        <v>-0.001166909258503841</v>
      </c>
      <c r="J865" s="5" t="n">
        <v>-0.001494031672905672</v>
      </c>
      <c r="K865" s="5" t="n">
        <v>0.006792690275354941</v>
      </c>
      <c r="L865" s="5" t="n">
        <v>0.003061253800103246</v>
      </c>
      <c r="M865" s="5">
        <f>SUMPRODUCT(Exposures!$B$6:$K$6,B865:K865)</f>
        <v/>
      </c>
      <c r="N865" s="5">
        <f>IF(AND($A865&gt;=DATE(2020,2,1),$A865&lt;=DATE(2020,5,31)),$M865,"")</f>
        <v/>
      </c>
      <c r="O865" s="5">
        <f>IF(AND($A865&gt;=DATE(2022,1,1),$A865&lt;=DATE(2022,10,31)),$M865,"")</f>
        <v/>
      </c>
      <c r="P865" s="5">
        <f>IF(AND($A865&gt;=DATE(2018,10,1),$A865&lt;=DATE(2018,12,31)),$M865,"")</f>
        <v/>
      </c>
      <c r="Q865" s="5">
        <f>SUMPRODUCT(Exposures!$B$8:$K$8,B865:K865)</f>
        <v/>
      </c>
      <c r="R865" s="5">
        <f>SUMPRODUCT(Exposures!$B$9:$K$9,B865:K865)</f>
        <v/>
      </c>
      <c r="S865" s="5">
        <f>SUMPRODUCT(Exposures!$B$10:$K$10,B865:K865)</f>
        <v/>
      </c>
    </row>
    <row r="866">
      <c r="A866" s="1" t="n">
        <v>43714</v>
      </c>
      <c r="B866" s="5" t="n">
        <v>0.0004404529919295388</v>
      </c>
      <c r="C866" s="5" t="n">
        <v>-0.0006110502587291607</v>
      </c>
      <c r="D866" s="5" t="n">
        <v>0.0007822206928727677</v>
      </c>
      <c r="E866" s="5" t="n">
        <v>0.0001266108753542925</v>
      </c>
      <c r="F866" s="5" t="n">
        <v>0.001886907130765716</v>
      </c>
      <c r="G866" s="5" t="n">
        <v>-0.003351615268396932</v>
      </c>
      <c r="H866" s="5" t="n">
        <v>-0.002352752792431093</v>
      </c>
      <c r="I866" s="5" t="n">
        <v>0.002215310694180912</v>
      </c>
      <c r="J866" s="5" t="n">
        <v>-0.00715541039924532</v>
      </c>
      <c r="K866" s="5" t="n">
        <v>-0.004866558922661701</v>
      </c>
      <c r="L866" s="5" t="n">
        <v>-0.001757806938206001</v>
      </c>
      <c r="M866" s="5">
        <f>SUMPRODUCT(Exposures!$B$6:$K$6,B866:K866)</f>
        <v/>
      </c>
      <c r="N866" s="5">
        <f>IF(AND($A866&gt;=DATE(2020,2,1),$A866&lt;=DATE(2020,5,31)),$M866,"")</f>
        <v/>
      </c>
      <c r="O866" s="5">
        <f>IF(AND($A866&gt;=DATE(2022,1,1),$A866&lt;=DATE(2022,10,31)),$M866,"")</f>
        <v/>
      </c>
      <c r="P866" s="5">
        <f>IF(AND($A866&gt;=DATE(2018,10,1),$A866&lt;=DATE(2018,12,31)),$M866,"")</f>
        <v/>
      </c>
      <c r="Q866" s="5">
        <f>SUMPRODUCT(Exposures!$B$8:$K$8,B866:K866)</f>
        <v/>
      </c>
      <c r="R866" s="5">
        <f>SUMPRODUCT(Exposures!$B$9:$K$9,B866:K866)</f>
        <v/>
      </c>
      <c r="S866" s="5">
        <f>SUMPRODUCT(Exposures!$B$10:$K$10,B866:K866)</f>
        <v/>
      </c>
    </row>
    <row r="867">
      <c r="A867" s="1" t="n">
        <v>43717</v>
      </c>
      <c r="B867" s="5" t="n">
        <v>0.002014137309911185</v>
      </c>
      <c r="C867" s="5" t="n">
        <v>0.001389684926521904</v>
      </c>
      <c r="D867" s="5" t="n">
        <v>0.002782206921644281</v>
      </c>
      <c r="E867" s="5" t="n">
        <v>0.001799932406870327</v>
      </c>
      <c r="F867" s="5" t="n">
        <v>-0.0101937497950563</v>
      </c>
      <c r="G867" s="5" t="n">
        <v>0.006803051879065037</v>
      </c>
      <c r="H867" s="5" t="n">
        <v>-0.01225356223594878</v>
      </c>
      <c r="I867" s="5" t="n">
        <v>-0.002906845509765412</v>
      </c>
      <c r="J867" s="5" t="n">
        <v>0.003683399535983796</v>
      </c>
      <c r="K867" s="5" t="n">
        <v>0.009018458914853767</v>
      </c>
      <c r="L867" s="5" t="n">
        <v>0.00964500008729522</v>
      </c>
      <c r="M867" s="5">
        <f>SUMPRODUCT(Exposures!$B$6:$K$6,B867:K867)</f>
        <v/>
      </c>
      <c r="N867" s="5">
        <f>IF(AND($A867&gt;=DATE(2020,2,1),$A867&lt;=DATE(2020,5,31)),$M867,"")</f>
        <v/>
      </c>
      <c r="O867" s="5">
        <f>IF(AND($A867&gt;=DATE(2022,1,1),$A867&lt;=DATE(2022,10,31)),$M867,"")</f>
        <v/>
      </c>
      <c r="P867" s="5">
        <f>IF(AND($A867&gt;=DATE(2018,10,1),$A867&lt;=DATE(2018,12,31)),$M867,"")</f>
        <v/>
      </c>
      <c r="Q867" s="5">
        <f>SUMPRODUCT(Exposures!$B$8:$K$8,B867:K867)</f>
        <v/>
      </c>
      <c r="R867" s="5">
        <f>SUMPRODUCT(Exposures!$B$9:$K$9,B867:K867)</f>
        <v/>
      </c>
      <c r="S867" s="5">
        <f>SUMPRODUCT(Exposures!$B$10:$K$10,B867:K867)</f>
        <v/>
      </c>
    </row>
    <row r="868">
      <c r="A868" s="1" t="n">
        <v>43718</v>
      </c>
      <c r="B868" s="5" t="n">
        <v>-0.0001136749648179497</v>
      </c>
      <c r="C868" s="5" t="n">
        <v>-0.003402556099555448</v>
      </c>
      <c r="D868" s="5" t="n">
        <v>-0.002226073774096831</v>
      </c>
      <c r="E868" s="5" t="n">
        <v>-0.000258483817105434</v>
      </c>
      <c r="F868" s="5" t="n">
        <v>0.0008974611248983499</v>
      </c>
      <c r="G868" s="5" t="n">
        <v>0.00948572181148781</v>
      </c>
      <c r="H868" s="5" t="n">
        <v>-0.01386297860016101</v>
      </c>
      <c r="I868" s="5" t="n">
        <v>-0.001558400953269382</v>
      </c>
      <c r="J868" s="5" t="n">
        <v>0.003098030503110338</v>
      </c>
      <c r="K868" s="5" t="n">
        <v>-0.00363658166102568</v>
      </c>
      <c r="L868" s="5" t="n">
        <v>0.002429340010483147</v>
      </c>
      <c r="M868" s="5">
        <f>SUMPRODUCT(Exposures!$B$6:$K$6,B868:K868)</f>
        <v/>
      </c>
      <c r="N868" s="5">
        <f>IF(AND($A868&gt;=DATE(2020,2,1),$A868&lt;=DATE(2020,5,31)),$M868,"")</f>
        <v/>
      </c>
      <c r="O868" s="5">
        <f>IF(AND($A868&gt;=DATE(2022,1,1),$A868&lt;=DATE(2022,10,31)),$M868,"")</f>
        <v/>
      </c>
      <c r="P868" s="5">
        <f>IF(AND($A868&gt;=DATE(2018,10,1),$A868&lt;=DATE(2018,12,31)),$M868,"")</f>
        <v/>
      </c>
      <c r="Q868" s="5">
        <f>SUMPRODUCT(Exposures!$B$8:$K$8,B868:K868)</f>
        <v/>
      </c>
      <c r="R868" s="5">
        <f>SUMPRODUCT(Exposures!$B$9:$K$9,B868:K868)</f>
        <v/>
      </c>
      <c r="S868" s="5">
        <f>SUMPRODUCT(Exposures!$B$10:$K$10,B868:K868)</f>
        <v/>
      </c>
    </row>
    <row r="869">
      <c r="A869" s="1" t="n">
        <v>43719</v>
      </c>
      <c r="B869" s="5" t="n">
        <v>0.001985369763869019</v>
      </c>
      <c r="C869" s="5" t="n">
        <v>-0.000446343364236061</v>
      </c>
      <c r="D869" s="5" t="n">
        <v>-0.004028870820631963</v>
      </c>
      <c r="E869" s="5" t="n">
        <v>-0.001605722905539206</v>
      </c>
      <c r="F869" s="5" t="n">
        <v>-0.00690338332671383</v>
      </c>
      <c r="G869" s="5" t="n">
        <v>0.01246956240795921</v>
      </c>
      <c r="H869" s="5" t="n">
        <v>-0.006100588565973991</v>
      </c>
      <c r="I869" s="5" t="n">
        <v>-0.001468006474591648</v>
      </c>
      <c r="J869" s="5" t="n">
        <v>0.001007132466356352</v>
      </c>
      <c r="K869" s="5" t="n">
        <v>0.005967860571331562</v>
      </c>
      <c r="L869" s="5" t="n">
        <v>-7.709739074487996e-05</v>
      </c>
      <c r="M869" s="5">
        <f>SUMPRODUCT(Exposures!$B$6:$K$6,B869:K869)</f>
        <v/>
      </c>
      <c r="N869" s="5">
        <f>IF(AND($A869&gt;=DATE(2020,2,1),$A869&lt;=DATE(2020,5,31)),$M869,"")</f>
        <v/>
      </c>
      <c r="O869" s="5">
        <f>IF(AND($A869&gt;=DATE(2022,1,1),$A869&lt;=DATE(2022,10,31)),$M869,"")</f>
        <v/>
      </c>
      <c r="P869" s="5">
        <f>IF(AND($A869&gt;=DATE(2018,10,1),$A869&lt;=DATE(2018,12,31)),$M869,"")</f>
        <v/>
      </c>
      <c r="Q869" s="5">
        <f>SUMPRODUCT(Exposures!$B$8:$K$8,B869:K869)</f>
        <v/>
      </c>
      <c r="R869" s="5">
        <f>SUMPRODUCT(Exposures!$B$9:$K$9,B869:K869)</f>
        <v/>
      </c>
      <c r="S869" s="5">
        <f>SUMPRODUCT(Exposures!$B$10:$K$10,B869:K869)</f>
        <v/>
      </c>
    </row>
    <row r="870">
      <c r="A870" s="1" t="n">
        <v>43720</v>
      </c>
      <c r="B870" s="5" t="n">
        <v>0.00291333859933935</v>
      </c>
      <c r="C870" s="5" t="n">
        <v>-0.0003381565590660455</v>
      </c>
      <c r="D870" s="5" t="n">
        <v>-0.001946344131305526</v>
      </c>
      <c r="E870" s="5" t="n">
        <v>-0.0005992874904652639</v>
      </c>
      <c r="F870" s="5" t="n">
        <v>-0.004096862307379462</v>
      </c>
      <c r="G870" s="5" t="n">
        <v>-0.0002611464809248411</v>
      </c>
      <c r="H870" s="5" t="n">
        <v>0.003606259941459417</v>
      </c>
      <c r="I870" s="5" t="n">
        <v>-0.0001976754955494998</v>
      </c>
      <c r="J870" s="5" t="n">
        <v>-0.00366854402613231</v>
      </c>
      <c r="K870" s="5" t="n">
        <v>0.005372798800255273</v>
      </c>
      <c r="L870" s="5" t="n">
        <v>0.002657436251534459</v>
      </c>
      <c r="M870" s="5">
        <f>SUMPRODUCT(Exposures!$B$6:$K$6,B870:K870)</f>
        <v/>
      </c>
      <c r="N870" s="5">
        <f>IF(AND($A870&gt;=DATE(2020,2,1),$A870&lt;=DATE(2020,5,31)),$M870,"")</f>
        <v/>
      </c>
      <c r="O870" s="5">
        <f>IF(AND($A870&gt;=DATE(2022,1,1),$A870&lt;=DATE(2022,10,31)),$M870,"")</f>
        <v/>
      </c>
      <c r="P870" s="5">
        <f>IF(AND($A870&gt;=DATE(2018,10,1),$A870&lt;=DATE(2018,12,31)),$M870,"")</f>
        <v/>
      </c>
      <c r="Q870" s="5">
        <f>SUMPRODUCT(Exposures!$B$8:$K$8,B870:K870)</f>
        <v/>
      </c>
      <c r="R870" s="5">
        <f>SUMPRODUCT(Exposures!$B$9:$K$9,B870:K870)</f>
        <v/>
      </c>
      <c r="S870" s="5">
        <f>SUMPRODUCT(Exposures!$B$10:$K$10,B870:K870)</f>
        <v/>
      </c>
    </row>
    <row r="871">
      <c r="A871" s="1" t="n">
        <v>43721</v>
      </c>
      <c r="B871" s="5" t="n">
        <v>0.003069433865876017</v>
      </c>
      <c r="C871" s="5" t="n">
        <v>-0.002206148149986811</v>
      </c>
      <c r="D871" s="5" t="n">
        <v>-0.0005217947855475748</v>
      </c>
      <c r="E871" s="5" t="n">
        <v>0.00047073626017116</v>
      </c>
      <c r="F871" s="5" t="n">
        <v>-0.001090324396235266</v>
      </c>
      <c r="G871" s="5" t="n">
        <v>0.002599637114788004</v>
      </c>
      <c r="H871" s="5" t="n">
        <v>-0.001764246457702127</v>
      </c>
      <c r="I871" s="5" t="n">
        <v>0.0003028716267338587</v>
      </c>
      <c r="J871" s="5" t="n">
        <v>-0.0005702180960495784</v>
      </c>
      <c r="K871" s="5" t="n">
        <v>8.63624802329311e-06</v>
      </c>
      <c r="L871" s="5" t="n">
        <v>0.003497604105253889</v>
      </c>
      <c r="M871" s="5">
        <f>SUMPRODUCT(Exposures!$B$6:$K$6,B871:K871)</f>
        <v/>
      </c>
      <c r="N871" s="5">
        <f>IF(AND($A871&gt;=DATE(2020,2,1),$A871&lt;=DATE(2020,5,31)),$M871,"")</f>
        <v/>
      </c>
      <c r="O871" s="5">
        <f>IF(AND($A871&gt;=DATE(2022,1,1),$A871&lt;=DATE(2022,10,31)),$M871,"")</f>
        <v/>
      </c>
      <c r="P871" s="5">
        <f>IF(AND($A871&gt;=DATE(2018,10,1),$A871&lt;=DATE(2018,12,31)),$M871,"")</f>
        <v/>
      </c>
      <c r="Q871" s="5">
        <f>SUMPRODUCT(Exposures!$B$8:$K$8,B871:K871)</f>
        <v/>
      </c>
      <c r="R871" s="5">
        <f>SUMPRODUCT(Exposures!$B$9:$K$9,B871:K871)</f>
        <v/>
      </c>
      <c r="S871" s="5">
        <f>SUMPRODUCT(Exposures!$B$10:$K$10,B871:K871)</f>
        <v/>
      </c>
    </row>
    <row r="872">
      <c r="A872" s="1" t="n">
        <v>43724</v>
      </c>
      <c r="B872" s="5" t="n">
        <v>-0.0002766892727641148</v>
      </c>
      <c r="C872" s="5" t="n">
        <v>-1.037076020338581e-05</v>
      </c>
      <c r="D872" s="5" t="n">
        <v>-0.0006903659684403386</v>
      </c>
      <c r="E872" s="5" t="n">
        <v>0.001263505615374883</v>
      </c>
      <c r="F872" s="5" t="n">
        <v>-0.001372784030334463</v>
      </c>
      <c r="G872" s="5" t="n">
        <v>0.000717571504919873</v>
      </c>
      <c r="H872" s="5" t="n">
        <v>0.004281221958331947</v>
      </c>
      <c r="I872" s="5" t="n">
        <v>0.000435052538405641</v>
      </c>
      <c r="J872" s="5" t="n">
        <v>0.006015204053384422</v>
      </c>
      <c r="K872" s="5" t="n">
        <v>0.0009877536875198742</v>
      </c>
      <c r="L872" s="5" t="n">
        <v>0.001725077328587472</v>
      </c>
      <c r="M872" s="5">
        <f>SUMPRODUCT(Exposures!$B$6:$K$6,B872:K872)</f>
        <v/>
      </c>
      <c r="N872" s="5">
        <f>IF(AND($A872&gt;=DATE(2020,2,1),$A872&lt;=DATE(2020,5,31)),$M872,"")</f>
        <v/>
      </c>
      <c r="O872" s="5">
        <f>IF(AND($A872&gt;=DATE(2022,1,1),$A872&lt;=DATE(2022,10,31)),$M872,"")</f>
        <v/>
      </c>
      <c r="P872" s="5">
        <f>IF(AND($A872&gt;=DATE(2018,10,1),$A872&lt;=DATE(2018,12,31)),$M872,"")</f>
        <v/>
      </c>
      <c r="Q872" s="5">
        <f>SUMPRODUCT(Exposures!$B$8:$K$8,B872:K872)</f>
        <v/>
      </c>
      <c r="R872" s="5">
        <f>SUMPRODUCT(Exposures!$B$9:$K$9,B872:K872)</f>
        <v/>
      </c>
      <c r="S872" s="5">
        <f>SUMPRODUCT(Exposures!$B$10:$K$10,B872:K872)</f>
        <v/>
      </c>
    </row>
    <row r="873">
      <c r="A873" s="1" t="n">
        <v>43725</v>
      </c>
      <c r="B873" s="5" t="n">
        <v>-0.003330481028257361</v>
      </c>
      <c r="C873" s="5" t="n">
        <v>0.0008086309120285211</v>
      </c>
      <c r="D873" s="5" t="n">
        <v>0.001634349909082277</v>
      </c>
      <c r="E873" s="5" t="n">
        <v>-0.0007388089619996565</v>
      </c>
      <c r="F873" s="5" t="n">
        <v>0.003398362819570258</v>
      </c>
      <c r="G873" s="5" t="n">
        <v>-0.0004955057755214574</v>
      </c>
      <c r="H873" s="5" t="n">
        <v>0.006054447248394234</v>
      </c>
      <c r="I873" s="5" t="n">
        <v>0.001193255183454868</v>
      </c>
      <c r="J873" s="5" t="n">
        <v>0.0001331884577140184</v>
      </c>
      <c r="K873" s="5" t="n">
        <v>-0.001082894069749678</v>
      </c>
      <c r="L873" s="5" t="n">
        <v>-0.001963786623329151</v>
      </c>
      <c r="M873" s="5">
        <f>SUMPRODUCT(Exposures!$B$6:$K$6,B873:K873)</f>
        <v/>
      </c>
      <c r="N873" s="5">
        <f>IF(AND($A873&gt;=DATE(2020,2,1),$A873&lt;=DATE(2020,5,31)),$M873,"")</f>
        <v/>
      </c>
      <c r="O873" s="5">
        <f>IF(AND($A873&gt;=DATE(2022,1,1),$A873&lt;=DATE(2022,10,31)),$M873,"")</f>
        <v/>
      </c>
      <c r="P873" s="5">
        <f>IF(AND($A873&gt;=DATE(2018,10,1),$A873&lt;=DATE(2018,12,31)),$M873,"")</f>
        <v/>
      </c>
      <c r="Q873" s="5">
        <f>SUMPRODUCT(Exposures!$B$8:$K$8,B873:K873)</f>
        <v/>
      </c>
      <c r="R873" s="5">
        <f>SUMPRODUCT(Exposures!$B$9:$K$9,B873:K873)</f>
        <v/>
      </c>
      <c r="S873" s="5">
        <f>SUMPRODUCT(Exposures!$B$10:$K$10,B873:K873)</f>
        <v/>
      </c>
    </row>
    <row r="874">
      <c r="A874" s="1" t="n">
        <v>43726</v>
      </c>
      <c r="B874" s="5" t="n">
        <v>-0.0001794343980848594</v>
      </c>
      <c r="C874" s="5" t="n">
        <v>0.0005608152631012038</v>
      </c>
      <c r="D874" s="5" t="n">
        <v>0.002275536616245249</v>
      </c>
      <c r="E874" s="5" t="n">
        <v>0.0004674492637354831</v>
      </c>
      <c r="F874" s="5" t="n">
        <v>-1.95680914197462e-05</v>
      </c>
      <c r="G874" s="5" t="n">
        <v>-0.002038312127580114</v>
      </c>
      <c r="H874" s="5" t="n">
        <v>0.002430566312017616</v>
      </c>
      <c r="I874" s="5" t="n">
        <v>-0.0004773872753497634</v>
      </c>
      <c r="J874" s="5" t="n">
        <v>-0.003986221138390614</v>
      </c>
      <c r="K874" s="5" t="n">
        <v>-0.0005285446404657441</v>
      </c>
      <c r="L874" s="5" t="n">
        <v>0.001246105723215007</v>
      </c>
      <c r="M874" s="5">
        <f>SUMPRODUCT(Exposures!$B$6:$K$6,B874:K874)</f>
        <v/>
      </c>
      <c r="N874" s="5">
        <f>IF(AND($A874&gt;=DATE(2020,2,1),$A874&lt;=DATE(2020,5,31)),$M874,"")</f>
        <v/>
      </c>
      <c r="O874" s="5">
        <f>IF(AND($A874&gt;=DATE(2022,1,1),$A874&lt;=DATE(2022,10,31)),$M874,"")</f>
        <v/>
      </c>
      <c r="P874" s="5">
        <f>IF(AND($A874&gt;=DATE(2018,10,1),$A874&lt;=DATE(2018,12,31)),$M874,"")</f>
        <v/>
      </c>
      <c r="Q874" s="5">
        <f>SUMPRODUCT(Exposures!$B$8:$K$8,B874:K874)</f>
        <v/>
      </c>
      <c r="R874" s="5">
        <f>SUMPRODUCT(Exposures!$B$9:$K$9,B874:K874)</f>
        <v/>
      </c>
      <c r="S874" s="5">
        <f>SUMPRODUCT(Exposures!$B$10:$K$10,B874:K874)</f>
        <v/>
      </c>
    </row>
    <row r="875">
      <c r="A875" s="1" t="n">
        <v>43727</v>
      </c>
      <c r="B875" s="5" t="n">
        <v>-0.001704839518067458</v>
      </c>
      <c r="C875" s="5" t="n">
        <v>-0.0005460609780537789</v>
      </c>
      <c r="D875" s="5" t="n">
        <v>0.001669250752099212</v>
      </c>
      <c r="E875" s="5" t="n">
        <v>-0.0005173801060445098</v>
      </c>
      <c r="F875" s="5" t="n">
        <v>-0.000755055572246684</v>
      </c>
      <c r="G875" s="5" t="n">
        <v>-0.001447550081314455</v>
      </c>
      <c r="H875" s="5" t="n">
        <v>-0.0006225315915933015</v>
      </c>
      <c r="I875" s="5" t="n">
        <v>0.000106878127557571</v>
      </c>
      <c r="J875" s="5" t="n">
        <v>0.0009866735776261999</v>
      </c>
      <c r="K875" s="5" t="n">
        <v>0.003494284557935334</v>
      </c>
      <c r="L875" s="5" t="n">
        <v>0.0006236454936323591</v>
      </c>
      <c r="M875" s="5">
        <f>SUMPRODUCT(Exposures!$B$6:$K$6,B875:K875)</f>
        <v/>
      </c>
      <c r="N875" s="5">
        <f>IF(AND($A875&gt;=DATE(2020,2,1),$A875&lt;=DATE(2020,5,31)),$M875,"")</f>
        <v/>
      </c>
      <c r="O875" s="5">
        <f>IF(AND($A875&gt;=DATE(2022,1,1),$A875&lt;=DATE(2022,10,31)),$M875,"")</f>
        <v/>
      </c>
      <c r="P875" s="5">
        <f>IF(AND($A875&gt;=DATE(2018,10,1),$A875&lt;=DATE(2018,12,31)),$M875,"")</f>
        <v/>
      </c>
      <c r="Q875" s="5">
        <f>SUMPRODUCT(Exposures!$B$8:$K$8,B875:K875)</f>
        <v/>
      </c>
      <c r="R875" s="5">
        <f>SUMPRODUCT(Exposures!$B$9:$K$9,B875:K875)</f>
        <v/>
      </c>
      <c r="S875" s="5">
        <f>SUMPRODUCT(Exposures!$B$10:$K$10,B875:K875)</f>
        <v/>
      </c>
    </row>
    <row r="876">
      <c r="A876" s="1" t="n">
        <v>43728</v>
      </c>
      <c r="B876" s="5" t="n">
        <v>-0.00434252894086392</v>
      </c>
      <c r="C876" s="5" t="n">
        <v>0.001853712502791021</v>
      </c>
      <c r="D876" s="5" t="n">
        <v>0.001093806247363934</v>
      </c>
      <c r="E876" s="5" t="n">
        <v>-0.001570623943375762</v>
      </c>
      <c r="F876" s="5" t="n">
        <v>-0.0002902758981788082</v>
      </c>
      <c r="G876" s="5" t="n">
        <v>-0.002941652977608029</v>
      </c>
      <c r="H876" s="5" t="n">
        <v>-0.002276126365569908</v>
      </c>
      <c r="I876" s="5" t="n">
        <v>0.0009247092078076515</v>
      </c>
      <c r="J876" s="5" t="n">
        <v>0.002125132979010022</v>
      </c>
      <c r="K876" s="5" t="n">
        <v>-8.748662891189078e-05</v>
      </c>
      <c r="L876" s="5" t="n">
        <v>-0.002011687838015904</v>
      </c>
      <c r="M876" s="5">
        <f>SUMPRODUCT(Exposures!$B$6:$K$6,B876:K876)</f>
        <v/>
      </c>
      <c r="N876" s="5">
        <f>IF(AND($A876&gt;=DATE(2020,2,1),$A876&lt;=DATE(2020,5,31)),$M876,"")</f>
        <v/>
      </c>
      <c r="O876" s="5">
        <f>IF(AND($A876&gt;=DATE(2022,1,1),$A876&lt;=DATE(2022,10,31)),$M876,"")</f>
        <v/>
      </c>
      <c r="P876" s="5">
        <f>IF(AND($A876&gt;=DATE(2018,10,1),$A876&lt;=DATE(2018,12,31)),$M876,"")</f>
        <v/>
      </c>
      <c r="Q876" s="5">
        <f>SUMPRODUCT(Exposures!$B$8:$K$8,B876:K876)</f>
        <v/>
      </c>
      <c r="R876" s="5">
        <f>SUMPRODUCT(Exposures!$B$9:$K$9,B876:K876)</f>
        <v/>
      </c>
      <c r="S876" s="5">
        <f>SUMPRODUCT(Exposures!$B$10:$K$10,B876:K876)</f>
        <v/>
      </c>
    </row>
    <row r="877">
      <c r="A877" s="1" t="n">
        <v>43731</v>
      </c>
      <c r="B877" s="5" t="n">
        <v>-0.0007351244943612735</v>
      </c>
      <c r="C877" s="5" t="n">
        <v>-0.002206062043214098</v>
      </c>
      <c r="D877" s="5" t="n">
        <v>-0.001671465910412365</v>
      </c>
      <c r="E877" s="5" t="n">
        <v>0.002398788937536443</v>
      </c>
      <c r="F877" s="5" t="n">
        <v>0.004245374482500128</v>
      </c>
      <c r="G877" s="5" t="n">
        <v>-0.0003046589944295558</v>
      </c>
      <c r="H877" s="5" t="n">
        <v>0.0008777807023046347</v>
      </c>
      <c r="I877" s="5" t="n">
        <v>0.000871117457516598</v>
      </c>
      <c r="J877" s="5" t="n">
        <v>-0.0007936986488977409</v>
      </c>
      <c r="K877" s="5" t="n">
        <v>-0.006135566327373012</v>
      </c>
      <c r="L877" s="5" t="n">
        <v>-0.0003037935403984442</v>
      </c>
      <c r="M877" s="5">
        <f>SUMPRODUCT(Exposures!$B$6:$K$6,B877:K877)</f>
        <v/>
      </c>
      <c r="N877" s="5">
        <f>IF(AND($A877&gt;=DATE(2020,2,1),$A877&lt;=DATE(2020,5,31)),$M877,"")</f>
        <v/>
      </c>
      <c r="O877" s="5">
        <f>IF(AND($A877&gt;=DATE(2022,1,1),$A877&lt;=DATE(2022,10,31)),$M877,"")</f>
        <v/>
      </c>
      <c r="P877" s="5">
        <f>IF(AND($A877&gt;=DATE(2018,10,1),$A877&lt;=DATE(2018,12,31)),$M877,"")</f>
        <v/>
      </c>
      <c r="Q877" s="5">
        <f>SUMPRODUCT(Exposures!$B$8:$K$8,B877:K877)</f>
        <v/>
      </c>
      <c r="R877" s="5">
        <f>SUMPRODUCT(Exposures!$B$9:$K$9,B877:K877)</f>
        <v/>
      </c>
      <c r="S877" s="5">
        <f>SUMPRODUCT(Exposures!$B$10:$K$10,B877:K877)</f>
        <v/>
      </c>
    </row>
    <row r="878">
      <c r="A878" s="1" t="n">
        <v>43732</v>
      </c>
      <c r="B878" s="5" t="n">
        <v>-0.005859336211858508</v>
      </c>
      <c r="C878" s="5" t="n">
        <v>-0.003320625430773577</v>
      </c>
      <c r="D878" s="5" t="n">
        <v>0.002772221192110749</v>
      </c>
      <c r="E878" s="5" t="n">
        <v>0.001058031403275016</v>
      </c>
      <c r="F878" s="5" t="n">
        <v>0.003211576279242712</v>
      </c>
      <c r="G878" s="5" t="n">
        <v>-0.01375631357346781</v>
      </c>
      <c r="H878" s="5" t="n">
        <v>0.0004371345624435594</v>
      </c>
      <c r="I878" s="5" t="n">
        <v>-0.0003732472944771202</v>
      </c>
      <c r="J878" s="5" t="n">
        <v>-0.006550146700371749</v>
      </c>
      <c r="K878" s="5" t="n">
        <v>-0.001750635670431093</v>
      </c>
      <c r="L878" s="5" t="n">
        <v>-0.001134964446997971</v>
      </c>
      <c r="M878" s="5">
        <f>SUMPRODUCT(Exposures!$B$6:$K$6,B878:K878)</f>
        <v/>
      </c>
      <c r="N878" s="5">
        <f>IF(AND($A878&gt;=DATE(2020,2,1),$A878&lt;=DATE(2020,5,31)),$M878,"")</f>
        <v/>
      </c>
      <c r="O878" s="5">
        <f>IF(AND($A878&gt;=DATE(2022,1,1),$A878&lt;=DATE(2022,10,31)),$M878,"")</f>
        <v/>
      </c>
      <c r="P878" s="5">
        <f>IF(AND($A878&gt;=DATE(2018,10,1),$A878&lt;=DATE(2018,12,31)),$M878,"")</f>
        <v/>
      </c>
      <c r="Q878" s="5">
        <f>SUMPRODUCT(Exposures!$B$8:$K$8,B878:K878)</f>
        <v/>
      </c>
      <c r="R878" s="5">
        <f>SUMPRODUCT(Exposures!$B$9:$K$9,B878:K878)</f>
        <v/>
      </c>
      <c r="S878" s="5">
        <f>SUMPRODUCT(Exposures!$B$10:$K$10,B878:K878)</f>
        <v/>
      </c>
    </row>
    <row r="879">
      <c r="A879" s="1" t="n">
        <v>43733</v>
      </c>
      <c r="B879" s="5" t="n">
        <v>0.005327838261327627</v>
      </c>
      <c r="C879" s="5" t="n">
        <v>-0.0003473914258121579</v>
      </c>
      <c r="D879" s="5" t="n">
        <v>0.00117133180217241</v>
      </c>
      <c r="E879" s="5" t="n">
        <v>-0.0003956380893196767</v>
      </c>
      <c r="F879" s="5" t="n">
        <v>-0.006181944711847754</v>
      </c>
      <c r="G879" s="5" t="n">
        <v>0.007384850977697542</v>
      </c>
      <c r="H879" s="5" t="n">
        <v>-0.002221047684430922</v>
      </c>
      <c r="I879" s="5" t="n">
        <v>-0.001082772738798765</v>
      </c>
      <c r="J879" s="5" t="n">
        <v>-0.001110381417883701</v>
      </c>
      <c r="K879" s="5" t="n">
        <v>0.005313716691256944</v>
      </c>
      <c r="L879" s="5" t="n">
        <v>0.002514745387892179</v>
      </c>
      <c r="M879" s="5">
        <f>SUMPRODUCT(Exposures!$B$6:$K$6,B879:K879)</f>
        <v/>
      </c>
      <c r="N879" s="5">
        <f>IF(AND($A879&gt;=DATE(2020,2,1),$A879&lt;=DATE(2020,5,31)),$M879,"")</f>
        <v/>
      </c>
      <c r="O879" s="5">
        <f>IF(AND($A879&gt;=DATE(2022,1,1),$A879&lt;=DATE(2022,10,31)),$M879,"")</f>
        <v/>
      </c>
      <c r="P879" s="5">
        <f>IF(AND($A879&gt;=DATE(2018,10,1),$A879&lt;=DATE(2018,12,31)),$M879,"")</f>
        <v/>
      </c>
      <c r="Q879" s="5">
        <f>SUMPRODUCT(Exposures!$B$8:$K$8,B879:K879)</f>
        <v/>
      </c>
      <c r="R879" s="5">
        <f>SUMPRODUCT(Exposures!$B$9:$K$9,B879:K879)</f>
        <v/>
      </c>
      <c r="S879" s="5">
        <f>SUMPRODUCT(Exposures!$B$10:$K$10,B879:K879)</f>
        <v/>
      </c>
    </row>
    <row r="880">
      <c r="A880" s="1" t="n">
        <v>43734</v>
      </c>
      <c r="B880" s="5" t="n">
        <v>-0.0005243565100375293</v>
      </c>
      <c r="C880" s="5" t="n">
        <v>-0.0002859741865058392</v>
      </c>
      <c r="D880" s="5" t="n">
        <v>-0.002907743984337182</v>
      </c>
      <c r="E880" s="5" t="n">
        <v>0.001749450567404849</v>
      </c>
      <c r="F880" s="5" t="n">
        <v>0.006653409113918075</v>
      </c>
      <c r="G880" s="5" t="n">
        <v>-0.009078879985787479</v>
      </c>
      <c r="H880" s="5" t="n">
        <v>0.0006523701066182029</v>
      </c>
      <c r="I880" s="5" t="n">
        <v>0.0001228225374649314</v>
      </c>
      <c r="J880" s="5" t="n">
        <v>-0.009379532455610642</v>
      </c>
      <c r="K880" s="5" t="n">
        <v>-0.006478054884676497</v>
      </c>
      <c r="L880" s="5" t="n">
        <v>-0.004672245616223798</v>
      </c>
      <c r="M880" s="5">
        <f>SUMPRODUCT(Exposures!$B$6:$K$6,B880:K880)</f>
        <v/>
      </c>
      <c r="N880" s="5">
        <f>IF(AND($A880&gt;=DATE(2020,2,1),$A880&lt;=DATE(2020,5,31)),$M880,"")</f>
        <v/>
      </c>
      <c r="O880" s="5">
        <f>IF(AND($A880&gt;=DATE(2022,1,1),$A880&lt;=DATE(2022,10,31)),$M880,"")</f>
        <v/>
      </c>
      <c r="P880" s="5">
        <f>IF(AND($A880&gt;=DATE(2018,10,1),$A880&lt;=DATE(2018,12,31)),$M880,"")</f>
        <v/>
      </c>
      <c r="Q880" s="5">
        <f>SUMPRODUCT(Exposures!$B$8:$K$8,B880:K880)</f>
        <v/>
      </c>
      <c r="R880" s="5">
        <f>SUMPRODUCT(Exposures!$B$9:$K$9,B880:K880)</f>
        <v/>
      </c>
      <c r="S880" s="5">
        <f>SUMPRODUCT(Exposures!$B$10:$K$10,B880:K880)</f>
        <v/>
      </c>
    </row>
    <row r="881">
      <c r="A881" s="1" t="n">
        <v>43735</v>
      </c>
      <c r="B881" s="5" t="n">
        <v>-0.003813331632283575</v>
      </c>
      <c r="C881" s="5" t="n">
        <v>-0.001143556142375955</v>
      </c>
      <c r="D881" s="5" t="n">
        <v>-0.001575000751581155</v>
      </c>
      <c r="E881" s="5" t="n">
        <v>0.001781626130229992</v>
      </c>
      <c r="F881" s="5" t="n">
        <v>0.001389028835184238</v>
      </c>
      <c r="G881" s="5" t="n">
        <v>-0.007423738801942808</v>
      </c>
      <c r="H881" s="5" t="n">
        <v>-0.005125513549978368</v>
      </c>
      <c r="I881" s="5" t="n">
        <v>0.000559380925975579</v>
      </c>
      <c r="J881" s="5" t="n">
        <v>-0.002523304446716644</v>
      </c>
      <c r="K881" s="5" t="n">
        <v>-0.004274505253148595</v>
      </c>
      <c r="L881" s="5" t="n">
        <v>-0.0004918028132828051</v>
      </c>
      <c r="M881" s="5">
        <f>SUMPRODUCT(Exposures!$B$6:$K$6,B881:K881)</f>
        <v/>
      </c>
      <c r="N881" s="5">
        <f>IF(AND($A881&gt;=DATE(2020,2,1),$A881&lt;=DATE(2020,5,31)),$M881,"")</f>
        <v/>
      </c>
      <c r="O881" s="5">
        <f>IF(AND($A881&gt;=DATE(2022,1,1),$A881&lt;=DATE(2022,10,31)),$M881,"")</f>
        <v/>
      </c>
      <c r="P881" s="5">
        <f>IF(AND($A881&gt;=DATE(2018,10,1),$A881&lt;=DATE(2018,12,31)),$M881,"")</f>
        <v/>
      </c>
      <c r="Q881" s="5">
        <f>SUMPRODUCT(Exposures!$B$8:$K$8,B881:K881)</f>
        <v/>
      </c>
      <c r="R881" s="5">
        <f>SUMPRODUCT(Exposures!$B$9:$K$9,B881:K881)</f>
        <v/>
      </c>
      <c r="S881" s="5">
        <f>SUMPRODUCT(Exposures!$B$10:$K$10,B881:K881)</f>
        <v/>
      </c>
    </row>
    <row r="882">
      <c r="A882" s="1" t="n">
        <v>43738</v>
      </c>
      <c r="B882" s="5" t="n">
        <v>-0.0005147970335150088</v>
      </c>
      <c r="C882" s="5" t="n">
        <v>0.0007640850707402583</v>
      </c>
      <c r="D882" s="5" t="n">
        <v>0.001559668983772336</v>
      </c>
      <c r="E882" s="5" t="n">
        <v>0.0003225887388626013</v>
      </c>
      <c r="F882" s="5" t="n">
        <v>0.008060235437309073</v>
      </c>
      <c r="G882" s="5" t="n">
        <v>0.002941254938622136</v>
      </c>
      <c r="H882" s="5" t="n">
        <v>-0.001679565911666329</v>
      </c>
      <c r="I882" s="5" t="n">
        <v>0.001187851395014369</v>
      </c>
      <c r="J882" s="5" t="n">
        <v>-0.001898312939669239</v>
      </c>
      <c r="K882" s="5" t="n">
        <v>-0.007954859031614116</v>
      </c>
      <c r="L882" s="5" t="n">
        <v>-0.003538155604110551</v>
      </c>
      <c r="M882" s="5">
        <f>SUMPRODUCT(Exposures!$B$6:$K$6,B882:K882)</f>
        <v/>
      </c>
      <c r="N882" s="5">
        <f>IF(AND($A882&gt;=DATE(2020,2,1),$A882&lt;=DATE(2020,5,31)),$M882,"")</f>
        <v/>
      </c>
      <c r="O882" s="5">
        <f>IF(AND($A882&gt;=DATE(2022,1,1),$A882&lt;=DATE(2022,10,31)),$M882,"")</f>
        <v/>
      </c>
      <c r="P882" s="5">
        <f>IF(AND($A882&gt;=DATE(2018,10,1),$A882&lt;=DATE(2018,12,31)),$M882,"")</f>
        <v/>
      </c>
      <c r="Q882" s="5">
        <f>SUMPRODUCT(Exposures!$B$8:$K$8,B882:K882)</f>
        <v/>
      </c>
      <c r="R882" s="5">
        <f>SUMPRODUCT(Exposures!$B$9:$K$9,B882:K882)</f>
        <v/>
      </c>
      <c r="S882" s="5">
        <f>SUMPRODUCT(Exposures!$B$10:$K$10,B882:K882)</f>
        <v/>
      </c>
    </row>
    <row r="883">
      <c r="A883" s="1" t="n">
        <v>43739</v>
      </c>
      <c r="B883" s="5" t="n">
        <v>-0.004499144712459749</v>
      </c>
      <c r="C883" s="5" t="n">
        <v>0.0007963625644703419</v>
      </c>
      <c r="D883" s="5" t="n">
        <v>0.001922802004253707</v>
      </c>
      <c r="E883" s="5" t="n">
        <v>-0.000123841367810314</v>
      </c>
      <c r="F883" s="5" t="n">
        <v>0.003531564097412223</v>
      </c>
      <c r="G883" s="5" t="n">
        <v>-0.01459388419110692</v>
      </c>
      <c r="H883" s="5" t="n">
        <v>0.002057020695523639</v>
      </c>
      <c r="I883" s="5" t="n">
        <v>-0.001883173464298576</v>
      </c>
      <c r="J883" s="5" t="n">
        <v>0.003997195652375541</v>
      </c>
      <c r="K883" s="5" t="n">
        <v>0.001335115508181662</v>
      </c>
      <c r="L883" s="5" t="n">
        <v>-0.001705987502804149</v>
      </c>
      <c r="M883" s="5">
        <f>SUMPRODUCT(Exposures!$B$6:$K$6,B883:K883)</f>
        <v/>
      </c>
      <c r="N883" s="5">
        <f>IF(AND($A883&gt;=DATE(2020,2,1),$A883&lt;=DATE(2020,5,31)),$M883,"")</f>
        <v/>
      </c>
      <c r="O883" s="5">
        <f>IF(AND($A883&gt;=DATE(2022,1,1),$A883&lt;=DATE(2022,10,31)),$M883,"")</f>
        <v/>
      </c>
      <c r="P883" s="5">
        <f>IF(AND($A883&gt;=DATE(2018,10,1),$A883&lt;=DATE(2018,12,31)),$M883,"")</f>
        <v/>
      </c>
      <c r="Q883" s="5">
        <f>SUMPRODUCT(Exposures!$B$8:$K$8,B883:K883)</f>
        <v/>
      </c>
      <c r="R883" s="5">
        <f>SUMPRODUCT(Exposures!$B$9:$K$9,B883:K883)</f>
        <v/>
      </c>
      <c r="S883" s="5">
        <f>SUMPRODUCT(Exposures!$B$10:$K$10,B883:K883)</f>
        <v/>
      </c>
    </row>
    <row r="884">
      <c r="A884" s="1" t="n">
        <v>43740</v>
      </c>
      <c r="B884" s="5" t="n">
        <v>-0.002178108193965991</v>
      </c>
      <c r="C884" s="5" t="n">
        <v>-0.002022106963143091</v>
      </c>
      <c r="D884" s="5" t="n">
        <v>0.0006493103920466611</v>
      </c>
      <c r="E884" s="5" t="n">
        <v>-0.001820003959150492</v>
      </c>
      <c r="F884" s="5" t="n">
        <v>-0.001114398199921851</v>
      </c>
      <c r="G884" s="5" t="n">
        <v>-0.01409611972507344</v>
      </c>
      <c r="H884" s="5" t="n">
        <v>0.004586474995299655</v>
      </c>
      <c r="I884" s="5" t="n">
        <v>0.001803841101303336</v>
      </c>
      <c r="J884" s="5" t="n">
        <v>0.005745285206352597</v>
      </c>
      <c r="K884" s="5" t="n">
        <v>-0.0009044438910422801</v>
      </c>
      <c r="L884" s="5" t="n">
        <v>0.002336044424743625</v>
      </c>
      <c r="M884" s="5">
        <f>SUMPRODUCT(Exposures!$B$6:$K$6,B884:K884)</f>
        <v/>
      </c>
      <c r="N884" s="5">
        <f>IF(AND($A884&gt;=DATE(2020,2,1),$A884&lt;=DATE(2020,5,31)),$M884,"")</f>
        <v/>
      </c>
      <c r="O884" s="5">
        <f>IF(AND($A884&gt;=DATE(2022,1,1),$A884&lt;=DATE(2022,10,31)),$M884,"")</f>
        <v/>
      </c>
      <c r="P884" s="5">
        <f>IF(AND($A884&gt;=DATE(2018,10,1),$A884&lt;=DATE(2018,12,31)),$M884,"")</f>
        <v/>
      </c>
      <c r="Q884" s="5">
        <f>SUMPRODUCT(Exposures!$B$8:$K$8,B884:K884)</f>
        <v/>
      </c>
      <c r="R884" s="5">
        <f>SUMPRODUCT(Exposures!$B$9:$K$9,B884:K884)</f>
        <v/>
      </c>
      <c r="S884" s="5">
        <f>SUMPRODUCT(Exposures!$B$10:$K$10,B884:K884)</f>
        <v/>
      </c>
    </row>
    <row r="885">
      <c r="A885" s="1" t="n">
        <v>43741</v>
      </c>
      <c r="B885" s="5" t="n">
        <v>0.001970459801499882</v>
      </c>
      <c r="C885" s="5" t="n">
        <v>-0.000895929010176871</v>
      </c>
      <c r="D885" s="5" t="n">
        <v>0.003198627402108331</v>
      </c>
      <c r="E885" s="5" t="n">
        <v>-0.0004584523596988548</v>
      </c>
      <c r="F885" s="5" t="n">
        <v>0.006276636488298574</v>
      </c>
      <c r="G885" s="5" t="n">
        <v>0.006167997303439616</v>
      </c>
      <c r="H885" s="5" t="n">
        <v>0.003156202591440236</v>
      </c>
      <c r="I885" s="5" t="n">
        <v>0.001526194317010339</v>
      </c>
      <c r="J885" s="5" t="n">
        <v>9.00526961260876e-05</v>
      </c>
      <c r="K885" s="5" t="n">
        <v>-0.004659463764777222</v>
      </c>
      <c r="L885" s="5" t="n">
        <v>-0.002674995649075035</v>
      </c>
      <c r="M885" s="5">
        <f>SUMPRODUCT(Exposures!$B$6:$K$6,B885:K885)</f>
        <v/>
      </c>
      <c r="N885" s="5">
        <f>IF(AND($A885&gt;=DATE(2020,2,1),$A885&lt;=DATE(2020,5,31)),$M885,"")</f>
        <v/>
      </c>
      <c r="O885" s="5">
        <f>IF(AND($A885&gt;=DATE(2022,1,1),$A885&lt;=DATE(2022,10,31)),$M885,"")</f>
        <v/>
      </c>
      <c r="P885" s="5">
        <f>IF(AND($A885&gt;=DATE(2018,10,1),$A885&lt;=DATE(2018,12,31)),$M885,"")</f>
        <v/>
      </c>
      <c r="Q885" s="5">
        <f>SUMPRODUCT(Exposures!$B$8:$K$8,B885:K885)</f>
        <v/>
      </c>
      <c r="R885" s="5">
        <f>SUMPRODUCT(Exposures!$B$9:$K$9,B885:K885)</f>
        <v/>
      </c>
      <c r="S885" s="5">
        <f>SUMPRODUCT(Exposures!$B$10:$K$10,B885:K885)</f>
        <v/>
      </c>
    </row>
    <row r="886">
      <c r="A886" s="1" t="n">
        <v>43742</v>
      </c>
      <c r="B886" s="5" t="n">
        <v>0.001649323930205789</v>
      </c>
      <c r="C886" s="5" t="n">
        <v>0.001432443123973866</v>
      </c>
      <c r="D886" s="5" t="n">
        <v>0.003530034283595455</v>
      </c>
      <c r="E886" s="5" t="n">
        <v>1.010556405198794e-05</v>
      </c>
      <c r="F886" s="5" t="n">
        <v>-0.004027416035719</v>
      </c>
      <c r="G886" s="5" t="n">
        <v>0.0100186123490768</v>
      </c>
      <c r="H886" s="5" t="n">
        <v>0.002071422743897447</v>
      </c>
      <c r="I886" s="5" t="n">
        <v>0.001762340887104163</v>
      </c>
      <c r="J886" s="5" t="n">
        <v>-0.002980446447738169</v>
      </c>
      <c r="K886" s="5" t="n">
        <v>0.004117584002626302</v>
      </c>
      <c r="L886" s="5" t="n">
        <v>-4.046323164418926e-05</v>
      </c>
      <c r="M886" s="5">
        <f>SUMPRODUCT(Exposures!$B$6:$K$6,B886:K886)</f>
        <v/>
      </c>
      <c r="N886" s="5">
        <f>IF(AND($A886&gt;=DATE(2020,2,1),$A886&lt;=DATE(2020,5,31)),$M886,"")</f>
        <v/>
      </c>
      <c r="O886" s="5">
        <f>IF(AND($A886&gt;=DATE(2022,1,1),$A886&lt;=DATE(2022,10,31)),$M886,"")</f>
        <v/>
      </c>
      <c r="P886" s="5">
        <f>IF(AND($A886&gt;=DATE(2018,10,1),$A886&lt;=DATE(2018,12,31)),$M886,"")</f>
        <v/>
      </c>
      <c r="Q886" s="5">
        <f>SUMPRODUCT(Exposures!$B$8:$K$8,B886:K886)</f>
        <v/>
      </c>
      <c r="R886" s="5">
        <f>SUMPRODUCT(Exposures!$B$9:$K$9,B886:K886)</f>
        <v/>
      </c>
      <c r="S886" s="5">
        <f>SUMPRODUCT(Exposures!$B$10:$K$10,B886:K886)</f>
        <v/>
      </c>
    </row>
    <row r="887">
      <c r="A887" s="1" t="n">
        <v>43745</v>
      </c>
      <c r="B887" s="5" t="n">
        <v>-0.001215470510717017</v>
      </c>
      <c r="C887" s="5" t="n">
        <v>0.0004849158378381762</v>
      </c>
      <c r="D887" s="5" t="n">
        <v>-0.0003340734175971744</v>
      </c>
      <c r="E887" s="5" t="n">
        <v>-0.0002777799387153892</v>
      </c>
      <c r="F887" s="5" t="n">
        <v>0.0004975425508760712</v>
      </c>
      <c r="G887" s="5" t="n">
        <v>-0.002456856476855695</v>
      </c>
      <c r="H887" s="5" t="n">
        <v>-0.0006064063709072523</v>
      </c>
      <c r="I887" s="5" t="n">
        <v>0.001983449825053368</v>
      </c>
      <c r="J887" s="5" t="n">
        <v>0.002320085650065696</v>
      </c>
      <c r="K887" s="5" t="n">
        <v>-0.001727078513791322</v>
      </c>
      <c r="L887" s="5" t="n">
        <v>-0.001798457653792585</v>
      </c>
      <c r="M887" s="5">
        <f>SUMPRODUCT(Exposures!$B$6:$K$6,B887:K887)</f>
        <v/>
      </c>
      <c r="N887" s="5">
        <f>IF(AND($A887&gt;=DATE(2020,2,1),$A887&lt;=DATE(2020,5,31)),$M887,"")</f>
        <v/>
      </c>
      <c r="O887" s="5">
        <f>IF(AND($A887&gt;=DATE(2022,1,1),$A887&lt;=DATE(2022,10,31)),$M887,"")</f>
        <v/>
      </c>
      <c r="P887" s="5">
        <f>IF(AND($A887&gt;=DATE(2018,10,1),$A887&lt;=DATE(2018,12,31)),$M887,"")</f>
        <v/>
      </c>
      <c r="Q887" s="5">
        <f>SUMPRODUCT(Exposures!$B$8:$K$8,B887:K887)</f>
        <v/>
      </c>
      <c r="R887" s="5">
        <f>SUMPRODUCT(Exposures!$B$9:$K$9,B887:K887)</f>
        <v/>
      </c>
      <c r="S887" s="5">
        <f>SUMPRODUCT(Exposures!$B$10:$K$10,B887:K887)</f>
        <v/>
      </c>
    </row>
    <row r="888">
      <c r="A888" s="1" t="n">
        <v>43746</v>
      </c>
      <c r="B888" s="5" t="n">
        <v>-0.006261391505510521</v>
      </c>
      <c r="C888" s="5" t="n">
        <v>-0.0002179333632651043</v>
      </c>
      <c r="D888" s="5" t="n">
        <v>0.005667305382011081</v>
      </c>
      <c r="E888" s="5" t="n">
        <v>0.0001464980574508442</v>
      </c>
      <c r="F888" s="5" t="n">
        <v>0.006140164818915297</v>
      </c>
      <c r="G888" s="5" t="n">
        <v>-0.01834629927457977</v>
      </c>
      <c r="H888" s="5" t="n">
        <v>0.001971039096241095</v>
      </c>
      <c r="I888" s="5" t="n">
        <v>0.0008677665071038457</v>
      </c>
      <c r="J888" s="5" t="n">
        <v>0.002117316465356964</v>
      </c>
      <c r="K888" s="5" t="n">
        <v>-0.005241378711593924</v>
      </c>
      <c r="L888" s="5" t="n">
        <v>-0.002963347605099878</v>
      </c>
      <c r="M888" s="5">
        <f>SUMPRODUCT(Exposures!$B$6:$K$6,B888:K888)</f>
        <v/>
      </c>
      <c r="N888" s="5">
        <f>IF(AND($A888&gt;=DATE(2020,2,1),$A888&lt;=DATE(2020,5,31)),$M888,"")</f>
        <v/>
      </c>
      <c r="O888" s="5">
        <f>IF(AND($A888&gt;=DATE(2022,1,1),$A888&lt;=DATE(2022,10,31)),$M888,"")</f>
        <v/>
      </c>
      <c r="P888" s="5">
        <f>IF(AND($A888&gt;=DATE(2018,10,1),$A888&lt;=DATE(2018,12,31)),$M888,"")</f>
        <v/>
      </c>
      <c r="Q888" s="5">
        <f>SUMPRODUCT(Exposures!$B$8:$K$8,B888:K888)</f>
        <v/>
      </c>
      <c r="R888" s="5">
        <f>SUMPRODUCT(Exposures!$B$9:$K$9,B888:K888)</f>
        <v/>
      </c>
      <c r="S888" s="5">
        <f>SUMPRODUCT(Exposures!$B$10:$K$10,B888:K888)</f>
        <v/>
      </c>
    </row>
    <row r="889">
      <c r="A889" s="1" t="n">
        <v>43747</v>
      </c>
      <c r="B889" s="5" t="n">
        <v>0.00391382165834067</v>
      </c>
      <c r="C889" s="5" t="n">
        <v>0.001128619364088992</v>
      </c>
      <c r="D889" s="5" t="n">
        <v>0.0004908952790302336</v>
      </c>
      <c r="E889" s="5" t="n">
        <v>-0.001149049085767283</v>
      </c>
      <c r="F889" s="5" t="n">
        <v>0.001134462839929709</v>
      </c>
      <c r="G889" s="5" t="n">
        <v>0.009071402456419965</v>
      </c>
      <c r="H889" s="5" t="n">
        <v>0.003014472970987539</v>
      </c>
      <c r="I889" s="5" t="n">
        <v>0.0005782472755931664</v>
      </c>
      <c r="J889" s="5" t="n">
        <v>-0.0004323097577792056</v>
      </c>
      <c r="K889" s="5" t="n">
        <v>-0.001254469034255101</v>
      </c>
      <c r="L889" s="5" t="n">
        <v>0.0006123130407680952</v>
      </c>
      <c r="M889" s="5">
        <f>SUMPRODUCT(Exposures!$B$6:$K$6,B889:K889)</f>
        <v/>
      </c>
      <c r="N889" s="5">
        <f>IF(AND($A889&gt;=DATE(2020,2,1),$A889&lt;=DATE(2020,5,31)),$M889,"")</f>
        <v/>
      </c>
      <c r="O889" s="5">
        <f>IF(AND($A889&gt;=DATE(2022,1,1),$A889&lt;=DATE(2022,10,31)),$M889,"")</f>
        <v/>
      </c>
      <c r="P889" s="5">
        <f>IF(AND($A889&gt;=DATE(2018,10,1),$A889&lt;=DATE(2018,12,31)),$M889,"")</f>
        <v/>
      </c>
      <c r="Q889" s="5">
        <f>SUMPRODUCT(Exposures!$B$8:$K$8,B889:K889)</f>
        <v/>
      </c>
      <c r="R889" s="5">
        <f>SUMPRODUCT(Exposures!$B$9:$K$9,B889:K889)</f>
        <v/>
      </c>
      <c r="S889" s="5">
        <f>SUMPRODUCT(Exposures!$B$10:$K$10,B889:K889)</f>
        <v/>
      </c>
    </row>
    <row r="890">
      <c r="A890" s="1" t="n">
        <v>43748</v>
      </c>
      <c r="B890" s="5" t="n">
        <v>0.0001709969605479156</v>
      </c>
      <c r="C890" s="5" t="n">
        <v>0.0001375197332767225</v>
      </c>
      <c r="D890" s="5" t="n">
        <v>-0.002225261150834926</v>
      </c>
      <c r="E890" s="5" t="n">
        <v>0.001175198770280382</v>
      </c>
      <c r="F890" s="5" t="n">
        <v>-0.001092854575098354</v>
      </c>
      <c r="G890" s="5" t="n">
        <v>0.005670823673526704</v>
      </c>
      <c r="H890" s="5" t="n">
        <v>-0.003054404927941359</v>
      </c>
      <c r="I890" s="5" t="n">
        <v>-0.001810273007607258</v>
      </c>
      <c r="J890" s="5" t="n">
        <v>0.0003179703656719892</v>
      </c>
      <c r="K890" s="5" t="n">
        <v>0.002852142658506999</v>
      </c>
      <c r="L890" s="5" t="n">
        <v>0.003502244310928129</v>
      </c>
      <c r="M890" s="5">
        <f>SUMPRODUCT(Exposures!$B$6:$K$6,B890:K890)</f>
        <v/>
      </c>
      <c r="N890" s="5">
        <f>IF(AND($A890&gt;=DATE(2020,2,1),$A890&lt;=DATE(2020,5,31)),$M890,"")</f>
        <v/>
      </c>
      <c r="O890" s="5">
        <f>IF(AND($A890&gt;=DATE(2022,1,1),$A890&lt;=DATE(2022,10,31)),$M890,"")</f>
        <v/>
      </c>
      <c r="P890" s="5">
        <f>IF(AND($A890&gt;=DATE(2018,10,1),$A890&lt;=DATE(2018,12,31)),$M890,"")</f>
        <v/>
      </c>
      <c r="Q890" s="5">
        <f>SUMPRODUCT(Exposures!$B$8:$K$8,B890:K890)</f>
        <v/>
      </c>
      <c r="R890" s="5">
        <f>SUMPRODUCT(Exposures!$B$9:$K$9,B890:K890)</f>
        <v/>
      </c>
      <c r="S890" s="5">
        <f>SUMPRODUCT(Exposures!$B$10:$K$10,B890:K890)</f>
        <v/>
      </c>
    </row>
    <row r="891">
      <c r="A891" s="1" t="n">
        <v>43749</v>
      </c>
      <c r="B891" s="5" t="n">
        <v>0.008992458763013815</v>
      </c>
      <c r="C891" s="5" t="n">
        <v>0.001806876899114527</v>
      </c>
      <c r="D891" s="5" t="n">
        <v>-0.008014402055899119</v>
      </c>
      <c r="E891" s="5" t="n">
        <v>0.001550147223092989</v>
      </c>
      <c r="F891" s="5" t="n">
        <v>-0.002259042140037412</v>
      </c>
      <c r="G891" s="5" t="n">
        <v>0.01559674799857903</v>
      </c>
      <c r="H891" s="5" t="n">
        <v>-0.004893768249953273</v>
      </c>
      <c r="I891" s="5" t="n">
        <v>-0.001014527772730632</v>
      </c>
      <c r="J891" s="5" t="n">
        <v>0.001077642906872505</v>
      </c>
      <c r="K891" s="5" t="n">
        <v>-0.0001608312207977787</v>
      </c>
      <c r="L891" s="5" t="n">
        <v>0.0007698066059052507</v>
      </c>
      <c r="M891" s="5">
        <f>SUMPRODUCT(Exposures!$B$6:$K$6,B891:K891)</f>
        <v/>
      </c>
      <c r="N891" s="5">
        <f>IF(AND($A891&gt;=DATE(2020,2,1),$A891&lt;=DATE(2020,5,31)),$M891,"")</f>
        <v/>
      </c>
      <c r="O891" s="5">
        <f>IF(AND($A891&gt;=DATE(2022,1,1),$A891&lt;=DATE(2022,10,31)),$M891,"")</f>
        <v/>
      </c>
      <c r="P891" s="5">
        <f>IF(AND($A891&gt;=DATE(2018,10,1),$A891&lt;=DATE(2018,12,31)),$M891,"")</f>
        <v/>
      </c>
      <c r="Q891" s="5">
        <f>SUMPRODUCT(Exposures!$B$8:$K$8,B891:K891)</f>
        <v/>
      </c>
      <c r="R891" s="5">
        <f>SUMPRODUCT(Exposures!$B$9:$K$9,B891:K891)</f>
        <v/>
      </c>
      <c r="S891" s="5">
        <f>SUMPRODUCT(Exposures!$B$10:$K$10,B891:K891)</f>
        <v/>
      </c>
    </row>
    <row r="892">
      <c r="A892" s="1" t="n">
        <v>43752</v>
      </c>
      <c r="B892" s="5" t="n">
        <v>0.0007965645536304122</v>
      </c>
      <c r="C892" s="5" t="n">
        <v>-0.0004287435035041936</v>
      </c>
      <c r="D892" s="5" t="n">
        <v>0.0005838928527510691</v>
      </c>
      <c r="E892" s="5" t="n">
        <v>0.001197508858962925</v>
      </c>
      <c r="F892" s="5" t="n">
        <v>0.004428029316442082</v>
      </c>
      <c r="G892" s="5" t="n">
        <v>-0.003525675933080792</v>
      </c>
      <c r="H892" s="5" t="n">
        <v>0.001086102885661632</v>
      </c>
      <c r="I892" s="5" t="n">
        <v>-0.0001651314294922926</v>
      </c>
      <c r="J892" s="5" t="n">
        <v>0.00101450198984858</v>
      </c>
      <c r="K892" s="5" t="n">
        <v>-0.00173722356971737</v>
      </c>
      <c r="L892" s="5" t="n">
        <v>-0.0001026877373492424</v>
      </c>
      <c r="M892" s="5">
        <f>SUMPRODUCT(Exposures!$B$6:$K$6,B892:K892)</f>
        <v/>
      </c>
      <c r="N892" s="5">
        <f>IF(AND($A892&gt;=DATE(2020,2,1),$A892&lt;=DATE(2020,5,31)),$M892,"")</f>
        <v/>
      </c>
      <c r="O892" s="5">
        <f>IF(AND($A892&gt;=DATE(2022,1,1),$A892&lt;=DATE(2022,10,31)),$M892,"")</f>
        <v/>
      </c>
      <c r="P892" s="5">
        <f>IF(AND($A892&gt;=DATE(2018,10,1),$A892&lt;=DATE(2018,12,31)),$M892,"")</f>
        <v/>
      </c>
      <c r="Q892" s="5">
        <f>SUMPRODUCT(Exposures!$B$8:$K$8,B892:K892)</f>
        <v/>
      </c>
      <c r="R892" s="5">
        <f>SUMPRODUCT(Exposures!$B$9:$K$9,B892:K892)</f>
        <v/>
      </c>
      <c r="S892" s="5">
        <f>SUMPRODUCT(Exposures!$B$10:$K$10,B892:K892)</f>
        <v/>
      </c>
    </row>
    <row r="893">
      <c r="A893" s="1" t="n">
        <v>43753</v>
      </c>
      <c r="B893" s="5" t="n">
        <v>0.0031677575441005</v>
      </c>
      <c r="C893" s="5" t="n">
        <v>-0.0001126286567553819</v>
      </c>
      <c r="D893" s="5" t="n">
        <v>0.0006559619607640128</v>
      </c>
      <c r="E893" s="5" t="n">
        <v>-0.0004212498680064658</v>
      </c>
      <c r="F893" s="5" t="n">
        <v>-0.00249903932906496</v>
      </c>
      <c r="G893" s="5" t="n">
        <v>0.01120469102924531</v>
      </c>
      <c r="H893" s="5" t="n">
        <v>-0.001032242162414814</v>
      </c>
      <c r="I893" s="5" t="n">
        <v>0.002366695961251938</v>
      </c>
      <c r="J893" s="5" t="n">
        <v>0.004324723127834557</v>
      </c>
      <c r="K893" s="5" t="n">
        <v>0.002959940600133209</v>
      </c>
      <c r="L893" s="5" t="n">
        <v>0.004718918127657897</v>
      </c>
      <c r="M893" s="5">
        <f>SUMPRODUCT(Exposures!$B$6:$K$6,B893:K893)</f>
        <v/>
      </c>
      <c r="N893" s="5">
        <f>IF(AND($A893&gt;=DATE(2020,2,1),$A893&lt;=DATE(2020,5,31)),$M893,"")</f>
        <v/>
      </c>
      <c r="O893" s="5">
        <f>IF(AND($A893&gt;=DATE(2022,1,1),$A893&lt;=DATE(2022,10,31)),$M893,"")</f>
        <v/>
      </c>
      <c r="P893" s="5">
        <f>IF(AND($A893&gt;=DATE(2018,10,1),$A893&lt;=DATE(2018,12,31)),$M893,"")</f>
        <v/>
      </c>
      <c r="Q893" s="5">
        <f>SUMPRODUCT(Exposures!$B$8:$K$8,B893:K893)</f>
        <v/>
      </c>
      <c r="R893" s="5">
        <f>SUMPRODUCT(Exposures!$B$9:$K$9,B893:K893)</f>
        <v/>
      </c>
      <c r="S893" s="5">
        <f>SUMPRODUCT(Exposures!$B$10:$K$10,B893:K893)</f>
        <v/>
      </c>
    </row>
    <row r="894">
      <c r="A894" s="1" t="n">
        <v>43754</v>
      </c>
      <c r="B894" s="5" t="n">
        <v>-0.006489316482618483</v>
      </c>
      <c r="C894" s="5" t="n">
        <v>0.00181753487327352</v>
      </c>
      <c r="D894" s="5" t="n">
        <v>8.7131064406513e-05</v>
      </c>
      <c r="E894" s="5" t="n">
        <v>0.001476447608726417</v>
      </c>
      <c r="F894" s="5" t="n">
        <v>0.00277016924999168</v>
      </c>
      <c r="G894" s="5" t="n">
        <v>0.001166478087242798</v>
      </c>
      <c r="H894" s="5" t="n">
        <v>-0.001839601450219613</v>
      </c>
      <c r="I894" s="5" t="n">
        <v>-0.0002041940917716459</v>
      </c>
      <c r="J894" s="5" t="n">
        <v>0.006020407383516101</v>
      </c>
      <c r="K894" s="5" t="n">
        <v>-0.002532448194177362</v>
      </c>
      <c r="L894" s="5" t="n">
        <v>5.041081391339342e-05</v>
      </c>
      <c r="M894" s="5">
        <f>SUMPRODUCT(Exposures!$B$6:$K$6,B894:K894)</f>
        <v/>
      </c>
      <c r="N894" s="5">
        <f>IF(AND($A894&gt;=DATE(2020,2,1),$A894&lt;=DATE(2020,5,31)),$M894,"")</f>
        <v/>
      </c>
      <c r="O894" s="5">
        <f>IF(AND($A894&gt;=DATE(2022,1,1),$A894&lt;=DATE(2022,10,31)),$M894,"")</f>
        <v/>
      </c>
      <c r="P894" s="5">
        <f>IF(AND($A894&gt;=DATE(2018,10,1),$A894&lt;=DATE(2018,12,31)),$M894,"")</f>
        <v/>
      </c>
      <c r="Q894" s="5">
        <f>SUMPRODUCT(Exposures!$B$8:$K$8,B894:K894)</f>
        <v/>
      </c>
      <c r="R894" s="5">
        <f>SUMPRODUCT(Exposures!$B$9:$K$9,B894:K894)</f>
        <v/>
      </c>
      <c r="S894" s="5">
        <f>SUMPRODUCT(Exposures!$B$10:$K$10,B894:K894)</f>
        <v/>
      </c>
    </row>
    <row r="895">
      <c r="A895" s="1" t="n">
        <v>43755</v>
      </c>
      <c r="B895" s="5" t="n">
        <v>-0.002337781509723155</v>
      </c>
      <c r="C895" s="5" t="n">
        <v>0.001387965201738521</v>
      </c>
      <c r="D895" s="5" t="n">
        <v>0.0006035438382290772</v>
      </c>
      <c r="E895" s="5" t="n">
        <v>-0.0003731134287822147</v>
      </c>
      <c r="F895" s="5" t="n">
        <v>-0.005719516435994346</v>
      </c>
      <c r="G895" s="5" t="n">
        <v>0.007034624680383573</v>
      </c>
      <c r="H895" s="5" t="n">
        <v>-0.0002001844936056442</v>
      </c>
      <c r="I895" s="5" t="n">
        <v>-0.002664667031102394</v>
      </c>
      <c r="J895" s="5" t="n">
        <v>0.005653912850632016</v>
      </c>
      <c r="K895" s="5" t="n">
        <v>0.009221502550976273</v>
      </c>
      <c r="L895" s="5" t="n">
        <v>-0.0005528861755091263</v>
      </c>
      <c r="M895" s="5">
        <f>SUMPRODUCT(Exposures!$B$6:$K$6,B895:K895)</f>
        <v/>
      </c>
      <c r="N895" s="5">
        <f>IF(AND($A895&gt;=DATE(2020,2,1),$A895&lt;=DATE(2020,5,31)),$M895,"")</f>
        <v/>
      </c>
      <c r="O895" s="5">
        <f>IF(AND($A895&gt;=DATE(2022,1,1),$A895&lt;=DATE(2022,10,31)),$M895,"")</f>
        <v/>
      </c>
      <c r="P895" s="5">
        <f>IF(AND($A895&gt;=DATE(2018,10,1),$A895&lt;=DATE(2018,12,31)),$M895,"")</f>
        <v/>
      </c>
      <c r="Q895" s="5">
        <f>SUMPRODUCT(Exposures!$B$8:$K$8,B895:K895)</f>
        <v/>
      </c>
      <c r="R895" s="5">
        <f>SUMPRODUCT(Exposures!$B$9:$K$9,B895:K895)</f>
        <v/>
      </c>
      <c r="S895" s="5">
        <f>SUMPRODUCT(Exposures!$B$10:$K$10,B895:K895)</f>
        <v/>
      </c>
    </row>
    <row r="896">
      <c r="A896" s="1" t="n">
        <v>43756</v>
      </c>
      <c r="B896" s="5" t="n">
        <v>-0.003233760741124518</v>
      </c>
      <c r="C896" s="5" t="n">
        <v>-0.002056932909396432</v>
      </c>
      <c r="D896" s="5" t="n">
        <v>-0.002080022416822698</v>
      </c>
      <c r="E896" s="5" t="n">
        <v>-0.0007470335031778761</v>
      </c>
      <c r="F896" s="5" t="n">
        <v>-0.009622059532956072</v>
      </c>
      <c r="G896" s="5" t="n">
        <v>-0.001825330292735604</v>
      </c>
      <c r="H896" s="5" t="n">
        <v>-0.001751666121074185</v>
      </c>
      <c r="I896" s="5" t="n">
        <v>-0.00538505569435734</v>
      </c>
      <c r="J896" s="5" t="n">
        <v>-0.0004012322919091328</v>
      </c>
      <c r="K896" s="5" t="n">
        <v>0.01318491775748525</v>
      </c>
      <c r="L896" s="5" t="n">
        <v>0.002929467608452999</v>
      </c>
      <c r="M896" s="5">
        <f>SUMPRODUCT(Exposures!$B$6:$K$6,B896:K896)</f>
        <v/>
      </c>
      <c r="N896" s="5">
        <f>IF(AND($A896&gt;=DATE(2020,2,1),$A896&lt;=DATE(2020,5,31)),$M896,"")</f>
        <v/>
      </c>
      <c r="O896" s="5">
        <f>IF(AND($A896&gt;=DATE(2022,1,1),$A896&lt;=DATE(2022,10,31)),$M896,"")</f>
        <v/>
      </c>
      <c r="P896" s="5">
        <f>IF(AND($A896&gt;=DATE(2018,10,1),$A896&lt;=DATE(2018,12,31)),$M896,"")</f>
        <v/>
      </c>
      <c r="Q896" s="5">
        <f>SUMPRODUCT(Exposures!$B$8:$K$8,B896:K896)</f>
        <v/>
      </c>
      <c r="R896" s="5">
        <f>SUMPRODUCT(Exposures!$B$9:$K$9,B896:K896)</f>
        <v/>
      </c>
      <c r="S896" s="5">
        <f>SUMPRODUCT(Exposures!$B$10:$K$10,B896:K896)</f>
        <v/>
      </c>
    </row>
    <row r="897">
      <c r="A897" s="1" t="n">
        <v>43759</v>
      </c>
      <c r="B897" s="5" t="n">
        <v>0.002752757827460529</v>
      </c>
      <c r="C897" s="5" t="n">
        <v>0.001514972034514254</v>
      </c>
      <c r="D897" s="5" t="n">
        <v>-0.004222211037685367</v>
      </c>
      <c r="E897" s="5" t="n">
        <v>0.0001468642701451345</v>
      </c>
      <c r="F897" s="5" t="n">
        <v>0.007051843642890353</v>
      </c>
      <c r="G897" s="5" t="n">
        <v>0.006625397965369174</v>
      </c>
      <c r="H897" s="5" t="n">
        <v>0.003115881239224657</v>
      </c>
      <c r="I897" s="5" t="n">
        <v>0.003446265090419322</v>
      </c>
      <c r="J897" s="5" t="n">
        <v>0.002153851886986331</v>
      </c>
      <c r="K897" s="5" t="n">
        <v>-0.01074723278975285</v>
      </c>
      <c r="L897" s="5" t="n">
        <v>0.001113798291741522</v>
      </c>
      <c r="M897" s="5">
        <f>SUMPRODUCT(Exposures!$B$6:$K$6,B897:K897)</f>
        <v/>
      </c>
      <c r="N897" s="5">
        <f>IF(AND($A897&gt;=DATE(2020,2,1),$A897&lt;=DATE(2020,5,31)),$M897,"")</f>
        <v/>
      </c>
      <c r="O897" s="5">
        <f>IF(AND($A897&gt;=DATE(2022,1,1),$A897&lt;=DATE(2022,10,31)),$M897,"")</f>
        <v/>
      </c>
      <c r="P897" s="5">
        <f>IF(AND($A897&gt;=DATE(2018,10,1),$A897&lt;=DATE(2018,12,31)),$M897,"")</f>
        <v/>
      </c>
      <c r="Q897" s="5">
        <f>SUMPRODUCT(Exposures!$B$8:$K$8,B897:K897)</f>
        <v/>
      </c>
      <c r="R897" s="5">
        <f>SUMPRODUCT(Exposures!$B$9:$K$9,B897:K897)</f>
        <v/>
      </c>
      <c r="S897" s="5">
        <f>SUMPRODUCT(Exposures!$B$10:$K$10,B897:K897)</f>
        <v/>
      </c>
    </row>
    <row r="898">
      <c r="A898" s="1" t="n">
        <v>43760</v>
      </c>
      <c r="B898" s="5" t="n">
        <v>-0.01393175363271507</v>
      </c>
      <c r="C898" s="5" t="n">
        <v>0.003007049470163226</v>
      </c>
      <c r="D898" s="5" t="n">
        <v>-0.003027193969825662</v>
      </c>
      <c r="E898" s="5" t="n">
        <v>-0.0001527235553743589</v>
      </c>
      <c r="F898" s="5" t="n">
        <v>0.007811233445552504</v>
      </c>
      <c r="G898" s="5" t="n">
        <v>0.001328583690096761</v>
      </c>
      <c r="H898" s="5" t="n">
        <v>-0.01577351366653697</v>
      </c>
      <c r="I898" s="5" t="n">
        <v>-0.0008953104239971398</v>
      </c>
      <c r="J898" s="5" t="n">
        <v>0.01087562142156878</v>
      </c>
      <c r="K898" s="5" t="n">
        <v>-1.074141790161423e-06</v>
      </c>
      <c r="L898" s="5" t="n">
        <v>-0.001880407536339404</v>
      </c>
      <c r="M898" s="5">
        <f>SUMPRODUCT(Exposures!$B$6:$K$6,B898:K898)</f>
        <v/>
      </c>
      <c r="N898" s="5">
        <f>IF(AND($A898&gt;=DATE(2020,2,1),$A898&lt;=DATE(2020,5,31)),$M898,"")</f>
        <v/>
      </c>
      <c r="O898" s="5">
        <f>IF(AND($A898&gt;=DATE(2022,1,1),$A898&lt;=DATE(2022,10,31)),$M898,"")</f>
        <v/>
      </c>
      <c r="P898" s="5">
        <f>IF(AND($A898&gt;=DATE(2018,10,1),$A898&lt;=DATE(2018,12,31)),$M898,"")</f>
        <v/>
      </c>
      <c r="Q898" s="5">
        <f>SUMPRODUCT(Exposures!$B$8:$K$8,B898:K898)</f>
        <v/>
      </c>
      <c r="R898" s="5">
        <f>SUMPRODUCT(Exposures!$B$9:$K$9,B898:K898)</f>
        <v/>
      </c>
      <c r="S898" s="5">
        <f>SUMPRODUCT(Exposures!$B$10:$K$10,B898:K898)</f>
        <v/>
      </c>
    </row>
    <row r="899">
      <c r="A899" s="1" t="n">
        <v>43761</v>
      </c>
      <c r="B899" s="5" t="n">
        <v>-0.001470442606728598</v>
      </c>
      <c r="C899" s="5" t="n">
        <v>-0.001261686163725743</v>
      </c>
      <c r="D899" s="5" t="n">
        <v>9.241949315603109e-05</v>
      </c>
      <c r="E899" s="5" t="n">
        <v>0.0006613807023790176</v>
      </c>
      <c r="F899" s="5" t="n">
        <v>-0.00185834053427057</v>
      </c>
      <c r="G899" s="5" t="n">
        <v>0.002820534708734761</v>
      </c>
      <c r="H899" s="5" t="n">
        <v>-0.004104750891734571</v>
      </c>
      <c r="I899" s="5" t="n">
        <v>-0.002444405537918027</v>
      </c>
      <c r="J899" s="5" t="n">
        <v>-0.0008960138302928648</v>
      </c>
      <c r="K899" s="5" t="n">
        <v>0.003972768260937985</v>
      </c>
      <c r="L899" s="5" t="n">
        <v>0.0001852131890483115</v>
      </c>
      <c r="M899" s="5">
        <f>SUMPRODUCT(Exposures!$B$6:$K$6,B899:K899)</f>
        <v/>
      </c>
      <c r="N899" s="5">
        <f>IF(AND($A899&gt;=DATE(2020,2,1),$A899&lt;=DATE(2020,5,31)),$M899,"")</f>
        <v/>
      </c>
      <c r="O899" s="5">
        <f>IF(AND($A899&gt;=DATE(2022,1,1),$A899&lt;=DATE(2022,10,31)),$M899,"")</f>
        <v/>
      </c>
      <c r="P899" s="5">
        <f>IF(AND($A899&gt;=DATE(2018,10,1),$A899&lt;=DATE(2018,12,31)),$M899,"")</f>
        <v/>
      </c>
      <c r="Q899" s="5">
        <f>SUMPRODUCT(Exposures!$B$8:$K$8,B899:K899)</f>
        <v/>
      </c>
      <c r="R899" s="5">
        <f>SUMPRODUCT(Exposures!$B$9:$K$9,B899:K899)</f>
        <v/>
      </c>
      <c r="S899" s="5">
        <f>SUMPRODUCT(Exposures!$B$10:$K$10,B899:K899)</f>
        <v/>
      </c>
    </row>
    <row r="900">
      <c r="A900" s="1" t="n">
        <v>43762</v>
      </c>
      <c r="B900" s="5" t="n">
        <v>0.001766679675930417</v>
      </c>
      <c r="C900" s="5" t="n">
        <v>0.0006686496807446513</v>
      </c>
      <c r="D900" s="5" t="n">
        <v>0.0009961113135037883</v>
      </c>
      <c r="E900" s="5" t="n">
        <v>-0.002633159775702271</v>
      </c>
      <c r="F900" s="5" t="n">
        <v>0.009820173097513525</v>
      </c>
      <c r="G900" s="5" t="n">
        <v>0.001402089186933752</v>
      </c>
      <c r="H900" s="5" t="n">
        <v>0.005460533688008777</v>
      </c>
      <c r="I900" s="5" t="n">
        <v>-0.0006333089128384576</v>
      </c>
      <c r="J900" s="5" t="n">
        <v>0.003048023970565727</v>
      </c>
      <c r="K900" s="5" t="n">
        <v>-0.00723061779218858</v>
      </c>
      <c r="L900" s="5" t="n">
        <v>-0.003312173981344543</v>
      </c>
      <c r="M900" s="5">
        <f>SUMPRODUCT(Exposures!$B$6:$K$6,B900:K900)</f>
        <v/>
      </c>
      <c r="N900" s="5">
        <f>IF(AND($A900&gt;=DATE(2020,2,1),$A900&lt;=DATE(2020,5,31)),$M900,"")</f>
        <v/>
      </c>
      <c r="O900" s="5">
        <f>IF(AND($A900&gt;=DATE(2022,1,1),$A900&lt;=DATE(2022,10,31)),$M900,"")</f>
        <v/>
      </c>
      <c r="P900" s="5">
        <f>IF(AND($A900&gt;=DATE(2018,10,1),$A900&lt;=DATE(2018,12,31)),$M900,"")</f>
        <v/>
      </c>
      <c r="Q900" s="5">
        <f>SUMPRODUCT(Exposures!$B$8:$K$8,B900:K900)</f>
        <v/>
      </c>
      <c r="R900" s="5">
        <f>SUMPRODUCT(Exposures!$B$9:$K$9,B900:K900)</f>
        <v/>
      </c>
      <c r="S900" s="5">
        <f>SUMPRODUCT(Exposures!$B$10:$K$10,B900:K900)</f>
        <v/>
      </c>
    </row>
    <row r="901">
      <c r="A901" s="1" t="n">
        <v>43763</v>
      </c>
      <c r="B901" s="5" t="n">
        <v>0.004853862521771495</v>
      </c>
      <c r="C901" s="5" t="n">
        <v>0.001613751829079083</v>
      </c>
      <c r="D901" s="5" t="n">
        <v>-0.004370813885294363</v>
      </c>
      <c r="E901" s="5" t="n">
        <v>-0.001604179410684587</v>
      </c>
      <c r="F901" s="5" t="n">
        <v>-0.002313308242224056</v>
      </c>
      <c r="G901" s="5" t="n">
        <v>0.005464208658246105</v>
      </c>
      <c r="H901" s="5" t="n">
        <v>0.001348044280189346</v>
      </c>
      <c r="I901" s="5" t="n">
        <v>0.0006038599659023802</v>
      </c>
      <c r="J901" s="5" t="n">
        <v>0.002885471647532225</v>
      </c>
      <c r="K901" s="5" t="n">
        <v>0.002111735930056392</v>
      </c>
      <c r="L901" s="5" t="n">
        <v>0.0002830676222985404</v>
      </c>
      <c r="M901" s="5">
        <f>SUMPRODUCT(Exposures!$B$6:$K$6,B901:K901)</f>
        <v/>
      </c>
      <c r="N901" s="5">
        <f>IF(AND($A901&gt;=DATE(2020,2,1),$A901&lt;=DATE(2020,5,31)),$M901,"")</f>
        <v/>
      </c>
      <c r="O901" s="5">
        <f>IF(AND($A901&gt;=DATE(2022,1,1),$A901&lt;=DATE(2022,10,31)),$M901,"")</f>
        <v/>
      </c>
      <c r="P901" s="5">
        <f>IF(AND($A901&gt;=DATE(2018,10,1),$A901&lt;=DATE(2018,12,31)),$M901,"")</f>
        <v/>
      </c>
      <c r="Q901" s="5">
        <f>SUMPRODUCT(Exposures!$B$8:$K$8,B901:K901)</f>
        <v/>
      </c>
      <c r="R901" s="5">
        <f>SUMPRODUCT(Exposures!$B$9:$K$9,B901:K901)</f>
        <v/>
      </c>
      <c r="S901" s="5">
        <f>SUMPRODUCT(Exposures!$B$10:$K$10,B901:K901)</f>
        <v/>
      </c>
    </row>
    <row r="902">
      <c r="A902" s="1" t="n">
        <v>43766</v>
      </c>
      <c r="B902" s="5" t="n">
        <v>0.005505009837741619</v>
      </c>
      <c r="C902" s="5" t="n">
        <v>0.002276163558184412</v>
      </c>
      <c r="D902" s="5" t="n">
        <v>0.00279829820791716</v>
      </c>
      <c r="E902" s="5" t="n">
        <v>-0.0001634133196187792</v>
      </c>
      <c r="F902" s="5" t="n">
        <v>-0.00324856788374141</v>
      </c>
      <c r="G902" s="5" t="n">
        <v>0.007135252010065952</v>
      </c>
      <c r="H902" s="5" t="n">
        <v>-0.001460555604311277</v>
      </c>
      <c r="I902" s="5" t="n">
        <v>0.0006789186101250986</v>
      </c>
      <c r="J902" s="5" t="n">
        <v>0.003432085686682422</v>
      </c>
      <c r="K902" s="5" t="n">
        <v>0.003315387758697782</v>
      </c>
      <c r="L902" s="5" t="n">
        <v>0.001052278924915729</v>
      </c>
      <c r="M902" s="5">
        <f>SUMPRODUCT(Exposures!$B$6:$K$6,B902:K902)</f>
        <v/>
      </c>
      <c r="N902" s="5">
        <f>IF(AND($A902&gt;=DATE(2020,2,1),$A902&lt;=DATE(2020,5,31)),$M902,"")</f>
        <v/>
      </c>
      <c r="O902" s="5">
        <f>IF(AND($A902&gt;=DATE(2022,1,1),$A902&lt;=DATE(2022,10,31)),$M902,"")</f>
        <v/>
      </c>
      <c r="P902" s="5">
        <f>IF(AND($A902&gt;=DATE(2018,10,1),$A902&lt;=DATE(2018,12,31)),$M902,"")</f>
        <v/>
      </c>
      <c r="Q902" s="5">
        <f>SUMPRODUCT(Exposures!$B$8:$K$8,B902:K902)</f>
        <v/>
      </c>
      <c r="R902" s="5">
        <f>SUMPRODUCT(Exposures!$B$9:$K$9,B902:K902)</f>
        <v/>
      </c>
      <c r="S902" s="5">
        <f>SUMPRODUCT(Exposures!$B$10:$K$10,B902:K902)</f>
        <v/>
      </c>
    </row>
    <row r="903">
      <c r="A903" s="1" t="n">
        <v>43767</v>
      </c>
      <c r="B903" s="5" t="n">
        <v>-0.002686525730488772</v>
      </c>
      <c r="C903" s="5" t="n">
        <v>-0.0006405597462382042</v>
      </c>
      <c r="D903" s="5" t="n">
        <v>0.005067467710401421</v>
      </c>
      <c r="E903" s="5" t="n">
        <v>0.002855415547873</v>
      </c>
      <c r="F903" s="5" t="n">
        <v>-0.005924421910384351</v>
      </c>
      <c r="G903" s="5" t="n">
        <v>0.0007902459965246039</v>
      </c>
      <c r="H903" s="5" t="n">
        <v>-0.0001815185764285381</v>
      </c>
      <c r="I903" s="5" t="n">
        <v>0.0008630624929425897</v>
      </c>
      <c r="J903" s="5" t="n">
        <v>-0.0005539844382303744</v>
      </c>
      <c r="K903" s="5" t="n">
        <v>0.00447460079202013</v>
      </c>
      <c r="L903" s="5" t="n">
        <v>-0.002255247649017948</v>
      </c>
      <c r="M903" s="5">
        <f>SUMPRODUCT(Exposures!$B$6:$K$6,B903:K903)</f>
        <v/>
      </c>
      <c r="N903" s="5">
        <f>IF(AND($A903&gt;=DATE(2020,2,1),$A903&lt;=DATE(2020,5,31)),$M903,"")</f>
        <v/>
      </c>
      <c r="O903" s="5">
        <f>IF(AND($A903&gt;=DATE(2022,1,1),$A903&lt;=DATE(2022,10,31)),$M903,"")</f>
        <v/>
      </c>
      <c r="P903" s="5">
        <f>IF(AND($A903&gt;=DATE(2018,10,1),$A903&lt;=DATE(2018,12,31)),$M903,"")</f>
        <v/>
      </c>
      <c r="Q903" s="5">
        <f>SUMPRODUCT(Exposures!$B$8:$K$8,B903:K903)</f>
        <v/>
      </c>
      <c r="R903" s="5">
        <f>SUMPRODUCT(Exposures!$B$9:$K$9,B903:K903)</f>
        <v/>
      </c>
      <c r="S903" s="5">
        <f>SUMPRODUCT(Exposures!$B$10:$K$10,B903:K903)</f>
        <v/>
      </c>
    </row>
    <row r="904">
      <c r="A904" s="1" t="n">
        <v>43768</v>
      </c>
      <c r="B904" s="5" t="n">
        <v>-0.003051101497398704</v>
      </c>
      <c r="C904" s="5" t="n">
        <v>0.0002945532219682459</v>
      </c>
      <c r="D904" s="5" t="n">
        <v>0.001471307980578878</v>
      </c>
      <c r="E904" s="5" t="n">
        <v>-0.001412984745867287</v>
      </c>
      <c r="F904" s="5" t="n">
        <v>0.003159808228095331</v>
      </c>
      <c r="G904" s="5" t="n">
        <v>-0.001906953131394433</v>
      </c>
      <c r="H904" s="5" t="n">
        <v>0.005327651884174173</v>
      </c>
      <c r="I904" s="5" t="n">
        <v>0.001053016111457408</v>
      </c>
      <c r="J904" s="5" t="n">
        <v>0.001348635270331748</v>
      </c>
      <c r="K904" s="5" t="n">
        <v>0.0004663948416698243</v>
      </c>
      <c r="L904" s="5" t="n">
        <v>-0.001324430676093493</v>
      </c>
      <c r="M904" s="5">
        <f>SUMPRODUCT(Exposures!$B$6:$K$6,B904:K904)</f>
        <v/>
      </c>
      <c r="N904" s="5">
        <f>IF(AND($A904&gt;=DATE(2020,2,1),$A904&lt;=DATE(2020,5,31)),$M904,"")</f>
        <v/>
      </c>
      <c r="O904" s="5">
        <f>IF(AND($A904&gt;=DATE(2022,1,1),$A904&lt;=DATE(2022,10,31)),$M904,"")</f>
        <v/>
      </c>
      <c r="P904" s="5">
        <f>IF(AND($A904&gt;=DATE(2018,10,1),$A904&lt;=DATE(2018,12,31)),$M904,"")</f>
        <v/>
      </c>
      <c r="Q904" s="5">
        <f>SUMPRODUCT(Exposures!$B$8:$K$8,B904:K904)</f>
        <v/>
      </c>
      <c r="R904" s="5">
        <f>SUMPRODUCT(Exposures!$B$9:$K$9,B904:K904)</f>
        <v/>
      </c>
      <c r="S904" s="5">
        <f>SUMPRODUCT(Exposures!$B$10:$K$10,B904:K904)</f>
        <v/>
      </c>
    </row>
    <row r="905">
      <c r="A905" s="1" t="n">
        <v>43769</v>
      </c>
      <c r="B905" s="5" t="n">
        <v>0.001060014618834919</v>
      </c>
      <c r="C905" s="5" t="n">
        <v>-0.0001647797683255873</v>
      </c>
      <c r="D905" s="5" t="n">
        <v>-0.005825551936440348</v>
      </c>
      <c r="E905" s="5" t="n">
        <v>-0.002618068446779606</v>
      </c>
      <c r="F905" s="5" t="n">
        <v>0.001897625462987088</v>
      </c>
      <c r="G905" s="5" t="n">
        <v>-0.003942914680165538</v>
      </c>
      <c r="H905" s="5" t="n">
        <v>0.004259189694115244</v>
      </c>
      <c r="I905" s="5" t="n">
        <v>0.002694184655006536</v>
      </c>
      <c r="J905" s="5" t="n">
        <v>-0.0010389061093202</v>
      </c>
      <c r="K905" s="5" t="n">
        <v>-0.004111781485199206</v>
      </c>
      <c r="L905" s="5" t="n">
        <v>0.00182077010938666</v>
      </c>
      <c r="M905" s="5">
        <f>SUMPRODUCT(Exposures!$B$6:$K$6,B905:K905)</f>
        <v/>
      </c>
      <c r="N905" s="5">
        <f>IF(AND($A905&gt;=DATE(2020,2,1),$A905&lt;=DATE(2020,5,31)),$M905,"")</f>
        <v/>
      </c>
      <c r="O905" s="5">
        <f>IF(AND($A905&gt;=DATE(2022,1,1),$A905&lt;=DATE(2022,10,31)),$M905,"")</f>
        <v/>
      </c>
      <c r="P905" s="5">
        <f>IF(AND($A905&gt;=DATE(2018,10,1),$A905&lt;=DATE(2018,12,31)),$M905,"")</f>
        <v/>
      </c>
      <c r="Q905" s="5">
        <f>SUMPRODUCT(Exposures!$B$8:$K$8,B905:K905)</f>
        <v/>
      </c>
      <c r="R905" s="5">
        <f>SUMPRODUCT(Exposures!$B$9:$K$9,B905:K905)</f>
        <v/>
      </c>
      <c r="S905" s="5">
        <f>SUMPRODUCT(Exposures!$B$10:$K$10,B905:K905)</f>
        <v/>
      </c>
    </row>
    <row r="906">
      <c r="A906" s="1" t="n">
        <v>43770</v>
      </c>
      <c r="B906" s="5" t="n">
        <v>0.01039272339280697</v>
      </c>
      <c r="C906" s="5" t="n">
        <v>0.0004475639675042883</v>
      </c>
      <c r="D906" s="5" t="n">
        <v>0.003290886464195425</v>
      </c>
      <c r="E906" s="5" t="n">
        <v>0.001790810491099219</v>
      </c>
      <c r="F906" s="5" t="n">
        <v>-0.007596984843271615</v>
      </c>
      <c r="G906" s="5" t="n">
        <v>0.01783621357019727</v>
      </c>
      <c r="H906" s="5" t="n">
        <v>0.0004682793689745595</v>
      </c>
      <c r="I906" s="5" t="n">
        <v>-0.0001335443965649204</v>
      </c>
      <c r="J906" s="5" t="n">
        <v>0.004665929548552796</v>
      </c>
      <c r="K906" s="5" t="n">
        <v>0.002051270584254512</v>
      </c>
      <c r="L906" s="5" t="n">
        <v>0.0007395479856016898</v>
      </c>
      <c r="M906" s="5">
        <f>SUMPRODUCT(Exposures!$B$6:$K$6,B906:K906)</f>
        <v/>
      </c>
      <c r="N906" s="5">
        <f>IF(AND($A906&gt;=DATE(2020,2,1),$A906&lt;=DATE(2020,5,31)),$M906,"")</f>
        <v/>
      </c>
      <c r="O906" s="5">
        <f>IF(AND($A906&gt;=DATE(2022,1,1),$A906&lt;=DATE(2022,10,31)),$M906,"")</f>
        <v/>
      </c>
      <c r="P906" s="5">
        <f>IF(AND($A906&gt;=DATE(2018,10,1),$A906&lt;=DATE(2018,12,31)),$M906,"")</f>
        <v/>
      </c>
      <c r="Q906" s="5">
        <f>SUMPRODUCT(Exposures!$B$8:$K$8,B906:K906)</f>
        <v/>
      </c>
      <c r="R906" s="5">
        <f>SUMPRODUCT(Exposures!$B$9:$K$9,B906:K906)</f>
        <v/>
      </c>
      <c r="S906" s="5">
        <f>SUMPRODUCT(Exposures!$B$10:$K$10,B906:K906)</f>
        <v/>
      </c>
    </row>
    <row r="907">
      <c r="A907" s="1" t="n">
        <v>43773</v>
      </c>
      <c r="B907" s="5" t="n">
        <v>0.008485837501752953</v>
      </c>
      <c r="C907" s="5" t="n">
        <v>0.0004593596294445923</v>
      </c>
      <c r="D907" s="5" t="n">
        <v>0.000369725059574683</v>
      </c>
      <c r="E907" s="5" t="n">
        <v>-0.0004573785192512065</v>
      </c>
      <c r="F907" s="5" t="n">
        <v>-0.002626165916375601</v>
      </c>
      <c r="G907" s="5" t="n">
        <v>0.005510789405036114</v>
      </c>
      <c r="H907" s="5" t="n">
        <v>-0.003727754225205171</v>
      </c>
      <c r="I907" s="5" t="n">
        <v>-0.0001445787163814535</v>
      </c>
      <c r="J907" s="5" t="n">
        <v>-0.0006188923424940563</v>
      </c>
      <c r="K907" s="5" t="n">
        <v>0.003032027144606794</v>
      </c>
      <c r="L907" s="5" t="n">
        <v>0.005002736561603293</v>
      </c>
      <c r="M907" s="5">
        <f>SUMPRODUCT(Exposures!$B$6:$K$6,B907:K907)</f>
        <v/>
      </c>
      <c r="N907" s="5">
        <f>IF(AND($A907&gt;=DATE(2020,2,1),$A907&lt;=DATE(2020,5,31)),$M907,"")</f>
        <v/>
      </c>
      <c r="O907" s="5">
        <f>IF(AND($A907&gt;=DATE(2022,1,1),$A907&lt;=DATE(2022,10,31)),$M907,"")</f>
        <v/>
      </c>
      <c r="P907" s="5">
        <f>IF(AND($A907&gt;=DATE(2018,10,1),$A907&lt;=DATE(2018,12,31)),$M907,"")</f>
        <v/>
      </c>
      <c r="Q907" s="5">
        <f>SUMPRODUCT(Exposures!$B$8:$K$8,B907:K907)</f>
        <v/>
      </c>
      <c r="R907" s="5">
        <f>SUMPRODUCT(Exposures!$B$9:$K$9,B907:K907)</f>
        <v/>
      </c>
      <c r="S907" s="5">
        <f>SUMPRODUCT(Exposures!$B$10:$K$10,B907:K907)</f>
        <v/>
      </c>
    </row>
    <row r="908">
      <c r="A908" s="1" t="n">
        <v>43774</v>
      </c>
      <c r="B908" s="5" t="n">
        <v>0.004111440973677135</v>
      </c>
      <c r="C908" s="5" t="n">
        <v>0.003285934841416917</v>
      </c>
      <c r="D908" s="5" t="n">
        <v>0.001584708732814645</v>
      </c>
      <c r="E908" s="5" t="n">
        <v>-0.001978862295673137</v>
      </c>
      <c r="F908" s="5" t="n">
        <v>-0.001268006073943506</v>
      </c>
      <c r="G908" s="5" t="n">
        <v>0.001114708062950407</v>
      </c>
      <c r="H908" s="5" t="n">
        <v>-0.004018434586968704</v>
      </c>
      <c r="I908" s="5" t="n">
        <v>-0.001751962489190405</v>
      </c>
      <c r="J908" s="5" t="n">
        <v>0.001455156131874938</v>
      </c>
      <c r="K908" s="5" t="n">
        <v>0.00232895569983705</v>
      </c>
      <c r="L908" s="5" t="n">
        <v>0.0008046501498667912</v>
      </c>
      <c r="M908" s="5">
        <f>SUMPRODUCT(Exposures!$B$6:$K$6,B908:K908)</f>
        <v/>
      </c>
      <c r="N908" s="5">
        <f>IF(AND($A908&gt;=DATE(2020,2,1),$A908&lt;=DATE(2020,5,31)),$M908,"")</f>
        <v/>
      </c>
      <c r="O908" s="5">
        <f>IF(AND($A908&gt;=DATE(2022,1,1),$A908&lt;=DATE(2022,10,31)),$M908,"")</f>
        <v/>
      </c>
      <c r="P908" s="5">
        <f>IF(AND($A908&gt;=DATE(2018,10,1),$A908&lt;=DATE(2018,12,31)),$M908,"")</f>
        <v/>
      </c>
      <c r="Q908" s="5">
        <f>SUMPRODUCT(Exposures!$B$8:$K$8,B908:K908)</f>
        <v/>
      </c>
      <c r="R908" s="5">
        <f>SUMPRODUCT(Exposures!$B$9:$K$9,B908:K908)</f>
        <v/>
      </c>
      <c r="S908" s="5">
        <f>SUMPRODUCT(Exposures!$B$10:$K$10,B908:K908)</f>
        <v/>
      </c>
    </row>
    <row r="909">
      <c r="A909" s="1" t="n">
        <v>43775</v>
      </c>
      <c r="B909" s="5" t="n">
        <v>-0.0040135855491266</v>
      </c>
      <c r="C909" s="5" t="n">
        <v>0.001728682125784397</v>
      </c>
      <c r="D909" s="5" t="n">
        <v>0.0002384502535536495</v>
      </c>
      <c r="E909" s="5" t="n">
        <v>-0.002055189268521925</v>
      </c>
      <c r="F909" s="5" t="n">
        <v>0.001208483061004074</v>
      </c>
      <c r="G909" s="5" t="n">
        <v>-0.003013572801717295</v>
      </c>
      <c r="H909" s="5" t="n">
        <v>-0.002762403109825528</v>
      </c>
      <c r="I909" s="5" t="n">
        <v>0.002819261734912023</v>
      </c>
      <c r="J909" s="5" t="n">
        <v>-0.004686385993978532</v>
      </c>
      <c r="K909" s="5" t="n">
        <v>-0.001353093643800162</v>
      </c>
      <c r="L909" s="5" t="n">
        <v>0.000175899346441927</v>
      </c>
      <c r="M909" s="5">
        <f>SUMPRODUCT(Exposures!$B$6:$K$6,B909:K909)</f>
        <v/>
      </c>
      <c r="N909" s="5">
        <f>IF(AND($A909&gt;=DATE(2020,2,1),$A909&lt;=DATE(2020,5,31)),$M909,"")</f>
        <v/>
      </c>
      <c r="O909" s="5">
        <f>IF(AND($A909&gt;=DATE(2022,1,1),$A909&lt;=DATE(2022,10,31)),$M909,"")</f>
        <v/>
      </c>
      <c r="P909" s="5">
        <f>IF(AND($A909&gt;=DATE(2018,10,1),$A909&lt;=DATE(2018,12,31)),$M909,"")</f>
        <v/>
      </c>
      <c r="Q909" s="5">
        <f>SUMPRODUCT(Exposures!$B$8:$K$8,B909:K909)</f>
        <v/>
      </c>
      <c r="R909" s="5">
        <f>SUMPRODUCT(Exposures!$B$9:$K$9,B909:K909)</f>
        <v/>
      </c>
      <c r="S909" s="5">
        <f>SUMPRODUCT(Exposures!$B$10:$K$10,B909:K909)</f>
        <v/>
      </c>
    </row>
    <row r="910">
      <c r="A910" s="1" t="n">
        <v>43776</v>
      </c>
      <c r="B910" s="5" t="n">
        <v>0.00645734036951938</v>
      </c>
      <c r="C910" s="5" t="n">
        <v>-0.0006319249264409398</v>
      </c>
      <c r="D910" s="5" t="n">
        <v>-0.0009296310890271258</v>
      </c>
      <c r="E910" s="5" t="n">
        <v>0.0003464327787752502</v>
      </c>
      <c r="F910" s="5" t="n">
        <v>-0.002434357171928372</v>
      </c>
      <c r="G910" s="5" t="n">
        <v>0.00344494127423505</v>
      </c>
      <c r="H910" s="5" t="n">
        <v>-0.005185395974652496</v>
      </c>
      <c r="I910" s="5" t="n">
        <v>-0.000265260098061385</v>
      </c>
      <c r="J910" s="5" t="n">
        <v>-0.001833681719068673</v>
      </c>
      <c r="K910" s="5" t="n">
        <v>0.003838787911970322</v>
      </c>
      <c r="L910" s="5" t="n">
        <v>-2.00415914165088e-05</v>
      </c>
      <c r="M910" s="5">
        <f>SUMPRODUCT(Exposures!$B$6:$K$6,B910:K910)</f>
        <v/>
      </c>
      <c r="N910" s="5">
        <f>IF(AND($A910&gt;=DATE(2020,2,1),$A910&lt;=DATE(2020,5,31)),$M910,"")</f>
        <v/>
      </c>
      <c r="O910" s="5">
        <f>IF(AND($A910&gt;=DATE(2022,1,1),$A910&lt;=DATE(2022,10,31)),$M910,"")</f>
        <v/>
      </c>
      <c r="P910" s="5">
        <f>IF(AND($A910&gt;=DATE(2018,10,1),$A910&lt;=DATE(2018,12,31)),$M910,"")</f>
        <v/>
      </c>
      <c r="Q910" s="5">
        <f>SUMPRODUCT(Exposures!$B$8:$K$8,B910:K910)</f>
        <v/>
      </c>
      <c r="R910" s="5">
        <f>SUMPRODUCT(Exposures!$B$9:$K$9,B910:K910)</f>
        <v/>
      </c>
      <c r="S910" s="5">
        <f>SUMPRODUCT(Exposures!$B$10:$K$10,B910:K910)</f>
        <v/>
      </c>
    </row>
    <row r="911">
      <c r="A911" s="1" t="n">
        <v>43777</v>
      </c>
      <c r="B911" s="5" t="n">
        <v>0.0008827340414716551</v>
      </c>
      <c r="C911" s="5" t="n">
        <v>0.003657849498469241</v>
      </c>
      <c r="D911" s="5" t="n">
        <v>0.0003536123783484856</v>
      </c>
      <c r="E911" s="5" t="n">
        <v>0.00283504517183205</v>
      </c>
      <c r="F911" s="5" t="n">
        <v>-0.0058223355568094</v>
      </c>
      <c r="G911" s="5" t="n">
        <v>0.003586270204636854</v>
      </c>
      <c r="H911" s="5" t="n">
        <v>0.0002076486858301592</v>
      </c>
      <c r="I911" s="5" t="n">
        <v>0.001794476781184463</v>
      </c>
      <c r="J911" s="5" t="n">
        <v>0.006123660829012833</v>
      </c>
      <c r="K911" s="5" t="n">
        <v>0.005517292520968588</v>
      </c>
      <c r="L911" s="5" t="n">
        <v>-0.002001967590777782</v>
      </c>
      <c r="M911" s="5">
        <f>SUMPRODUCT(Exposures!$B$6:$K$6,B911:K911)</f>
        <v/>
      </c>
      <c r="N911" s="5">
        <f>IF(AND($A911&gt;=DATE(2020,2,1),$A911&lt;=DATE(2020,5,31)),$M911,"")</f>
        <v/>
      </c>
      <c r="O911" s="5">
        <f>IF(AND($A911&gt;=DATE(2022,1,1),$A911&lt;=DATE(2022,10,31)),$M911,"")</f>
        <v/>
      </c>
      <c r="P911" s="5">
        <f>IF(AND($A911&gt;=DATE(2018,10,1),$A911&lt;=DATE(2018,12,31)),$M911,"")</f>
        <v/>
      </c>
      <c r="Q911" s="5">
        <f>SUMPRODUCT(Exposures!$B$8:$K$8,B911:K911)</f>
        <v/>
      </c>
      <c r="R911" s="5">
        <f>SUMPRODUCT(Exposures!$B$9:$K$9,B911:K911)</f>
        <v/>
      </c>
      <c r="S911" s="5">
        <f>SUMPRODUCT(Exposures!$B$10:$K$10,B911:K911)</f>
        <v/>
      </c>
    </row>
    <row r="912">
      <c r="A912" s="1" t="n">
        <v>43780</v>
      </c>
      <c r="B912" s="5" t="n">
        <v>-0.0005649672980474114</v>
      </c>
      <c r="C912" s="5" t="n">
        <v>0.0003233977871160833</v>
      </c>
      <c r="D912" s="5" t="n">
        <v>0.002035678831907877</v>
      </c>
      <c r="E912" s="5" t="n">
        <v>-0.0008499126416232198</v>
      </c>
      <c r="F912" s="5" t="n">
        <v>-0.001145066969470408</v>
      </c>
      <c r="G912" s="5" t="n">
        <v>6.220180474270834e-05</v>
      </c>
      <c r="H912" s="5" t="n">
        <v>0.004709997838895567</v>
      </c>
      <c r="I912" s="5" t="n">
        <v>0.0007937883496570147</v>
      </c>
      <c r="J912" s="5" t="n">
        <v>0.004425238714091314</v>
      </c>
      <c r="K912" s="5" t="n">
        <v>0.002203300258312448</v>
      </c>
      <c r="L912" s="5" t="n">
        <v>0.0001051687740512169</v>
      </c>
      <c r="M912" s="5">
        <f>SUMPRODUCT(Exposures!$B$6:$K$6,B912:K912)</f>
        <v/>
      </c>
      <c r="N912" s="5">
        <f>IF(AND($A912&gt;=DATE(2020,2,1),$A912&lt;=DATE(2020,5,31)),$M912,"")</f>
        <v/>
      </c>
      <c r="O912" s="5">
        <f>IF(AND($A912&gt;=DATE(2022,1,1),$A912&lt;=DATE(2022,10,31)),$M912,"")</f>
        <v/>
      </c>
      <c r="P912" s="5">
        <f>IF(AND($A912&gt;=DATE(2018,10,1),$A912&lt;=DATE(2018,12,31)),$M912,"")</f>
        <v/>
      </c>
      <c r="Q912" s="5">
        <f>SUMPRODUCT(Exposures!$B$8:$K$8,B912:K912)</f>
        <v/>
      </c>
      <c r="R912" s="5">
        <f>SUMPRODUCT(Exposures!$B$9:$K$9,B912:K912)</f>
        <v/>
      </c>
      <c r="S912" s="5">
        <f>SUMPRODUCT(Exposures!$B$10:$K$10,B912:K912)</f>
        <v/>
      </c>
    </row>
    <row r="913">
      <c r="A913" s="1" t="n">
        <v>43781</v>
      </c>
      <c r="B913" s="5" t="n">
        <v>0.001939568521652064</v>
      </c>
      <c r="C913" s="5" t="n">
        <v>-8.823514932424268e-05</v>
      </c>
      <c r="D913" s="5" t="n">
        <v>-0.002092614695872174</v>
      </c>
      <c r="E913" s="5" t="n">
        <v>-0.001228019205930641</v>
      </c>
      <c r="F913" s="5" t="n">
        <v>-0.004043278955514942</v>
      </c>
      <c r="G913" s="5" t="n">
        <v>0.0007149704162651468</v>
      </c>
      <c r="H913" s="5" t="n">
        <v>0.002010019043516172</v>
      </c>
      <c r="I913" s="5" t="n">
        <v>0.0006619670600725193</v>
      </c>
      <c r="J913" s="5" t="n">
        <v>0.001028467186531137</v>
      </c>
      <c r="K913" s="5" t="n">
        <v>0.004431840419499786</v>
      </c>
      <c r="L913" s="5" t="n">
        <v>0.0006297963828070443</v>
      </c>
      <c r="M913" s="5">
        <f>SUMPRODUCT(Exposures!$B$6:$K$6,B913:K913)</f>
        <v/>
      </c>
      <c r="N913" s="5">
        <f>IF(AND($A913&gt;=DATE(2020,2,1),$A913&lt;=DATE(2020,5,31)),$M913,"")</f>
        <v/>
      </c>
      <c r="O913" s="5">
        <f>IF(AND($A913&gt;=DATE(2022,1,1),$A913&lt;=DATE(2022,10,31)),$M913,"")</f>
        <v/>
      </c>
      <c r="P913" s="5">
        <f>IF(AND($A913&gt;=DATE(2018,10,1),$A913&lt;=DATE(2018,12,31)),$M913,"")</f>
        <v/>
      </c>
      <c r="Q913" s="5">
        <f>SUMPRODUCT(Exposures!$B$8:$K$8,B913:K913)</f>
        <v/>
      </c>
      <c r="R913" s="5">
        <f>SUMPRODUCT(Exposures!$B$9:$K$9,B913:K913)</f>
        <v/>
      </c>
      <c r="S913" s="5">
        <f>SUMPRODUCT(Exposures!$B$10:$K$10,B913:K913)</f>
        <v/>
      </c>
    </row>
    <row r="914">
      <c r="A914" s="1" t="n">
        <v>43782</v>
      </c>
      <c r="B914" s="5" t="n">
        <v>-0.003867805643475182</v>
      </c>
      <c r="C914" s="5" t="n">
        <v>-0.003338633069565269</v>
      </c>
      <c r="D914" s="5" t="n">
        <v>0.0008259955500512295</v>
      </c>
      <c r="E914" s="5" t="n">
        <v>0.0005192218206860369</v>
      </c>
      <c r="F914" s="5" t="n">
        <v>-0.002738965552583197</v>
      </c>
      <c r="G914" s="5" t="n">
        <v>-0.0001980624163838892</v>
      </c>
      <c r="H914" s="5" t="n">
        <v>0.003507568942322542</v>
      </c>
      <c r="I914" s="5" t="n">
        <v>-0.001175935939009197</v>
      </c>
      <c r="J914" s="5" t="n">
        <v>0.001829893879044441</v>
      </c>
      <c r="K914" s="5" t="n">
        <v>0.00631704816662999</v>
      </c>
      <c r="L914" s="5" t="n">
        <v>-0.0005374022336251624</v>
      </c>
      <c r="M914" s="5">
        <f>SUMPRODUCT(Exposures!$B$6:$K$6,B914:K914)</f>
        <v/>
      </c>
      <c r="N914" s="5">
        <f>IF(AND($A914&gt;=DATE(2020,2,1),$A914&lt;=DATE(2020,5,31)),$M914,"")</f>
        <v/>
      </c>
      <c r="O914" s="5">
        <f>IF(AND($A914&gt;=DATE(2022,1,1),$A914&lt;=DATE(2022,10,31)),$M914,"")</f>
        <v/>
      </c>
      <c r="P914" s="5">
        <f>IF(AND($A914&gt;=DATE(2018,10,1),$A914&lt;=DATE(2018,12,31)),$M914,"")</f>
        <v/>
      </c>
      <c r="Q914" s="5">
        <f>SUMPRODUCT(Exposures!$B$8:$K$8,B914:K914)</f>
        <v/>
      </c>
      <c r="R914" s="5">
        <f>SUMPRODUCT(Exposures!$B$9:$K$9,B914:K914)</f>
        <v/>
      </c>
      <c r="S914" s="5">
        <f>SUMPRODUCT(Exposures!$B$10:$K$10,B914:K914)</f>
        <v/>
      </c>
    </row>
    <row r="915">
      <c r="A915" s="1" t="n">
        <v>43783</v>
      </c>
      <c r="B915" s="5" t="n">
        <v>-0.000176559934189396</v>
      </c>
      <c r="C915" s="5" t="n">
        <v>-0.0003111590302872301</v>
      </c>
      <c r="D915" s="5" t="n">
        <v>0.003134301331773376</v>
      </c>
      <c r="E915" s="5" t="n">
        <v>0.0009672672251607533</v>
      </c>
      <c r="F915" s="5" t="n">
        <v>0.001120463426570807</v>
      </c>
      <c r="G915" s="5" t="n">
        <v>0.0009003557699928425</v>
      </c>
      <c r="H915" s="5" t="n">
        <v>0.001434987729149308</v>
      </c>
      <c r="I915" s="5" t="n">
        <v>0.0002226868431626811</v>
      </c>
      <c r="J915" s="5" t="n">
        <v>-0.00166083305376259</v>
      </c>
      <c r="K915" s="5" t="n">
        <v>-0.003647984779931068</v>
      </c>
      <c r="L915" s="5" t="n">
        <v>-0.0008936981402291749</v>
      </c>
      <c r="M915" s="5">
        <f>SUMPRODUCT(Exposures!$B$6:$K$6,B915:K915)</f>
        <v/>
      </c>
      <c r="N915" s="5">
        <f>IF(AND($A915&gt;=DATE(2020,2,1),$A915&lt;=DATE(2020,5,31)),$M915,"")</f>
        <v/>
      </c>
      <c r="O915" s="5">
        <f>IF(AND($A915&gt;=DATE(2022,1,1),$A915&lt;=DATE(2022,10,31)),$M915,"")</f>
        <v/>
      </c>
      <c r="P915" s="5">
        <f>IF(AND($A915&gt;=DATE(2018,10,1),$A915&lt;=DATE(2018,12,31)),$M915,"")</f>
        <v/>
      </c>
      <c r="Q915" s="5">
        <f>SUMPRODUCT(Exposures!$B$8:$K$8,B915:K915)</f>
        <v/>
      </c>
      <c r="R915" s="5">
        <f>SUMPRODUCT(Exposures!$B$9:$K$9,B915:K915)</f>
        <v/>
      </c>
      <c r="S915" s="5">
        <f>SUMPRODUCT(Exposures!$B$10:$K$10,B915:K915)</f>
        <v/>
      </c>
    </row>
    <row r="916">
      <c r="A916" s="1" t="n">
        <v>43784</v>
      </c>
      <c r="B916" s="5" t="n">
        <v>0.002519885994268808</v>
      </c>
      <c r="C916" s="5" t="n">
        <v>0.0001356404146208161</v>
      </c>
      <c r="D916" s="5" t="n">
        <v>-0.002090154682738792</v>
      </c>
      <c r="E916" s="5" t="n">
        <v>-0.002622301352410449</v>
      </c>
      <c r="F916" s="5" t="n">
        <v>-0.001304479492709539</v>
      </c>
      <c r="G916" s="5" t="n">
        <v>0.008431762809195924</v>
      </c>
      <c r="H916" s="5" t="n">
        <v>-0.001834326108203675</v>
      </c>
      <c r="I916" s="5" t="n">
        <v>0.0004872280966978511</v>
      </c>
      <c r="J916" s="5" t="n">
        <v>0.003675507268332101</v>
      </c>
      <c r="K916" s="5" t="n">
        <v>0.00442929844419968</v>
      </c>
      <c r="L916" s="5" t="n">
        <v>0.0006713484521278856</v>
      </c>
      <c r="M916" s="5">
        <f>SUMPRODUCT(Exposures!$B$6:$K$6,B916:K916)</f>
        <v/>
      </c>
      <c r="N916" s="5">
        <f>IF(AND($A916&gt;=DATE(2020,2,1),$A916&lt;=DATE(2020,5,31)),$M916,"")</f>
        <v/>
      </c>
      <c r="O916" s="5">
        <f>IF(AND($A916&gt;=DATE(2022,1,1),$A916&lt;=DATE(2022,10,31)),$M916,"")</f>
        <v/>
      </c>
      <c r="P916" s="5">
        <f>IF(AND($A916&gt;=DATE(2018,10,1),$A916&lt;=DATE(2018,12,31)),$M916,"")</f>
        <v/>
      </c>
      <c r="Q916" s="5">
        <f>SUMPRODUCT(Exposures!$B$8:$K$8,B916:K916)</f>
        <v/>
      </c>
      <c r="R916" s="5">
        <f>SUMPRODUCT(Exposures!$B$9:$K$9,B916:K916)</f>
        <v/>
      </c>
      <c r="S916" s="5">
        <f>SUMPRODUCT(Exposures!$B$10:$K$10,B916:K916)</f>
        <v/>
      </c>
    </row>
    <row r="917">
      <c r="A917" s="1" t="n">
        <v>43787</v>
      </c>
      <c r="B917" s="5" t="n">
        <v>-0.002328721089529441</v>
      </c>
      <c r="C917" s="5" t="n">
        <v>-0.0006279230266684204</v>
      </c>
      <c r="D917" s="5" t="n">
        <v>-0.0002965154376264379</v>
      </c>
      <c r="E917" s="5" t="n">
        <v>0.00215977991811343</v>
      </c>
      <c r="F917" s="5" t="n">
        <v>0.007219096021222884</v>
      </c>
      <c r="G917" s="5" t="n">
        <v>-0.002618053936048082</v>
      </c>
      <c r="H917" s="5" t="n">
        <v>0.002261936283592087</v>
      </c>
      <c r="I917" s="5" t="n">
        <v>-0.002130237680446608</v>
      </c>
      <c r="J917" s="5" t="n">
        <v>-0.0002640006442320754</v>
      </c>
      <c r="K917" s="5" t="n">
        <v>-0.00386733858842783</v>
      </c>
      <c r="L917" s="5" t="n">
        <v>-0.001194975358272947</v>
      </c>
      <c r="M917" s="5">
        <f>SUMPRODUCT(Exposures!$B$6:$K$6,B917:K917)</f>
        <v/>
      </c>
      <c r="N917" s="5">
        <f>IF(AND($A917&gt;=DATE(2020,2,1),$A917&lt;=DATE(2020,5,31)),$M917,"")</f>
        <v/>
      </c>
      <c r="O917" s="5">
        <f>IF(AND($A917&gt;=DATE(2022,1,1),$A917&lt;=DATE(2022,10,31)),$M917,"")</f>
        <v/>
      </c>
      <c r="P917" s="5">
        <f>IF(AND($A917&gt;=DATE(2018,10,1),$A917&lt;=DATE(2018,12,31)),$M917,"")</f>
        <v/>
      </c>
      <c r="Q917" s="5">
        <f>SUMPRODUCT(Exposures!$B$8:$K$8,B917:K917)</f>
        <v/>
      </c>
      <c r="R917" s="5">
        <f>SUMPRODUCT(Exposures!$B$9:$K$9,B917:K917)</f>
        <v/>
      </c>
      <c r="S917" s="5">
        <f>SUMPRODUCT(Exposures!$B$10:$K$10,B917:K917)</f>
        <v/>
      </c>
    </row>
    <row r="918">
      <c r="A918" s="1" t="n">
        <v>43788</v>
      </c>
      <c r="B918" s="5" t="n">
        <v>0.001614412684194124</v>
      </c>
      <c r="C918" s="5" t="n">
        <v>-0.0006937586062244113</v>
      </c>
      <c r="D918" s="5" t="n">
        <v>0.001689453607732358</v>
      </c>
      <c r="E918" s="5" t="n">
        <v>0.0007269342130027056</v>
      </c>
      <c r="F918" s="5" t="n">
        <v>-0.007148153501401723</v>
      </c>
      <c r="G918" s="5" t="n">
        <v>0.003937895847950301</v>
      </c>
      <c r="H918" s="5" t="n">
        <v>0.0007257999132531289</v>
      </c>
      <c r="I918" s="5" t="n">
        <v>-0.0009896839200901762</v>
      </c>
      <c r="J918" s="5" t="n">
        <v>0.00494946565345107</v>
      </c>
      <c r="K918" s="5" t="n">
        <v>0.007774112807856763</v>
      </c>
      <c r="L918" s="5" t="n">
        <v>-0.001169499399035918</v>
      </c>
      <c r="M918" s="5">
        <f>SUMPRODUCT(Exposures!$B$6:$K$6,B918:K918)</f>
        <v/>
      </c>
      <c r="N918" s="5">
        <f>IF(AND($A918&gt;=DATE(2020,2,1),$A918&lt;=DATE(2020,5,31)),$M918,"")</f>
        <v/>
      </c>
      <c r="O918" s="5">
        <f>IF(AND($A918&gt;=DATE(2022,1,1),$A918&lt;=DATE(2022,10,31)),$M918,"")</f>
        <v/>
      </c>
      <c r="P918" s="5">
        <f>IF(AND($A918&gt;=DATE(2018,10,1),$A918&lt;=DATE(2018,12,31)),$M918,"")</f>
        <v/>
      </c>
      <c r="Q918" s="5">
        <f>SUMPRODUCT(Exposures!$B$8:$K$8,B918:K918)</f>
        <v/>
      </c>
      <c r="R918" s="5">
        <f>SUMPRODUCT(Exposures!$B$9:$K$9,B918:K918)</f>
        <v/>
      </c>
      <c r="S918" s="5">
        <f>SUMPRODUCT(Exposures!$B$10:$K$10,B918:K918)</f>
        <v/>
      </c>
    </row>
    <row r="919">
      <c r="A919" s="1" t="n">
        <v>43789</v>
      </c>
      <c r="B919" s="5" t="n">
        <v>-0.003901134882400202</v>
      </c>
      <c r="C919" s="5" t="n">
        <v>-0.002563540976768694</v>
      </c>
      <c r="D919" s="5" t="n">
        <v>0.003326468258570553</v>
      </c>
      <c r="E919" s="5" t="n">
        <v>4.065399989514512e-05</v>
      </c>
      <c r="F919" s="5" t="n">
        <v>-0.002945143101099789</v>
      </c>
      <c r="G919" s="5" t="n">
        <v>-0.002620180573825251</v>
      </c>
      <c r="H919" s="5" t="n">
        <v>-0.0004418304391696978</v>
      </c>
      <c r="I919" s="5" t="n">
        <v>0.001265082926715392</v>
      </c>
      <c r="J919" s="5" t="n">
        <v>0.002743937748366143</v>
      </c>
      <c r="K919" s="5" t="n">
        <v>0.003362095783658885</v>
      </c>
      <c r="L919" s="5" t="n">
        <v>0.0004304810022365993</v>
      </c>
      <c r="M919" s="5">
        <f>SUMPRODUCT(Exposures!$B$6:$K$6,B919:K919)</f>
        <v/>
      </c>
      <c r="N919" s="5">
        <f>IF(AND($A919&gt;=DATE(2020,2,1),$A919&lt;=DATE(2020,5,31)),$M919,"")</f>
        <v/>
      </c>
      <c r="O919" s="5">
        <f>IF(AND($A919&gt;=DATE(2022,1,1),$A919&lt;=DATE(2022,10,31)),$M919,"")</f>
        <v/>
      </c>
      <c r="P919" s="5">
        <f>IF(AND($A919&gt;=DATE(2018,10,1),$A919&lt;=DATE(2018,12,31)),$M919,"")</f>
        <v/>
      </c>
      <c r="Q919" s="5">
        <f>SUMPRODUCT(Exposures!$B$8:$K$8,B919:K919)</f>
        <v/>
      </c>
      <c r="R919" s="5">
        <f>SUMPRODUCT(Exposures!$B$9:$K$9,B919:K919)</f>
        <v/>
      </c>
      <c r="S919" s="5">
        <f>SUMPRODUCT(Exposures!$B$10:$K$10,B919:K919)</f>
        <v/>
      </c>
    </row>
    <row r="920">
      <c r="A920" s="1" t="n">
        <v>43790</v>
      </c>
      <c r="B920" s="5" t="n">
        <v>-0.001717606806663919</v>
      </c>
      <c r="C920" s="5" t="n">
        <v>-0.0004855647942289782</v>
      </c>
      <c r="D920" s="5" t="n">
        <v>-0.001189258072640793</v>
      </c>
      <c r="E920" s="5" t="n">
        <v>-0.002383695588008235</v>
      </c>
      <c r="F920" s="5" t="n">
        <v>0.0002268773576242775</v>
      </c>
      <c r="G920" s="5" t="n">
        <v>-0.005363316717180103</v>
      </c>
      <c r="H920" s="5" t="n">
        <v>-0.004819628128316788</v>
      </c>
      <c r="I920" s="5" t="n">
        <v>0.0001730649430649134</v>
      </c>
      <c r="J920" s="5" t="n">
        <v>-0.0002026805118077721</v>
      </c>
      <c r="K920" s="5" t="n">
        <v>0.002676626442768303</v>
      </c>
      <c r="L920" s="5" t="n">
        <v>0.002141051143665957</v>
      </c>
      <c r="M920" s="5">
        <f>SUMPRODUCT(Exposures!$B$6:$K$6,B920:K920)</f>
        <v/>
      </c>
      <c r="N920" s="5">
        <f>IF(AND($A920&gt;=DATE(2020,2,1),$A920&lt;=DATE(2020,5,31)),$M920,"")</f>
        <v/>
      </c>
      <c r="O920" s="5">
        <f>IF(AND($A920&gt;=DATE(2022,1,1),$A920&lt;=DATE(2022,10,31)),$M920,"")</f>
        <v/>
      </c>
      <c r="P920" s="5">
        <f>IF(AND($A920&gt;=DATE(2018,10,1),$A920&lt;=DATE(2018,12,31)),$M920,"")</f>
        <v/>
      </c>
      <c r="Q920" s="5">
        <f>SUMPRODUCT(Exposures!$B$8:$K$8,B920:K920)</f>
        <v/>
      </c>
      <c r="R920" s="5">
        <f>SUMPRODUCT(Exposures!$B$9:$K$9,B920:K920)</f>
        <v/>
      </c>
      <c r="S920" s="5">
        <f>SUMPRODUCT(Exposures!$B$10:$K$10,B920:K920)</f>
        <v/>
      </c>
    </row>
    <row r="921">
      <c r="A921" s="1" t="n">
        <v>43791</v>
      </c>
      <c r="B921" s="5" t="n">
        <v>0.0004275111421340853</v>
      </c>
      <c r="C921" s="5" t="n">
        <v>0.0007819499920187869</v>
      </c>
      <c r="D921" s="5" t="n">
        <v>0.001368573259480302</v>
      </c>
      <c r="E921" s="5" t="n">
        <v>0.0005891936326773891</v>
      </c>
      <c r="F921" s="5" t="n">
        <v>-0.001190673320984225</v>
      </c>
      <c r="G921" s="5" t="n">
        <v>0.00346130957781602</v>
      </c>
      <c r="H921" s="5" t="n">
        <v>-0.003976788926894803</v>
      </c>
      <c r="I921" s="5" t="n">
        <v>-0.00216406315448387</v>
      </c>
      <c r="J921" s="5" t="n">
        <v>1.533539908304613e-05</v>
      </c>
      <c r="K921" s="5" t="n">
        <v>0.002799145445825925</v>
      </c>
      <c r="L921" s="5" t="n">
        <v>0.0008372136579596664</v>
      </c>
      <c r="M921" s="5">
        <f>SUMPRODUCT(Exposures!$B$6:$K$6,B921:K921)</f>
        <v/>
      </c>
      <c r="N921" s="5">
        <f>IF(AND($A921&gt;=DATE(2020,2,1),$A921&lt;=DATE(2020,5,31)),$M921,"")</f>
        <v/>
      </c>
      <c r="O921" s="5">
        <f>IF(AND($A921&gt;=DATE(2022,1,1),$A921&lt;=DATE(2022,10,31)),$M921,"")</f>
        <v/>
      </c>
      <c r="P921" s="5">
        <f>IF(AND($A921&gt;=DATE(2018,10,1),$A921&lt;=DATE(2018,12,31)),$M921,"")</f>
        <v/>
      </c>
      <c r="Q921" s="5">
        <f>SUMPRODUCT(Exposures!$B$8:$K$8,B921:K921)</f>
        <v/>
      </c>
      <c r="R921" s="5">
        <f>SUMPRODUCT(Exposures!$B$9:$K$9,B921:K921)</f>
        <v/>
      </c>
      <c r="S921" s="5">
        <f>SUMPRODUCT(Exposures!$B$10:$K$10,B921:K921)</f>
        <v/>
      </c>
    </row>
    <row r="922">
      <c r="A922" s="1" t="n">
        <v>43794</v>
      </c>
      <c r="B922" s="5" t="n">
        <v>0.006773939620268387</v>
      </c>
      <c r="C922" s="5" t="n">
        <v>0.0003443103291258303</v>
      </c>
      <c r="D922" s="5" t="n">
        <v>0.0006677374354007936</v>
      </c>
      <c r="E922" s="5" t="n">
        <v>-0.0007588669304010533</v>
      </c>
      <c r="F922" s="5" t="n">
        <v>0.0003110816368685383</v>
      </c>
      <c r="G922" s="5" t="n">
        <v>0.01260019887910158</v>
      </c>
      <c r="H922" s="5" t="n">
        <v>-0.002312545249217588</v>
      </c>
      <c r="I922" s="5" t="n">
        <v>0.002778671690238434</v>
      </c>
      <c r="J922" s="5" t="n">
        <v>0.0006180897940301824</v>
      </c>
      <c r="K922" s="5" t="n">
        <v>-0.004795632514423524</v>
      </c>
      <c r="L922" s="5" t="n">
        <v>-0.001049643555199569</v>
      </c>
      <c r="M922" s="5">
        <f>SUMPRODUCT(Exposures!$B$6:$K$6,B922:K922)</f>
        <v/>
      </c>
      <c r="N922" s="5">
        <f>IF(AND($A922&gt;=DATE(2020,2,1),$A922&lt;=DATE(2020,5,31)),$M922,"")</f>
        <v/>
      </c>
      <c r="O922" s="5">
        <f>IF(AND($A922&gt;=DATE(2022,1,1),$A922&lt;=DATE(2022,10,31)),$M922,"")</f>
        <v/>
      </c>
      <c r="P922" s="5">
        <f>IF(AND($A922&gt;=DATE(2018,10,1),$A922&lt;=DATE(2018,12,31)),$M922,"")</f>
        <v/>
      </c>
      <c r="Q922" s="5">
        <f>SUMPRODUCT(Exposures!$B$8:$K$8,B922:K922)</f>
        <v/>
      </c>
      <c r="R922" s="5">
        <f>SUMPRODUCT(Exposures!$B$9:$K$9,B922:K922)</f>
        <v/>
      </c>
      <c r="S922" s="5">
        <f>SUMPRODUCT(Exposures!$B$10:$K$10,B922:K922)</f>
        <v/>
      </c>
    </row>
    <row r="923">
      <c r="A923" s="1" t="n">
        <v>43795</v>
      </c>
      <c r="B923" s="5" t="n">
        <v>0.0007480629703263761</v>
      </c>
      <c r="C923" s="5" t="n">
        <v>-0.0005723761819646143</v>
      </c>
      <c r="D923" s="5" t="n">
        <v>0.0006997058422107401</v>
      </c>
      <c r="E923" s="5" t="n">
        <v>-0.0007517426760923905</v>
      </c>
      <c r="F923" s="5" t="n">
        <v>-0.001259724807362624</v>
      </c>
      <c r="G923" s="5" t="n">
        <v>0.001089344011109652</v>
      </c>
      <c r="H923" s="5" t="n">
        <v>0.00415176194025248</v>
      </c>
      <c r="I923" s="5" t="n">
        <v>-0.002220240739589519</v>
      </c>
      <c r="J923" s="5" t="n">
        <v>-0.002055062146433781</v>
      </c>
      <c r="K923" s="5" t="n">
        <v>0.00316890581053911</v>
      </c>
      <c r="L923" s="5" t="n">
        <v>-0.0006057495600271212</v>
      </c>
      <c r="M923" s="5">
        <f>SUMPRODUCT(Exposures!$B$6:$K$6,B923:K923)</f>
        <v/>
      </c>
      <c r="N923" s="5">
        <f>IF(AND($A923&gt;=DATE(2020,2,1),$A923&lt;=DATE(2020,5,31)),$M923,"")</f>
        <v/>
      </c>
      <c r="O923" s="5">
        <f>IF(AND($A923&gt;=DATE(2022,1,1),$A923&lt;=DATE(2022,10,31)),$M923,"")</f>
        <v/>
      </c>
      <c r="P923" s="5">
        <f>IF(AND($A923&gt;=DATE(2018,10,1),$A923&lt;=DATE(2018,12,31)),$M923,"")</f>
        <v/>
      </c>
      <c r="Q923" s="5">
        <f>SUMPRODUCT(Exposures!$B$8:$K$8,B923:K923)</f>
        <v/>
      </c>
      <c r="R923" s="5">
        <f>SUMPRODUCT(Exposures!$B$9:$K$9,B923:K923)</f>
        <v/>
      </c>
      <c r="S923" s="5">
        <f>SUMPRODUCT(Exposures!$B$10:$K$10,B923:K923)</f>
        <v/>
      </c>
    </row>
    <row r="924">
      <c r="A924" s="1" t="n">
        <v>43796</v>
      </c>
      <c r="B924" s="5" t="n">
        <v>0.003426217578752217</v>
      </c>
      <c r="C924" s="5" t="n">
        <v>-0.002074545612413352</v>
      </c>
      <c r="D924" s="5" t="n">
        <v>-0.003600558894845866</v>
      </c>
      <c r="E924" s="5" t="n">
        <v>0.00104179907343189</v>
      </c>
      <c r="F924" s="5" t="n">
        <v>0.002449557654860252</v>
      </c>
      <c r="G924" s="5" t="n">
        <v>0.005962348175280015</v>
      </c>
      <c r="H924" s="5" t="n">
        <v>-0.001375757113318141</v>
      </c>
      <c r="I924" s="5" t="n">
        <v>0.001020083376424197</v>
      </c>
      <c r="J924" s="5" t="n">
        <v>-0.00154895985838586</v>
      </c>
      <c r="K924" s="5" t="n">
        <v>-0.003991822863983632</v>
      </c>
      <c r="L924" s="5" t="n">
        <v>-0.001451187280968867</v>
      </c>
      <c r="M924" s="5">
        <f>SUMPRODUCT(Exposures!$B$6:$K$6,B924:K924)</f>
        <v/>
      </c>
      <c r="N924" s="5">
        <f>IF(AND($A924&gt;=DATE(2020,2,1),$A924&lt;=DATE(2020,5,31)),$M924,"")</f>
        <v/>
      </c>
      <c r="O924" s="5">
        <f>IF(AND($A924&gt;=DATE(2022,1,1),$A924&lt;=DATE(2022,10,31)),$M924,"")</f>
        <v/>
      </c>
      <c r="P924" s="5">
        <f>IF(AND($A924&gt;=DATE(2018,10,1),$A924&lt;=DATE(2018,12,31)),$M924,"")</f>
        <v/>
      </c>
      <c r="Q924" s="5">
        <f>SUMPRODUCT(Exposures!$B$8:$K$8,B924:K924)</f>
        <v/>
      </c>
      <c r="R924" s="5">
        <f>SUMPRODUCT(Exposures!$B$9:$K$9,B924:K924)</f>
        <v/>
      </c>
      <c r="S924" s="5">
        <f>SUMPRODUCT(Exposures!$B$10:$K$10,B924:K924)</f>
        <v/>
      </c>
    </row>
    <row r="925">
      <c r="A925" s="1" t="n">
        <v>43798</v>
      </c>
      <c r="B925" s="5" t="n">
        <v>-0.001690531287055875</v>
      </c>
      <c r="C925" s="5" t="n">
        <v>-0.0005910006649511529</v>
      </c>
      <c r="D925" s="5" t="n">
        <v>0.002030995436402398</v>
      </c>
      <c r="E925" s="5" t="n">
        <v>-0.0005076769857460485</v>
      </c>
      <c r="F925" s="5" t="n">
        <v>0.0004780799754828061</v>
      </c>
      <c r="G925" s="5" t="n">
        <v>-0.004172146589669473</v>
      </c>
      <c r="H925" s="5" t="n">
        <v>-0.002317348987569088</v>
      </c>
      <c r="I925" s="5" t="n">
        <v>0.002709468183294992</v>
      </c>
      <c r="J925" s="5" t="n">
        <v>-0.001422894481577493</v>
      </c>
      <c r="K925" s="5" t="n">
        <v>-0.002432318463192678</v>
      </c>
      <c r="L925" s="5" t="n">
        <v>-0.0002865804456686139</v>
      </c>
      <c r="M925" s="5">
        <f>SUMPRODUCT(Exposures!$B$6:$K$6,B925:K925)</f>
        <v/>
      </c>
      <c r="N925" s="5">
        <f>IF(AND($A925&gt;=DATE(2020,2,1),$A925&lt;=DATE(2020,5,31)),$M925,"")</f>
        <v/>
      </c>
      <c r="O925" s="5">
        <f>IF(AND($A925&gt;=DATE(2022,1,1),$A925&lt;=DATE(2022,10,31)),$M925,"")</f>
        <v/>
      </c>
      <c r="P925" s="5">
        <f>IF(AND($A925&gt;=DATE(2018,10,1),$A925&lt;=DATE(2018,12,31)),$M925,"")</f>
        <v/>
      </c>
      <c r="Q925" s="5">
        <f>SUMPRODUCT(Exposures!$B$8:$K$8,B925:K925)</f>
        <v/>
      </c>
      <c r="R925" s="5">
        <f>SUMPRODUCT(Exposures!$B$9:$K$9,B925:K925)</f>
        <v/>
      </c>
      <c r="S925" s="5">
        <f>SUMPRODUCT(Exposures!$B$10:$K$10,B925:K925)</f>
        <v/>
      </c>
    </row>
    <row r="926">
      <c r="A926" s="1" t="n">
        <v>43801</v>
      </c>
      <c r="B926" s="5" t="n">
        <v>-0.003655871597890509</v>
      </c>
      <c r="C926" s="5" t="n">
        <v>-0.0005746462286373992</v>
      </c>
      <c r="D926" s="5" t="n">
        <v>-0.001147180058922223</v>
      </c>
      <c r="E926" s="5" t="n">
        <v>0.001716268709901698</v>
      </c>
      <c r="F926" s="5" t="n">
        <v>0.004606112754624634</v>
      </c>
      <c r="G926" s="5" t="n">
        <v>-0.008217091522808114</v>
      </c>
      <c r="H926" s="5" t="n">
        <v>-0.001624753645696912</v>
      </c>
      <c r="I926" s="5" t="n">
        <v>-0.0003828139212393441</v>
      </c>
      <c r="J926" s="5" t="n">
        <v>0.001031907176514929</v>
      </c>
      <c r="K926" s="5" t="n">
        <v>-0.004923770126748002</v>
      </c>
      <c r="L926" s="5" t="n">
        <v>-0.0002944516471495446</v>
      </c>
      <c r="M926" s="5">
        <f>SUMPRODUCT(Exposures!$B$6:$K$6,B926:K926)</f>
        <v/>
      </c>
      <c r="N926" s="5">
        <f>IF(AND($A926&gt;=DATE(2020,2,1),$A926&lt;=DATE(2020,5,31)),$M926,"")</f>
        <v/>
      </c>
      <c r="O926" s="5">
        <f>IF(AND($A926&gt;=DATE(2022,1,1),$A926&lt;=DATE(2022,10,31)),$M926,"")</f>
        <v/>
      </c>
      <c r="P926" s="5">
        <f>IF(AND($A926&gt;=DATE(2018,10,1),$A926&lt;=DATE(2018,12,31)),$M926,"")</f>
        <v/>
      </c>
      <c r="Q926" s="5">
        <f>SUMPRODUCT(Exposures!$B$8:$K$8,B926:K926)</f>
        <v/>
      </c>
      <c r="R926" s="5">
        <f>SUMPRODUCT(Exposures!$B$9:$K$9,B926:K926)</f>
        <v/>
      </c>
      <c r="S926" s="5">
        <f>SUMPRODUCT(Exposures!$B$10:$K$10,B926:K926)</f>
        <v/>
      </c>
    </row>
    <row r="927">
      <c r="A927" s="1" t="n">
        <v>43802</v>
      </c>
      <c r="B927" s="5" t="n">
        <v>-0.004787819689740016</v>
      </c>
      <c r="C927" s="5" t="n">
        <v>-0.001203614023223194</v>
      </c>
      <c r="D927" s="5" t="n">
        <v>0.003603380588724758</v>
      </c>
      <c r="E927" s="5" t="n">
        <v>-0.0006328794128034412</v>
      </c>
      <c r="F927" s="5" t="n">
        <v>0.004693015701831676</v>
      </c>
      <c r="G927" s="5" t="n">
        <v>-0.00754779288111513</v>
      </c>
      <c r="H927" s="5" t="n">
        <v>0.003369794136498214</v>
      </c>
      <c r="I927" s="5" t="n">
        <v>0.002497619078651156</v>
      </c>
      <c r="J927" s="5" t="n">
        <v>0.001250390702247026</v>
      </c>
      <c r="K927" s="5" t="n">
        <v>-0.005188096748540108</v>
      </c>
      <c r="L927" s="5" t="n">
        <v>-0.0006006416881382893</v>
      </c>
      <c r="M927" s="5">
        <f>SUMPRODUCT(Exposures!$B$6:$K$6,B927:K927)</f>
        <v/>
      </c>
      <c r="N927" s="5">
        <f>IF(AND($A927&gt;=DATE(2020,2,1),$A927&lt;=DATE(2020,5,31)),$M927,"")</f>
        <v/>
      </c>
      <c r="O927" s="5">
        <f>IF(AND($A927&gt;=DATE(2022,1,1),$A927&lt;=DATE(2022,10,31)),$M927,"")</f>
        <v/>
      </c>
      <c r="P927" s="5">
        <f>IF(AND($A927&gt;=DATE(2018,10,1),$A927&lt;=DATE(2018,12,31)),$M927,"")</f>
        <v/>
      </c>
      <c r="Q927" s="5">
        <f>SUMPRODUCT(Exposures!$B$8:$K$8,B927:K927)</f>
        <v/>
      </c>
      <c r="R927" s="5">
        <f>SUMPRODUCT(Exposures!$B$9:$K$9,B927:K927)</f>
        <v/>
      </c>
      <c r="S927" s="5">
        <f>SUMPRODUCT(Exposures!$B$10:$K$10,B927:K927)</f>
        <v/>
      </c>
    </row>
    <row r="928">
      <c r="A928" s="1" t="n">
        <v>43803</v>
      </c>
      <c r="B928" s="5" t="n">
        <v>0.0008215279400115872</v>
      </c>
      <c r="C928" s="5" t="n">
        <v>-0.0001828914830405495</v>
      </c>
      <c r="D928" s="5" t="n">
        <v>-0.003437433969157246</v>
      </c>
      <c r="E928" s="5" t="n">
        <v>0.0009578049386211807</v>
      </c>
      <c r="F928" s="5" t="n">
        <v>0.0002227908199818924</v>
      </c>
      <c r="G928" s="5" t="n">
        <v>0.005963749707430771</v>
      </c>
      <c r="H928" s="5" t="n">
        <v>-0.001224931917227045</v>
      </c>
      <c r="I928" s="5" t="n">
        <v>-0.0007997133268949819</v>
      </c>
      <c r="J928" s="5" t="n">
        <v>-0.00125425963803673</v>
      </c>
      <c r="K928" s="5" t="n">
        <v>-0.0002089723664678265</v>
      </c>
      <c r="L928" s="5" t="n">
        <v>0.0006604047680717767</v>
      </c>
      <c r="M928" s="5">
        <f>SUMPRODUCT(Exposures!$B$6:$K$6,B928:K928)</f>
        <v/>
      </c>
      <c r="N928" s="5">
        <f>IF(AND($A928&gt;=DATE(2020,2,1),$A928&lt;=DATE(2020,5,31)),$M928,"")</f>
        <v/>
      </c>
      <c r="O928" s="5">
        <f>IF(AND($A928&gt;=DATE(2022,1,1),$A928&lt;=DATE(2022,10,31)),$M928,"")</f>
        <v/>
      </c>
      <c r="P928" s="5">
        <f>IF(AND($A928&gt;=DATE(2018,10,1),$A928&lt;=DATE(2018,12,31)),$M928,"")</f>
        <v/>
      </c>
      <c r="Q928" s="5">
        <f>SUMPRODUCT(Exposures!$B$8:$K$8,B928:K928)</f>
        <v/>
      </c>
      <c r="R928" s="5">
        <f>SUMPRODUCT(Exposures!$B$9:$K$9,B928:K928)</f>
        <v/>
      </c>
      <c r="S928" s="5">
        <f>SUMPRODUCT(Exposures!$B$10:$K$10,B928:K928)</f>
        <v/>
      </c>
    </row>
    <row r="929">
      <c r="A929" s="1" t="n">
        <v>43804</v>
      </c>
      <c r="B929" s="5" t="n">
        <v>-0.0004970458154166563</v>
      </c>
      <c r="C929" s="5" t="n">
        <v>0.001606651230949641</v>
      </c>
      <c r="D929" s="5" t="n">
        <v>0.003996803618516254</v>
      </c>
      <c r="E929" s="5" t="n">
        <v>-0.001145078380285128</v>
      </c>
      <c r="F929" s="5" t="n">
        <v>-0.0009635040740566416</v>
      </c>
      <c r="G929" s="5" t="n">
        <v>0.002850157081226341</v>
      </c>
      <c r="H929" s="5" t="n">
        <v>0.006891358730849509</v>
      </c>
      <c r="I929" s="5" t="n">
        <v>-0.00193203848273414</v>
      </c>
      <c r="J929" s="5" t="n">
        <v>0.005773345857668565</v>
      </c>
      <c r="K929" s="5" t="n">
        <v>0.004423235679098788</v>
      </c>
      <c r="L929" s="5" t="n">
        <v>0.003242472913566343</v>
      </c>
      <c r="M929" s="5">
        <f>SUMPRODUCT(Exposures!$B$6:$K$6,B929:K929)</f>
        <v/>
      </c>
      <c r="N929" s="5">
        <f>IF(AND($A929&gt;=DATE(2020,2,1),$A929&lt;=DATE(2020,5,31)),$M929,"")</f>
        <v/>
      </c>
      <c r="O929" s="5">
        <f>IF(AND($A929&gt;=DATE(2022,1,1),$A929&lt;=DATE(2022,10,31)),$M929,"")</f>
        <v/>
      </c>
      <c r="P929" s="5">
        <f>IF(AND($A929&gt;=DATE(2018,10,1),$A929&lt;=DATE(2018,12,31)),$M929,"")</f>
        <v/>
      </c>
      <c r="Q929" s="5">
        <f>SUMPRODUCT(Exposures!$B$8:$K$8,B929:K929)</f>
        <v/>
      </c>
      <c r="R929" s="5">
        <f>SUMPRODUCT(Exposures!$B$9:$K$9,B929:K929)</f>
        <v/>
      </c>
      <c r="S929" s="5">
        <f>SUMPRODUCT(Exposures!$B$10:$K$10,B929:K929)</f>
        <v/>
      </c>
    </row>
    <row r="930">
      <c r="A930" s="1" t="n">
        <v>43805</v>
      </c>
      <c r="B930" s="5" t="n">
        <v>0.004719289575081061</v>
      </c>
      <c r="C930" s="5" t="n">
        <v>0.003762252533854765</v>
      </c>
      <c r="D930" s="5" t="n">
        <v>0.0006507733674665019</v>
      </c>
      <c r="E930" s="5" t="n">
        <v>-0.001008280212586869</v>
      </c>
      <c r="F930" s="5" t="n">
        <v>-0.001814817830788193</v>
      </c>
      <c r="G930" s="5" t="n">
        <v>0.009505250061219914</v>
      </c>
      <c r="H930" s="5" t="n">
        <v>-0.002731567772731619</v>
      </c>
      <c r="I930" s="5" t="n">
        <v>0.0004624459019640027</v>
      </c>
      <c r="J930" s="5" t="n">
        <v>-0.0008811552741351753</v>
      </c>
      <c r="K930" s="5" t="n">
        <v>0.0001560301021265587</v>
      </c>
      <c r="L930" s="5" t="n">
        <v>-0.001214759582832591</v>
      </c>
      <c r="M930" s="5">
        <f>SUMPRODUCT(Exposures!$B$6:$K$6,B930:K930)</f>
        <v/>
      </c>
      <c r="N930" s="5">
        <f>IF(AND($A930&gt;=DATE(2020,2,1),$A930&lt;=DATE(2020,5,31)),$M930,"")</f>
        <v/>
      </c>
      <c r="O930" s="5">
        <f>IF(AND($A930&gt;=DATE(2022,1,1),$A930&lt;=DATE(2022,10,31)),$M930,"")</f>
        <v/>
      </c>
      <c r="P930" s="5">
        <f>IF(AND($A930&gt;=DATE(2018,10,1),$A930&lt;=DATE(2018,12,31)),$M930,"")</f>
        <v/>
      </c>
      <c r="Q930" s="5">
        <f>SUMPRODUCT(Exposures!$B$8:$K$8,B930:K930)</f>
        <v/>
      </c>
      <c r="R930" s="5">
        <f>SUMPRODUCT(Exposures!$B$9:$K$9,B930:K930)</f>
        <v/>
      </c>
      <c r="S930" s="5">
        <f>SUMPRODUCT(Exposures!$B$10:$K$10,B930:K930)</f>
        <v/>
      </c>
    </row>
    <row r="931">
      <c r="A931" s="1" t="n">
        <v>43808</v>
      </c>
      <c r="B931" s="5" t="n">
        <v>-0.0006392729544128065</v>
      </c>
      <c r="C931" s="5" t="n">
        <v>0.0009011379683668429</v>
      </c>
      <c r="D931" s="5" t="n">
        <v>-0.0001443411445475354</v>
      </c>
      <c r="E931" s="5" t="n">
        <v>0.001128217857296924</v>
      </c>
      <c r="F931" s="5" t="n">
        <v>-0.001040208001941923</v>
      </c>
      <c r="G931" s="5" t="n">
        <v>-0.004682351026572248</v>
      </c>
      <c r="H931" s="5" t="n">
        <v>-0.001375846128534887</v>
      </c>
      <c r="I931" s="5" t="n">
        <v>0.001173838121569225</v>
      </c>
      <c r="J931" s="5" t="n">
        <v>-0.002449446625669465</v>
      </c>
      <c r="K931" s="5" t="n">
        <v>-0.001628876094177573</v>
      </c>
      <c r="L931" s="5" t="n">
        <v>-1.300597620883893e-06</v>
      </c>
      <c r="M931" s="5">
        <f>SUMPRODUCT(Exposures!$B$6:$K$6,B931:K931)</f>
        <v/>
      </c>
      <c r="N931" s="5">
        <f>IF(AND($A931&gt;=DATE(2020,2,1),$A931&lt;=DATE(2020,5,31)),$M931,"")</f>
        <v/>
      </c>
      <c r="O931" s="5">
        <f>IF(AND($A931&gt;=DATE(2022,1,1),$A931&lt;=DATE(2022,10,31)),$M931,"")</f>
        <v/>
      </c>
      <c r="P931" s="5">
        <f>IF(AND($A931&gt;=DATE(2018,10,1),$A931&lt;=DATE(2018,12,31)),$M931,"")</f>
        <v/>
      </c>
      <c r="Q931" s="5">
        <f>SUMPRODUCT(Exposures!$B$8:$K$8,B931:K931)</f>
        <v/>
      </c>
      <c r="R931" s="5">
        <f>SUMPRODUCT(Exposures!$B$9:$K$9,B931:K931)</f>
        <v/>
      </c>
      <c r="S931" s="5">
        <f>SUMPRODUCT(Exposures!$B$10:$K$10,B931:K931)</f>
        <v/>
      </c>
    </row>
    <row r="932">
      <c r="A932" s="1" t="n">
        <v>43809</v>
      </c>
      <c r="B932" s="5" t="n">
        <v>0.00179753577095219</v>
      </c>
      <c r="C932" s="5" t="n">
        <v>-0.001586995671208681</v>
      </c>
      <c r="D932" s="5" t="n">
        <v>0.0009065958814083609</v>
      </c>
      <c r="E932" s="5" t="n">
        <v>-0.00183134990216839</v>
      </c>
      <c r="F932" s="5" t="n">
        <v>-0.001405819983431911</v>
      </c>
      <c r="G932" s="5" t="n">
        <v>0.0001509073296224216</v>
      </c>
      <c r="H932" s="5" t="n">
        <v>-0.000762480507181073</v>
      </c>
      <c r="I932" s="5" t="n">
        <v>0.0003322488485739632</v>
      </c>
      <c r="J932" s="5" t="n">
        <v>0.000918695877720698</v>
      </c>
      <c r="K932" s="5" t="n">
        <v>0.001932910201804544</v>
      </c>
      <c r="L932" s="5" t="n">
        <v>0.002029655706920309</v>
      </c>
      <c r="M932" s="5">
        <f>SUMPRODUCT(Exposures!$B$6:$K$6,B932:K932)</f>
        <v/>
      </c>
      <c r="N932" s="5">
        <f>IF(AND($A932&gt;=DATE(2020,2,1),$A932&lt;=DATE(2020,5,31)),$M932,"")</f>
        <v/>
      </c>
      <c r="O932" s="5">
        <f>IF(AND($A932&gt;=DATE(2022,1,1),$A932&lt;=DATE(2022,10,31)),$M932,"")</f>
        <v/>
      </c>
      <c r="P932" s="5">
        <f>IF(AND($A932&gt;=DATE(2018,10,1),$A932&lt;=DATE(2018,12,31)),$M932,"")</f>
        <v/>
      </c>
      <c r="Q932" s="5">
        <f>SUMPRODUCT(Exposures!$B$8:$K$8,B932:K932)</f>
        <v/>
      </c>
      <c r="R932" s="5">
        <f>SUMPRODUCT(Exposures!$B$9:$K$9,B932:K932)</f>
        <v/>
      </c>
      <c r="S932" s="5">
        <f>SUMPRODUCT(Exposures!$B$10:$K$10,B932:K932)</f>
        <v/>
      </c>
    </row>
    <row r="933">
      <c r="A933" s="1" t="n">
        <v>43810</v>
      </c>
      <c r="B933" s="5" t="n">
        <v>0.002250443477050667</v>
      </c>
      <c r="C933" s="5" t="n">
        <v>0.001982871009704899</v>
      </c>
      <c r="D933" s="5" t="n">
        <v>-7.402808156305877e-05</v>
      </c>
      <c r="E933" s="5" t="n">
        <v>-0.0005975369461418947</v>
      </c>
      <c r="F933" s="5" t="n">
        <v>0.0002055865856827686</v>
      </c>
      <c r="G933" s="5" t="n">
        <v>0.0005693290119917723</v>
      </c>
      <c r="H933" s="5" t="n">
        <v>0.002488646366004012</v>
      </c>
      <c r="I933" s="5" t="n">
        <v>0.001276680088942386</v>
      </c>
      <c r="J933" s="5" t="n">
        <v>-0.001717871717954231</v>
      </c>
      <c r="K933" s="5" t="n">
        <v>-0.001155952351664741</v>
      </c>
      <c r="L933" s="5" t="n">
        <v>-0.0005308579520746901</v>
      </c>
      <c r="M933" s="5">
        <f>SUMPRODUCT(Exposures!$B$6:$K$6,B933:K933)</f>
        <v/>
      </c>
      <c r="N933" s="5">
        <f>IF(AND($A933&gt;=DATE(2020,2,1),$A933&lt;=DATE(2020,5,31)),$M933,"")</f>
        <v/>
      </c>
      <c r="O933" s="5">
        <f>IF(AND($A933&gt;=DATE(2022,1,1),$A933&lt;=DATE(2022,10,31)),$M933,"")</f>
        <v/>
      </c>
      <c r="P933" s="5">
        <f>IF(AND($A933&gt;=DATE(2018,10,1),$A933&lt;=DATE(2018,12,31)),$M933,"")</f>
        <v/>
      </c>
      <c r="Q933" s="5">
        <f>SUMPRODUCT(Exposures!$B$8:$K$8,B933:K933)</f>
        <v/>
      </c>
      <c r="R933" s="5">
        <f>SUMPRODUCT(Exposures!$B$9:$K$9,B933:K933)</f>
        <v/>
      </c>
      <c r="S933" s="5">
        <f>SUMPRODUCT(Exposures!$B$10:$K$10,B933:K933)</f>
        <v/>
      </c>
    </row>
    <row r="934">
      <c r="A934" s="1" t="n">
        <v>43811</v>
      </c>
      <c r="B934" s="5" t="n">
        <v>0.008186244531772273</v>
      </c>
      <c r="C934" s="5" t="n">
        <v>-0.002144489970316389</v>
      </c>
      <c r="D934" s="5" t="n">
        <v>-0.001957542926842085</v>
      </c>
      <c r="E934" s="5" t="n">
        <v>0.003184659175194607</v>
      </c>
      <c r="F934" s="5" t="n">
        <v>0.004043088301363848</v>
      </c>
      <c r="G934" s="5" t="n">
        <v>0.01258061427251182</v>
      </c>
      <c r="H934" s="5" t="n">
        <v>-0.004449026086409099</v>
      </c>
      <c r="I934" s="5" t="n">
        <v>0.00115012704968369</v>
      </c>
      <c r="J934" s="5" t="n">
        <v>0.001633446384121231</v>
      </c>
      <c r="K934" s="5" t="n">
        <v>-0.005174852563960511</v>
      </c>
      <c r="L934" s="5" t="n">
        <v>0.0006456841999966723</v>
      </c>
      <c r="M934" s="5">
        <f>SUMPRODUCT(Exposures!$B$6:$K$6,B934:K934)</f>
        <v/>
      </c>
      <c r="N934" s="5">
        <f>IF(AND($A934&gt;=DATE(2020,2,1),$A934&lt;=DATE(2020,5,31)),$M934,"")</f>
        <v/>
      </c>
      <c r="O934" s="5">
        <f>IF(AND($A934&gt;=DATE(2022,1,1),$A934&lt;=DATE(2022,10,31)),$M934,"")</f>
        <v/>
      </c>
      <c r="P934" s="5">
        <f>IF(AND($A934&gt;=DATE(2018,10,1),$A934&lt;=DATE(2018,12,31)),$M934,"")</f>
        <v/>
      </c>
      <c r="Q934" s="5">
        <f>SUMPRODUCT(Exposures!$B$8:$K$8,B934:K934)</f>
        <v/>
      </c>
      <c r="R934" s="5">
        <f>SUMPRODUCT(Exposures!$B$9:$K$9,B934:K934)</f>
        <v/>
      </c>
      <c r="S934" s="5">
        <f>SUMPRODUCT(Exposures!$B$10:$K$10,B934:K934)</f>
        <v/>
      </c>
    </row>
    <row r="935">
      <c r="A935" s="1" t="n">
        <v>43812</v>
      </c>
      <c r="B935" s="5" t="n">
        <v>-0.001669155971663166</v>
      </c>
      <c r="C935" s="5" t="n">
        <v>-0.0004989114384251174</v>
      </c>
      <c r="D935" s="5" t="n">
        <v>0.003758176869626392</v>
      </c>
      <c r="E935" s="5" t="n">
        <v>0.0005069155333418736</v>
      </c>
      <c r="F935" s="5" t="n">
        <v>0.001023884289354357</v>
      </c>
      <c r="G935" s="5" t="n">
        <v>-0.004158759000105526</v>
      </c>
      <c r="H935" s="5" t="n">
        <v>0.001366800607598768</v>
      </c>
      <c r="I935" s="5" t="n">
        <v>0.002566258068773695</v>
      </c>
      <c r="J935" s="5" t="n">
        <v>-0.004733400867168142</v>
      </c>
      <c r="K935" s="5" t="n">
        <v>-0.001746017378394358</v>
      </c>
      <c r="L935" s="5" t="n">
        <v>-0.002753615973684055</v>
      </c>
      <c r="M935" s="5">
        <f>SUMPRODUCT(Exposures!$B$6:$K$6,B935:K935)</f>
        <v/>
      </c>
      <c r="N935" s="5">
        <f>IF(AND($A935&gt;=DATE(2020,2,1),$A935&lt;=DATE(2020,5,31)),$M935,"")</f>
        <v/>
      </c>
      <c r="O935" s="5">
        <f>IF(AND($A935&gt;=DATE(2022,1,1),$A935&lt;=DATE(2022,10,31)),$M935,"")</f>
        <v/>
      </c>
      <c r="P935" s="5">
        <f>IF(AND($A935&gt;=DATE(2018,10,1),$A935&lt;=DATE(2018,12,31)),$M935,"")</f>
        <v/>
      </c>
      <c r="Q935" s="5">
        <f>SUMPRODUCT(Exposures!$B$8:$K$8,B935:K935)</f>
        <v/>
      </c>
      <c r="R935" s="5">
        <f>SUMPRODUCT(Exposures!$B$9:$K$9,B935:K935)</f>
        <v/>
      </c>
      <c r="S935" s="5">
        <f>SUMPRODUCT(Exposures!$B$10:$K$10,B935:K935)</f>
        <v/>
      </c>
    </row>
    <row r="936">
      <c r="A936" s="1" t="n">
        <v>43815</v>
      </c>
      <c r="B936" s="5" t="n">
        <v>0.0001226250479259695</v>
      </c>
      <c r="C936" s="5" t="n">
        <v>-0.001110019739485398</v>
      </c>
      <c r="D936" s="5" t="n">
        <v>0.001568755879014547</v>
      </c>
      <c r="E936" s="5" t="n">
        <v>0.001024880633580258</v>
      </c>
      <c r="F936" s="5" t="n">
        <v>0.002982864481752049</v>
      </c>
      <c r="G936" s="5" t="n">
        <v>0.007075461941856741</v>
      </c>
      <c r="H936" s="5" t="n">
        <v>-0.0003779780812090226</v>
      </c>
      <c r="I936" s="5" t="n">
        <v>-0.0009898191686677261</v>
      </c>
      <c r="J936" s="5" t="n">
        <v>0.00403411032943164</v>
      </c>
      <c r="K936" s="5" t="n">
        <v>0.0004845743777585176</v>
      </c>
      <c r="L936" s="5" t="n">
        <v>-0.0001154547231479479</v>
      </c>
      <c r="M936" s="5">
        <f>SUMPRODUCT(Exposures!$B$6:$K$6,B936:K936)</f>
        <v/>
      </c>
      <c r="N936" s="5">
        <f>IF(AND($A936&gt;=DATE(2020,2,1),$A936&lt;=DATE(2020,5,31)),$M936,"")</f>
        <v/>
      </c>
      <c r="O936" s="5">
        <f>IF(AND($A936&gt;=DATE(2022,1,1),$A936&lt;=DATE(2022,10,31)),$M936,"")</f>
        <v/>
      </c>
      <c r="P936" s="5">
        <f>IF(AND($A936&gt;=DATE(2018,10,1),$A936&lt;=DATE(2018,12,31)),$M936,"")</f>
        <v/>
      </c>
      <c r="Q936" s="5">
        <f>SUMPRODUCT(Exposures!$B$8:$K$8,B936:K936)</f>
        <v/>
      </c>
      <c r="R936" s="5">
        <f>SUMPRODUCT(Exposures!$B$9:$K$9,B936:K936)</f>
        <v/>
      </c>
      <c r="S936" s="5">
        <f>SUMPRODUCT(Exposures!$B$10:$K$10,B936:K936)</f>
        <v/>
      </c>
    </row>
    <row r="937">
      <c r="A937" s="1" t="n">
        <v>43816</v>
      </c>
      <c r="B937" s="5" t="n">
        <v>0.00308964101114775</v>
      </c>
      <c r="C937" s="5" t="n">
        <v>0.002183927040198956</v>
      </c>
      <c r="D937" s="5" t="n">
        <v>0.0009507844508811859</v>
      </c>
      <c r="E937" s="5" t="n">
        <v>0.0007529228639882857</v>
      </c>
      <c r="F937" s="5" t="n">
        <v>-9.132543098418992e-05</v>
      </c>
      <c r="G937" s="5" t="n">
        <v>0.001633916503719871</v>
      </c>
      <c r="H937" s="5" t="n">
        <v>0.000131701040597807</v>
      </c>
      <c r="I937" s="5" t="n">
        <v>0.0002242000067191272</v>
      </c>
      <c r="J937" s="5" t="n">
        <v>-0.001771859694828358</v>
      </c>
      <c r="K937" s="5" t="n">
        <v>-0.002091200865755984</v>
      </c>
      <c r="L937" s="5" t="n">
        <v>-0.0002338140906297427</v>
      </c>
      <c r="M937" s="5">
        <f>SUMPRODUCT(Exposures!$B$6:$K$6,B937:K937)</f>
        <v/>
      </c>
      <c r="N937" s="5">
        <f>IF(AND($A937&gt;=DATE(2020,2,1),$A937&lt;=DATE(2020,5,31)),$M937,"")</f>
        <v/>
      </c>
      <c r="O937" s="5">
        <f>IF(AND($A937&gt;=DATE(2022,1,1),$A937&lt;=DATE(2022,10,31)),$M937,"")</f>
        <v/>
      </c>
      <c r="P937" s="5">
        <f>IF(AND($A937&gt;=DATE(2018,10,1),$A937&lt;=DATE(2018,12,31)),$M937,"")</f>
        <v/>
      </c>
      <c r="Q937" s="5">
        <f>SUMPRODUCT(Exposures!$B$8:$K$8,B937:K937)</f>
        <v/>
      </c>
      <c r="R937" s="5">
        <f>SUMPRODUCT(Exposures!$B$9:$K$9,B937:K937)</f>
        <v/>
      </c>
      <c r="S937" s="5">
        <f>SUMPRODUCT(Exposures!$B$10:$K$10,B937:K937)</f>
        <v/>
      </c>
    </row>
    <row r="938">
      <c r="A938" s="1" t="n">
        <v>43817</v>
      </c>
      <c r="B938" s="5" t="n">
        <v>-0.001332659971462487</v>
      </c>
      <c r="C938" s="5" t="n">
        <v>-0.001440488840116805</v>
      </c>
      <c r="D938" s="5" t="n">
        <v>0.00199062729484812</v>
      </c>
      <c r="E938" s="5" t="n">
        <v>0.0002513944032385112</v>
      </c>
      <c r="F938" s="5" t="n">
        <v>0.0004892431991779385</v>
      </c>
      <c r="G938" s="5" t="n">
        <v>0.001579095986439217</v>
      </c>
      <c r="H938" s="5" t="n">
        <v>-0.002415967778957017</v>
      </c>
      <c r="I938" s="5" t="n">
        <v>0.0003810778027096804</v>
      </c>
      <c r="J938" s="5" t="n">
        <v>-0.00113904992768905</v>
      </c>
      <c r="K938" s="5" t="n">
        <v>-0.0008794367475903964</v>
      </c>
      <c r="L938" s="5" t="n">
        <v>0.000618480069988616</v>
      </c>
      <c r="M938" s="5">
        <f>SUMPRODUCT(Exposures!$B$6:$K$6,B938:K938)</f>
        <v/>
      </c>
      <c r="N938" s="5">
        <f>IF(AND($A938&gt;=DATE(2020,2,1),$A938&lt;=DATE(2020,5,31)),$M938,"")</f>
        <v/>
      </c>
      <c r="O938" s="5">
        <f>IF(AND($A938&gt;=DATE(2022,1,1),$A938&lt;=DATE(2022,10,31)),$M938,"")</f>
        <v/>
      </c>
      <c r="P938" s="5">
        <f>IF(AND($A938&gt;=DATE(2018,10,1),$A938&lt;=DATE(2018,12,31)),$M938,"")</f>
        <v/>
      </c>
      <c r="Q938" s="5">
        <f>SUMPRODUCT(Exposures!$B$8:$K$8,B938:K938)</f>
        <v/>
      </c>
      <c r="R938" s="5">
        <f>SUMPRODUCT(Exposures!$B$9:$K$9,B938:K938)</f>
        <v/>
      </c>
      <c r="S938" s="5">
        <f>SUMPRODUCT(Exposures!$B$10:$K$10,B938:K938)</f>
        <v/>
      </c>
    </row>
    <row r="939">
      <c r="A939" s="1" t="n">
        <v>43818</v>
      </c>
      <c r="B939" s="5" t="n">
        <v>0.0008840826040811302</v>
      </c>
      <c r="C939" s="5" t="n">
        <v>-0.001649863641089688</v>
      </c>
      <c r="D939" s="5" t="n">
        <v>0.001981021362812093</v>
      </c>
      <c r="E939" s="5" t="n">
        <v>0.002390442170343652</v>
      </c>
      <c r="F939" s="5" t="n">
        <v>0.003893669189808456</v>
      </c>
      <c r="G939" s="5" t="n">
        <v>0.003654004611426375</v>
      </c>
      <c r="H939" s="5" t="n">
        <v>0.0003005264251346731</v>
      </c>
      <c r="I939" s="5" t="n">
        <v>0.0009123418485928114</v>
      </c>
      <c r="J939" s="5" t="n">
        <v>0.0003578495120348952</v>
      </c>
      <c r="K939" s="5" t="n">
        <v>-0.003260351637083313</v>
      </c>
      <c r="L939" s="5" t="n">
        <v>-0.001949284800096491</v>
      </c>
      <c r="M939" s="5">
        <f>SUMPRODUCT(Exposures!$B$6:$K$6,B939:K939)</f>
        <v/>
      </c>
      <c r="N939" s="5">
        <f>IF(AND($A939&gt;=DATE(2020,2,1),$A939&lt;=DATE(2020,5,31)),$M939,"")</f>
        <v/>
      </c>
      <c r="O939" s="5">
        <f>IF(AND($A939&gt;=DATE(2022,1,1),$A939&lt;=DATE(2022,10,31)),$M939,"")</f>
        <v/>
      </c>
      <c r="P939" s="5">
        <f>IF(AND($A939&gt;=DATE(2018,10,1),$A939&lt;=DATE(2018,12,31)),$M939,"")</f>
        <v/>
      </c>
      <c r="Q939" s="5">
        <f>SUMPRODUCT(Exposures!$B$8:$K$8,B939:K939)</f>
        <v/>
      </c>
      <c r="R939" s="5">
        <f>SUMPRODUCT(Exposures!$B$9:$K$9,B939:K939)</f>
        <v/>
      </c>
      <c r="S939" s="5">
        <f>SUMPRODUCT(Exposures!$B$10:$K$10,B939:K939)</f>
        <v/>
      </c>
    </row>
    <row r="940">
      <c r="A940" s="1" t="n">
        <v>43819</v>
      </c>
      <c r="B940" s="5" t="n">
        <v>-0.000929930542315142</v>
      </c>
      <c r="C940" s="5" t="n">
        <v>0.001023922119345083</v>
      </c>
      <c r="D940" s="5" t="n">
        <v>-0.0004846578239445967</v>
      </c>
      <c r="E940" s="5" t="n">
        <v>0.0008293101497096471</v>
      </c>
      <c r="F940" s="5" t="n">
        <v>0.00143418607674273</v>
      </c>
      <c r="G940" s="5" t="n">
        <v>0.004254261731651009</v>
      </c>
      <c r="H940" s="5" t="n">
        <v>0.001801777850837129</v>
      </c>
      <c r="I940" s="5" t="n">
        <v>0.0001168469198530607</v>
      </c>
      <c r="J940" s="5" t="n">
        <v>-0.001022522296608775</v>
      </c>
      <c r="K940" s="5" t="n">
        <v>-0.001894484556175731</v>
      </c>
      <c r="L940" s="5" t="n">
        <v>-0.003952656339801301</v>
      </c>
      <c r="M940" s="5">
        <f>SUMPRODUCT(Exposures!$B$6:$K$6,B940:K940)</f>
        <v/>
      </c>
      <c r="N940" s="5">
        <f>IF(AND($A940&gt;=DATE(2020,2,1),$A940&lt;=DATE(2020,5,31)),$M940,"")</f>
        <v/>
      </c>
      <c r="O940" s="5">
        <f>IF(AND($A940&gt;=DATE(2022,1,1),$A940&lt;=DATE(2022,10,31)),$M940,"")</f>
        <v/>
      </c>
      <c r="P940" s="5">
        <f>IF(AND($A940&gt;=DATE(2018,10,1),$A940&lt;=DATE(2018,12,31)),$M940,"")</f>
        <v/>
      </c>
      <c r="Q940" s="5">
        <f>SUMPRODUCT(Exposures!$B$8:$K$8,B940:K940)</f>
        <v/>
      </c>
      <c r="R940" s="5">
        <f>SUMPRODUCT(Exposures!$B$9:$K$9,B940:K940)</f>
        <v/>
      </c>
      <c r="S940" s="5">
        <f>SUMPRODUCT(Exposures!$B$10:$K$10,B940:K940)</f>
        <v/>
      </c>
    </row>
    <row r="941">
      <c r="A941" s="1" t="n">
        <v>43822</v>
      </c>
      <c r="B941" s="5" t="n">
        <v>0.002120336589837504</v>
      </c>
      <c r="C941" s="5" t="n">
        <v>0.0004947932054812034</v>
      </c>
      <c r="D941" s="5" t="n">
        <v>-0.00319584141407286</v>
      </c>
      <c r="E941" s="5" t="n">
        <v>-0.002605284409071679</v>
      </c>
      <c r="F941" s="5" t="n">
        <v>-0.0007738473692129077</v>
      </c>
      <c r="G941" s="5" t="n">
        <v>0.0009981770727776321</v>
      </c>
      <c r="H941" s="5" t="n">
        <v>-0.002287224469454766</v>
      </c>
      <c r="I941" s="5" t="n">
        <v>-0.001560037042969044</v>
      </c>
      <c r="J941" s="5" t="n">
        <v>0.004513103421030156</v>
      </c>
      <c r="K941" s="5" t="n">
        <v>0.006408113943469771</v>
      </c>
      <c r="L941" s="5" t="n">
        <v>-0.0005386928415408084</v>
      </c>
      <c r="M941" s="5">
        <f>SUMPRODUCT(Exposures!$B$6:$K$6,B941:K941)</f>
        <v/>
      </c>
      <c r="N941" s="5">
        <f>IF(AND($A941&gt;=DATE(2020,2,1),$A941&lt;=DATE(2020,5,31)),$M941,"")</f>
        <v/>
      </c>
      <c r="O941" s="5">
        <f>IF(AND($A941&gt;=DATE(2022,1,1),$A941&lt;=DATE(2022,10,31)),$M941,"")</f>
        <v/>
      </c>
      <c r="P941" s="5">
        <f>IF(AND($A941&gt;=DATE(2018,10,1),$A941&lt;=DATE(2018,12,31)),$M941,"")</f>
        <v/>
      </c>
      <c r="Q941" s="5">
        <f>SUMPRODUCT(Exposures!$B$8:$K$8,B941:K941)</f>
        <v/>
      </c>
      <c r="R941" s="5">
        <f>SUMPRODUCT(Exposures!$B$9:$K$9,B941:K941)</f>
        <v/>
      </c>
      <c r="S941" s="5">
        <f>SUMPRODUCT(Exposures!$B$10:$K$10,B941:K941)</f>
        <v/>
      </c>
    </row>
    <row r="942">
      <c r="A942" s="1" t="n">
        <v>43823</v>
      </c>
      <c r="B942" s="5" t="n">
        <v>-0.0009747724385203207</v>
      </c>
      <c r="C942" s="5" t="n">
        <v>-0.001684387380089786</v>
      </c>
      <c r="D942" s="5" t="n">
        <v>-0.001290669199836042</v>
      </c>
      <c r="E942" s="5" t="n">
        <v>0.0002141463976146136</v>
      </c>
      <c r="F942" s="5" t="n">
        <v>0.002013376325375581</v>
      </c>
      <c r="G942" s="5" t="n">
        <v>0.001198698570169944</v>
      </c>
      <c r="H942" s="5" t="n">
        <v>0.002166458215625889</v>
      </c>
      <c r="I942" s="5" t="n">
        <v>-0.000300912272069088</v>
      </c>
      <c r="J942" s="5" t="n">
        <v>0.003142177229695327</v>
      </c>
      <c r="K942" s="5" t="n">
        <v>-0.001383659435369829</v>
      </c>
      <c r="L942" s="5" t="n">
        <v>0.001413180643978455</v>
      </c>
      <c r="M942" s="5">
        <f>SUMPRODUCT(Exposures!$B$6:$K$6,B942:K942)</f>
        <v/>
      </c>
      <c r="N942" s="5">
        <f>IF(AND($A942&gt;=DATE(2020,2,1),$A942&lt;=DATE(2020,5,31)),$M942,"")</f>
        <v/>
      </c>
      <c r="O942" s="5">
        <f>IF(AND($A942&gt;=DATE(2022,1,1),$A942&lt;=DATE(2022,10,31)),$M942,"")</f>
        <v/>
      </c>
      <c r="P942" s="5">
        <f>IF(AND($A942&gt;=DATE(2018,10,1),$A942&lt;=DATE(2018,12,31)),$M942,"")</f>
        <v/>
      </c>
      <c r="Q942" s="5">
        <f>SUMPRODUCT(Exposures!$B$8:$K$8,B942:K942)</f>
        <v/>
      </c>
      <c r="R942" s="5">
        <f>SUMPRODUCT(Exposures!$B$9:$K$9,B942:K942)</f>
        <v/>
      </c>
      <c r="S942" s="5">
        <f>SUMPRODUCT(Exposures!$B$10:$K$10,B942:K942)</f>
        <v/>
      </c>
    </row>
    <row r="943">
      <c r="A943" s="1" t="n">
        <v>43825</v>
      </c>
      <c r="B943" s="5" t="n">
        <v>0.001020651021465786</v>
      </c>
      <c r="C943" s="5" t="n">
        <v>0.000372167769157674</v>
      </c>
      <c r="D943" s="5" t="n">
        <v>0.0005903817393314437</v>
      </c>
      <c r="E943" s="5" t="n">
        <v>0.001045304839460265</v>
      </c>
      <c r="F943" s="5" t="n">
        <v>0.005774597203706999</v>
      </c>
      <c r="G943" s="5" t="n">
        <v>0.001884866987258553</v>
      </c>
      <c r="H943" s="5" t="n">
        <v>0.0002989874095891905</v>
      </c>
      <c r="I943" s="5" t="n">
        <v>0.00137589038794685</v>
      </c>
      <c r="J943" s="5" t="n">
        <v>-0.001518482978902918</v>
      </c>
      <c r="K943" s="5" t="n">
        <v>-0.005347920724757301</v>
      </c>
      <c r="L943" s="5" t="n">
        <v>-0.0002281102883829157</v>
      </c>
      <c r="M943" s="5">
        <f>SUMPRODUCT(Exposures!$B$6:$K$6,B943:K943)</f>
        <v/>
      </c>
      <c r="N943" s="5">
        <f>IF(AND($A943&gt;=DATE(2020,2,1),$A943&lt;=DATE(2020,5,31)),$M943,"")</f>
        <v/>
      </c>
      <c r="O943" s="5">
        <f>IF(AND($A943&gt;=DATE(2022,1,1),$A943&lt;=DATE(2022,10,31)),$M943,"")</f>
        <v/>
      </c>
      <c r="P943" s="5">
        <f>IF(AND($A943&gt;=DATE(2018,10,1),$A943&lt;=DATE(2018,12,31)),$M943,"")</f>
        <v/>
      </c>
      <c r="Q943" s="5">
        <f>SUMPRODUCT(Exposures!$B$8:$K$8,B943:K943)</f>
        <v/>
      </c>
      <c r="R943" s="5">
        <f>SUMPRODUCT(Exposures!$B$9:$K$9,B943:K943)</f>
        <v/>
      </c>
      <c r="S943" s="5">
        <f>SUMPRODUCT(Exposures!$B$10:$K$10,B943:K943)</f>
        <v/>
      </c>
    </row>
    <row r="944">
      <c r="A944" s="1" t="n">
        <v>43826</v>
      </c>
      <c r="B944" s="5" t="n">
        <v>-0.001482966839594026</v>
      </c>
      <c r="C944" s="5" t="n">
        <v>-0.001444554531123837</v>
      </c>
      <c r="D944" s="5" t="n">
        <v>-0.0004485271734334417</v>
      </c>
      <c r="E944" s="5" t="n">
        <v>-0.0003420328614669858</v>
      </c>
      <c r="F944" s="5" t="n">
        <v>-0.001183990199294266</v>
      </c>
      <c r="G944" s="5" t="n">
        <v>-0.002679027515798719</v>
      </c>
      <c r="H944" s="5" t="n">
        <v>0.001145586641929113</v>
      </c>
      <c r="I944" s="5" t="n">
        <v>4.817536748660508e-05</v>
      </c>
      <c r="J944" s="5" t="n">
        <v>-0.002287331257194757</v>
      </c>
      <c r="K944" s="5" t="n">
        <v>0.001647634497075268</v>
      </c>
      <c r="L944" s="5" t="n">
        <v>0.001046131553029158</v>
      </c>
      <c r="M944" s="5">
        <f>SUMPRODUCT(Exposures!$B$6:$K$6,B944:K944)</f>
        <v/>
      </c>
      <c r="N944" s="5">
        <f>IF(AND($A944&gt;=DATE(2020,2,1),$A944&lt;=DATE(2020,5,31)),$M944,"")</f>
        <v/>
      </c>
      <c r="O944" s="5">
        <f>IF(AND($A944&gt;=DATE(2022,1,1),$A944&lt;=DATE(2022,10,31)),$M944,"")</f>
        <v/>
      </c>
      <c r="P944" s="5">
        <f>IF(AND($A944&gt;=DATE(2018,10,1),$A944&lt;=DATE(2018,12,31)),$M944,"")</f>
        <v/>
      </c>
      <c r="Q944" s="5">
        <f>SUMPRODUCT(Exposures!$B$8:$K$8,B944:K944)</f>
        <v/>
      </c>
      <c r="R944" s="5">
        <f>SUMPRODUCT(Exposures!$B$9:$K$9,B944:K944)</f>
        <v/>
      </c>
      <c r="S944" s="5">
        <f>SUMPRODUCT(Exposures!$B$10:$K$10,B944:K944)</f>
        <v/>
      </c>
    </row>
    <row r="945">
      <c r="A945" s="1" t="n">
        <v>43829</v>
      </c>
      <c r="B945" s="5" t="n">
        <v>-0.000710482417217212</v>
      </c>
      <c r="C945" s="5" t="n">
        <v>-0.0001564334805068392</v>
      </c>
      <c r="D945" s="5" t="n">
        <v>0.000455387310712248</v>
      </c>
      <c r="E945" s="5" t="n">
        <v>0.001336095752190725</v>
      </c>
      <c r="F945" s="5" t="n">
        <v>0.0008670335108258084</v>
      </c>
      <c r="G945" s="5" t="n">
        <v>-0.004485336004622275</v>
      </c>
      <c r="H945" s="5" t="n">
        <v>0.0002390056576323091</v>
      </c>
      <c r="I945" s="5" t="n">
        <v>0.0004429451101503476</v>
      </c>
      <c r="J945" s="5" t="n">
        <v>-0.003233437321371041</v>
      </c>
      <c r="K945" s="5" t="n">
        <v>-0.003395454455975072</v>
      </c>
      <c r="L945" s="5" t="n">
        <v>-0.001264983069115794</v>
      </c>
      <c r="M945" s="5">
        <f>SUMPRODUCT(Exposures!$B$6:$K$6,B945:K945)</f>
        <v/>
      </c>
      <c r="N945" s="5">
        <f>IF(AND($A945&gt;=DATE(2020,2,1),$A945&lt;=DATE(2020,5,31)),$M945,"")</f>
        <v/>
      </c>
      <c r="O945" s="5">
        <f>IF(AND($A945&gt;=DATE(2022,1,1),$A945&lt;=DATE(2022,10,31)),$M945,"")</f>
        <v/>
      </c>
      <c r="P945" s="5">
        <f>IF(AND($A945&gt;=DATE(2018,10,1),$A945&lt;=DATE(2018,12,31)),$M945,"")</f>
        <v/>
      </c>
      <c r="Q945" s="5">
        <f>SUMPRODUCT(Exposures!$B$8:$K$8,B945:K945)</f>
        <v/>
      </c>
      <c r="R945" s="5">
        <f>SUMPRODUCT(Exposures!$B$9:$K$9,B945:K945)</f>
        <v/>
      </c>
      <c r="S945" s="5">
        <f>SUMPRODUCT(Exposures!$B$10:$K$10,B945:K945)</f>
        <v/>
      </c>
    </row>
    <row r="946">
      <c r="A946" s="1" t="n">
        <v>43830</v>
      </c>
      <c r="B946" s="5" t="n">
        <v>0.0001223287614512355</v>
      </c>
      <c r="C946" s="5" t="n">
        <v>-0.001065941706396813</v>
      </c>
      <c r="D946" s="5" t="n">
        <v>-0.001983171644768965</v>
      </c>
      <c r="E946" s="5" t="n">
        <v>0.001135086727101476</v>
      </c>
      <c r="F946" s="5" t="n">
        <v>0.002053302744509264</v>
      </c>
      <c r="G946" s="5" t="n">
        <v>0.00402694993748025</v>
      </c>
      <c r="H946" s="5" t="n">
        <v>-0.001743793892933029</v>
      </c>
      <c r="I946" s="5" t="n">
        <v>0.0001033671156610161</v>
      </c>
      <c r="J946" s="5" t="n">
        <v>0.0006343253189362184</v>
      </c>
      <c r="K946" s="5" t="n">
        <v>-0.002200720836452962</v>
      </c>
      <c r="L946" s="5" t="n">
        <v>1.020256864544965e-05</v>
      </c>
      <c r="M946" s="5">
        <f>SUMPRODUCT(Exposures!$B$6:$K$6,B946:K946)</f>
        <v/>
      </c>
      <c r="N946" s="5">
        <f>IF(AND($A946&gt;=DATE(2020,2,1),$A946&lt;=DATE(2020,5,31)),$M946,"")</f>
        <v/>
      </c>
      <c r="O946" s="5">
        <f>IF(AND($A946&gt;=DATE(2022,1,1),$A946&lt;=DATE(2022,10,31)),$M946,"")</f>
        <v/>
      </c>
      <c r="P946" s="5">
        <f>IF(AND($A946&gt;=DATE(2018,10,1),$A946&lt;=DATE(2018,12,31)),$M946,"")</f>
        <v/>
      </c>
      <c r="Q946" s="5">
        <f>SUMPRODUCT(Exposures!$B$8:$K$8,B946:K946)</f>
        <v/>
      </c>
      <c r="R946" s="5">
        <f>SUMPRODUCT(Exposures!$B$9:$K$9,B946:K946)</f>
        <v/>
      </c>
      <c r="S946" s="5">
        <f>SUMPRODUCT(Exposures!$B$10:$K$10,B946:K946)</f>
        <v/>
      </c>
    </row>
    <row r="947">
      <c r="A947" s="1" t="n">
        <v>43832</v>
      </c>
      <c r="B947" s="5" t="n">
        <v>0.00845478743757074</v>
      </c>
      <c r="C947" s="5" t="n">
        <v>0.0002376509189441657</v>
      </c>
      <c r="D947" s="5" t="n">
        <v>-0.001340170062553776</v>
      </c>
      <c r="E947" s="5" t="n">
        <v>-0.0005937621855051655</v>
      </c>
      <c r="F947" s="5" t="n">
        <v>0.007819236200134734</v>
      </c>
      <c r="G947" s="5" t="n">
        <v>0.001730471165138812</v>
      </c>
      <c r="H947" s="5" t="n">
        <v>0.002504603420076783</v>
      </c>
      <c r="I947" s="5" t="n">
        <v>0.001734503349302878</v>
      </c>
      <c r="J947" s="5" t="n">
        <v>-0.00216365021294491</v>
      </c>
      <c r="K947" s="5" t="n">
        <v>-0.004108955390154609</v>
      </c>
      <c r="L947" s="5" t="n">
        <v>-0.0004589258808082232</v>
      </c>
      <c r="M947" s="5">
        <f>SUMPRODUCT(Exposures!$B$6:$K$6,B947:K947)</f>
        <v/>
      </c>
      <c r="N947" s="5">
        <f>IF(AND($A947&gt;=DATE(2020,2,1),$A947&lt;=DATE(2020,5,31)),$M947,"")</f>
        <v/>
      </c>
      <c r="O947" s="5">
        <f>IF(AND($A947&gt;=DATE(2022,1,1),$A947&lt;=DATE(2022,10,31)),$M947,"")</f>
        <v/>
      </c>
      <c r="P947" s="5">
        <f>IF(AND($A947&gt;=DATE(2018,10,1),$A947&lt;=DATE(2018,12,31)),$M947,"")</f>
        <v/>
      </c>
      <c r="Q947" s="5">
        <f>SUMPRODUCT(Exposures!$B$8:$K$8,B947:K947)</f>
        <v/>
      </c>
      <c r="R947" s="5">
        <f>SUMPRODUCT(Exposures!$B$9:$K$9,B947:K947)</f>
        <v/>
      </c>
      <c r="S947" s="5">
        <f>SUMPRODUCT(Exposures!$B$10:$K$10,B947:K947)</f>
        <v/>
      </c>
    </row>
    <row r="948">
      <c r="A948" s="1" t="n">
        <v>43833</v>
      </c>
      <c r="B948" s="5" t="n">
        <v>-0.006152865066831083</v>
      </c>
      <c r="C948" s="5" t="n">
        <v>-0.002196580172852593</v>
      </c>
      <c r="D948" s="5" t="n">
        <v>-0.0005537973560531258</v>
      </c>
      <c r="E948" s="5" t="n">
        <v>-0.001083695324847319</v>
      </c>
      <c r="F948" s="5" t="n">
        <v>0.001084602821969224</v>
      </c>
      <c r="G948" s="5" t="n">
        <v>-0.007294851529487124</v>
      </c>
      <c r="H948" s="5" t="n">
        <v>0.002166653351004674</v>
      </c>
      <c r="I948" s="5" t="n">
        <v>-9.75781811326298e-05</v>
      </c>
      <c r="J948" s="5" t="n">
        <v>-0.001659824783952816</v>
      </c>
      <c r="K948" s="5" t="n">
        <v>-0.002053789585962811</v>
      </c>
      <c r="L948" s="5" t="n">
        <v>0.000821937519732378</v>
      </c>
      <c r="M948" s="5">
        <f>SUMPRODUCT(Exposures!$B$6:$K$6,B948:K948)</f>
        <v/>
      </c>
      <c r="N948" s="5">
        <f>IF(AND($A948&gt;=DATE(2020,2,1),$A948&lt;=DATE(2020,5,31)),$M948,"")</f>
        <v/>
      </c>
      <c r="O948" s="5">
        <f>IF(AND($A948&gt;=DATE(2022,1,1),$A948&lt;=DATE(2022,10,31)),$M948,"")</f>
        <v/>
      </c>
      <c r="P948" s="5">
        <f>IF(AND($A948&gt;=DATE(2018,10,1),$A948&lt;=DATE(2018,12,31)),$M948,"")</f>
        <v/>
      </c>
      <c r="Q948" s="5">
        <f>SUMPRODUCT(Exposures!$B$8:$K$8,B948:K948)</f>
        <v/>
      </c>
      <c r="R948" s="5">
        <f>SUMPRODUCT(Exposures!$B$9:$K$9,B948:K948)</f>
        <v/>
      </c>
      <c r="S948" s="5">
        <f>SUMPRODUCT(Exposures!$B$10:$K$10,B948:K948)</f>
        <v/>
      </c>
    </row>
    <row r="949">
      <c r="A949" s="1" t="n">
        <v>43836</v>
      </c>
      <c r="B949" s="5" t="n">
        <v>-0.002440135006177717</v>
      </c>
      <c r="C949" s="5" t="n">
        <v>-0.001214551063680548</v>
      </c>
      <c r="D949" s="5" t="n">
        <v>0.001014686999492984</v>
      </c>
      <c r="E949" s="5" t="n">
        <v>-7.982651758760642e-05</v>
      </c>
      <c r="F949" s="5" t="n">
        <v>0.002984319714460816</v>
      </c>
      <c r="G949" s="5" t="n">
        <v>0.002440207980256034</v>
      </c>
      <c r="H949" s="5" t="n">
        <v>0.001096548598117592</v>
      </c>
      <c r="I949" s="5" t="n">
        <v>0.0001380335063935689</v>
      </c>
      <c r="J949" s="5" t="n">
        <v>0.004362401033831093</v>
      </c>
      <c r="K949" s="5" t="n">
        <v>-0.0007127723518593034</v>
      </c>
      <c r="L949" s="5" t="n">
        <v>-0.000104956477995719</v>
      </c>
      <c r="M949" s="5">
        <f>SUMPRODUCT(Exposures!$B$6:$K$6,B949:K949)</f>
        <v/>
      </c>
      <c r="N949" s="5">
        <f>IF(AND($A949&gt;=DATE(2020,2,1),$A949&lt;=DATE(2020,5,31)),$M949,"")</f>
        <v/>
      </c>
      <c r="O949" s="5">
        <f>IF(AND($A949&gt;=DATE(2022,1,1),$A949&lt;=DATE(2022,10,31)),$M949,"")</f>
        <v/>
      </c>
      <c r="P949" s="5">
        <f>IF(AND($A949&gt;=DATE(2018,10,1),$A949&lt;=DATE(2018,12,31)),$M949,"")</f>
        <v/>
      </c>
      <c r="Q949" s="5">
        <f>SUMPRODUCT(Exposures!$B$8:$K$8,B949:K949)</f>
        <v/>
      </c>
      <c r="R949" s="5">
        <f>SUMPRODUCT(Exposures!$B$9:$K$9,B949:K949)</f>
        <v/>
      </c>
      <c r="S949" s="5">
        <f>SUMPRODUCT(Exposures!$B$10:$K$10,B949:K949)</f>
        <v/>
      </c>
    </row>
    <row r="950">
      <c r="A950" s="1" t="n">
        <v>43837</v>
      </c>
      <c r="B950" s="5" t="n">
        <v>0.002691901924894997</v>
      </c>
      <c r="C950" s="5" t="n">
        <v>-0.001359312746150093</v>
      </c>
      <c r="D950" s="5" t="n">
        <v>-0.0005110917685085778</v>
      </c>
      <c r="E950" s="5" t="n">
        <v>-0.002267723298461118</v>
      </c>
      <c r="F950" s="5" t="n">
        <v>9.465928212028284e-05</v>
      </c>
      <c r="G950" s="5" t="n">
        <v>-0.0009101514194858562</v>
      </c>
      <c r="H950" s="5" t="n">
        <v>-0.0009566361371452827</v>
      </c>
      <c r="I950" s="5" t="n">
        <v>-0.001624490572975205</v>
      </c>
      <c r="J950" s="5" t="n">
        <v>0.0008098053425238214</v>
      </c>
      <c r="K950" s="5" t="n">
        <v>0.001354770885325421</v>
      </c>
      <c r="L950" s="5" t="n">
        <v>0.00107147539988919</v>
      </c>
      <c r="M950" s="5">
        <f>SUMPRODUCT(Exposures!$B$6:$K$6,B950:K950)</f>
        <v/>
      </c>
      <c r="N950" s="5">
        <f>IF(AND($A950&gt;=DATE(2020,2,1),$A950&lt;=DATE(2020,5,31)),$M950,"")</f>
        <v/>
      </c>
      <c r="O950" s="5">
        <f>IF(AND($A950&gt;=DATE(2022,1,1),$A950&lt;=DATE(2022,10,31)),$M950,"")</f>
        <v/>
      </c>
      <c r="P950" s="5">
        <f>IF(AND($A950&gt;=DATE(2018,10,1),$A950&lt;=DATE(2018,12,31)),$M950,"")</f>
        <v/>
      </c>
      <c r="Q950" s="5">
        <f>SUMPRODUCT(Exposures!$B$8:$K$8,B950:K950)</f>
        <v/>
      </c>
      <c r="R950" s="5">
        <f>SUMPRODUCT(Exposures!$B$9:$K$9,B950:K950)</f>
        <v/>
      </c>
      <c r="S950" s="5">
        <f>SUMPRODUCT(Exposures!$B$10:$K$10,B950:K950)</f>
        <v/>
      </c>
    </row>
    <row r="951">
      <c r="A951" s="1" t="n">
        <v>43838</v>
      </c>
      <c r="B951" s="5" t="n">
        <v>0.002096332546207296</v>
      </c>
      <c r="C951" s="5" t="n">
        <v>0.002611534900264378</v>
      </c>
      <c r="D951" s="5" t="n">
        <v>0.001346084135469695</v>
      </c>
      <c r="E951" s="5" t="n">
        <v>0.001535073338393531</v>
      </c>
      <c r="F951" s="5" t="n">
        <v>-0.0001466364333996284</v>
      </c>
      <c r="G951" s="5" t="n">
        <v>0.001777825907076607</v>
      </c>
      <c r="H951" s="5" t="n">
        <v>0.001182866392827521</v>
      </c>
      <c r="I951" s="5" t="n">
        <v>0.001849644261016997</v>
      </c>
      <c r="J951" s="5" t="n">
        <v>-0.00127561029990697</v>
      </c>
      <c r="K951" s="5" t="n">
        <v>-0.000886294492576856</v>
      </c>
      <c r="L951" s="5" t="n">
        <v>-0.003510999255428146</v>
      </c>
      <c r="M951" s="5">
        <f>SUMPRODUCT(Exposures!$B$6:$K$6,B951:K951)</f>
        <v/>
      </c>
      <c r="N951" s="5">
        <f>IF(AND($A951&gt;=DATE(2020,2,1),$A951&lt;=DATE(2020,5,31)),$M951,"")</f>
        <v/>
      </c>
      <c r="O951" s="5">
        <f>IF(AND($A951&gt;=DATE(2022,1,1),$A951&lt;=DATE(2022,10,31)),$M951,"")</f>
        <v/>
      </c>
      <c r="P951" s="5">
        <f>IF(AND($A951&gt;=DATE(2018,10,1),$A951&lt;=DATE(2018,12,31)),$M951,"")</f>
        <v/>
      </c>
      <c r="Q951" s="5">
        <f>SUMPRODUCT(Exposures!$B$8:$K$8,B951:K951)</f>
        <v/>
      </c>
      <c r="R951" s="5">
        <f>SUMPRODUCT(Exposures!$B$9:$K$9,B951:K951)</f>
        <v/>
      </c>
      <c r="S951" s="5">
        <f>SUMPRODUCT(Exposures!$B$10:$K$10,B951:K951)</f>
        <v/>
      </c>
    </row>
    <row r="952">
      <c r="A952" s="1" t="n">
        <v>43839</v>
      </c>
      <c r="B952" s="5" t="n">
        <v>-0.000430318942760671</v>
      </c>
      <c r="C952" s="5" t="n">
        <v>0.00209204745871713</v>
      </c>
      <c r="D952" s="5" t="n">
        <v>-0.000837165440997835</v>
      </c>
      <c r="E952" s="5" t="n">
        <v>0.0003484351246250213</v>
      </c>
      <c r="F952" s="5" t="n">
        <v>0.003231275780738449</v>
      </c>
      <c r="G952" s="5" t="n">
        <v>0.002432983877001511</v>
      </c>
      <c r="H952" s="5" t="n">
        <v>0.0035209627709849</v>
      </c>
      <c r="I952" s="5" t="n">
        <v>0.001803921813841657</v>
      </c>
      <c r="J952" s="5" t="n">
        <v>-0.001468757353639205</v>
      </c>
      <c r="K952" s="5" t="n">
        <v>-0.001445343651705572</v>
      </c>
      <c r="L952" s="5" t="n">
        <v>-0.002896699819164866</v>
      </c>
      <c r="M952" s="5">
        <f>SUMPRODUCT(Exposures!$B$6:$K$6,B952:K952)</f>
        <v/>
      </c>
      <c r="N952" s="5">
        <f>IF(AND($A952&gt;=DATE(2020,2,1),$A952&lt;=DATE(2020,5,31)),$M952,"")</f>
        <v/>
      </c>
      <c r="O952" s="5">
        <f>IF(AND($A952&gt;=DATE(2022,1,1),$A952&lt;=DATE(2022,10,31)),$M952,"")</f>
        <v/>
      </c>
      <c r="P952" s="5">
        <f>IF(AND($A952&gt;=DATE(2018,10,1),$A952&lt;=DATE(2018,12,31)),$M952,"")</f>
        <v/>
      </c>
      <c r="Q952" s="5">
        <f>SUMPRODUCT(Exposures!$B$8:$K$8,B952:K952)</f>
        <v/>
      </c>
      <c r="R952" s="5">
        <f>SUMPRODUCT(Exposures!$B$9:$K$9,B952:K952)</f>
        <v/>
      </c>
      <c r="S952" s="5">
        <f>SUMPRODUCT(Exposures!$B$10:$K$10,B952:K952)</f>
        <v/>
      </c>
    </row>
    <row r="953">
      <c r="A953" s="1" t="n">
        <v>43840</v>
      </c>
      <c r="B953" s="5" t="n">
        <v>-0.004481199739491664</v>
      </c>
      <c r="C953" s="5" t="n">
        <v>0.001325929169922701</v>
      </c>
      <c r="D953" s="5" t="n">
        <v>0.0003125679697648293</v>
      </c>
      <c r="E953" s="5" t="n">
        <v>-7.548112226514356e-05</v>
      </c>
      <c r="F953" s="5" t="n">
        <v>0.001388618694681601</v>
      </c>
      <c r="G953" s="5" t="n">
        <v>-0.004548352415222194</v>
      </c>
      <c r="H953" s="5" t="n">
        <v>0.002463755785131841</v>
      </c>
      <c r="I953" s="5" t="n">
        <v>-0.0002052611493095645</v>
      </c>
      <c r="J953" s="5" t="n">
        <v>0.000189893447552005</v>
      </c>
      <c r="K953" s="5" t="n">
        <v>-0.0008240785355918046</v>
      </c>
      <c r="L953" s="5" t="n">
        <v>-0.001711072131392785</v>
      </c>
      <c r="M953" s="5">
        <f>SUMPRODUCT(Exposures!$B$6:$K$6,B953:K953)</f>
        <v/>
      </c>
      <c r="N953" s="5">
        <f>IF(AND($A953&gt;=DATE(2020,2,1),$A953&lt;=DATE(2020,5,31)),$M953,"")</f>
        <v/>
      </c>
      <c r="O953" s="5">
        <f>IF(AND($A953&gt;=DATE(2022,1,1),$A953&lt;=DATE(2022,10,31)),$M953,"")</f>
        <v/>
      </c>
      <c r="P953" s="5">
        <f>IF(AND($A953&gt;=DATE(2018,10,1),$A953&lt;=DATE(2018,12,31)),$M953,"")</f>
        <v/>
      </c>
      <c r="Q953" s="5">
        <f>SUMPRODUCT(Exposures!$B$8:$K$8,B953:K953)</f>
        <v/>
      </c>
      <c r="R953" s="5">
        <f>SUMPRODUCT(Exposures!$B$9:$K$9,B953:K953)</f>
        <v/>
      </c>
      <c r="S953" s="5">
        <f>SUMPRODUCT(Exposures!$B$10:$K$10,B953:K953)</f>
        <v/>
      </c>
    </row>
    <row r="954">
      <c r="A954" s="1" t="n">
        <v>43843</v>
      </c>
      <c r="B954" s="5" t="n">
        <v>0.002704794310974692</v>
      </c>
      <c r="C954" s="5" t="n">
        <v>0.004083369356187307</v>
      </c>
      <c r="D954" s="5" t="n">
        <v>-0.003121433248706063</v>
      </c>
      <c r="E954" s="5" t="n">
        <v>0.001559949127568318</v>
      </c>
      <c r="F954" s="5" t="n">
        <v>-0.002034015258718698</v>
      </c>
      <c r="G954" s="5" t="n">
        <v>0.005641244893629542</v>
      </c>
      <c r="H954" s="5" t="n">
        <v>0.002927077023659989</v>
      </c>
      <c r="I954" s="5" t="n">
        <v>0.001041168019584252</v>
      </c>
      <c r="J954" s="5" t="n">
        <v>-0.004240823958683927</v>
      </c>
      <c r="K954" s="5" t="n">
        <v>-0.0005453635235851788</v>
      </c>
      <c r="L954" s="5" t="n">
        <v>-0.001363474613392091</v>
      </c>
      <c r="M954" s="5">
        <f>SUMPRODUCT(Exposures!$B$6:$K$6,B954:K954)</f>
        <v/>
      </c>
      <c r="N954" s="5">
        <f>IF(AND($A954&gt;=DATE(2020,2,1),$A954&lt;=DATE(2020,5,31)),$M954,"")</f>
        <v/>
      </c>
      <c r="O954" s="5">
        <f>IF(AND($A954&gt;=DATE(2022,1,1),$A954&lt;=DATE(2022,10,31)),$M954,"")</f>
        <v/>
      </c>
      <c r="P954" s="5">
        <f>IF(AND($A954&gt;=DATE(2018,10,1),$A954&lt;=DATE(2018,12,31)),$M954,"")</f>
        <v/>
      </c>
      <c r="Q954" s="5">
        <f>SUMPRODUCT(Exposures!$B$8:$K$8,B954:K954)</f>
        <v/>
      </c>
      <c r="R954" s="5">
        <f>SUMPRODUCT(Exposures!$B$9:$K$9,B954:K954)</f>
        <v/>
      </c>
      <c r="S954" s="5">
        <f>SUMPRODUCT(Exposures!$B$10:$K$10,B954:K954)</f>
        <v/>
      </c>
    </row>
    <row r="955">
      <c r="A955" s="1" t="n">
        <v>43844</v>
      </c>
      <c r="B955" s="5" t="n">
        <v>0.0002559332823424802</v>
      </c>
      <c r="C955" s="5" t="n">
        <v>-0.001566233376912219</v>
      </c>
      <c r="D955" s="5" t="n">
        <v>0.001598587141675308</v>
      </c>
      <c r="E955" s="5" t="n">
        <v>0.0005708889918541588</v>
      </c>
      <c r="F955" s="5" t="n">
        <v>0.0005863137910835764</v>
      </c>
      <c r="G955" s="5" t="n">
        <v>0.002911736620549702</v>
      </c>
      <c r="H955" s="5" t="n">
        <v>-0.006078216841471504</v>
      </c>
      <c r="I955" s="5" t="n">
        <v>-0.001702942956910342</v>
      </c>
      <c r="J955" s="5" t="n">
        <v>0.001980771203638632</v>
      </c>
      <c r="K955" s="5" t="n">
        <v>0.0005998903036108349</v>
      </c>
      <c r="L955" s="5" t="n">
        <v>0.001617919797675302</v>
      </c>
      <c r="M955" s="5">
        <f>SUMPRODUCT(Exposures!$B$6:$K$6,B955:K955)</f>
        <v/>
      </c>
      <c r="N955" s="5">
        <f>IF(AND($A955&gt;=DATE(2020,2,1),$A955&lt;=DATE(2020,5,31)),$M955,"")</f>
        <v/>
      </c>
      <c r="O955" s="5">
        <f>IF(AND($A955&gt;=DATE(2022,1,1),$A955&lt;=DATE(2022,10,31)),$M955,"")</f>
        <v/>
      </c>
      <c r="P955" s="5">
        <f>IF(AND($A955&gt;=DATE(2018,10,1),$A955&lt;=DATE(2018,12,31)),$M955,"")</f>
        <v/>
      </c>
      <c r="Q955" s="5">
        <f>SUMPRODUCT(Exposures!$B$8:$K$8,B955:K955)</f>
        <v/>
      </c>
      <c r="R955" s="5">
        <f>SUMPRODUCT(Exposures!$B$9:$K$9,B955:K955)</f>
        <v/>
      </c>
      <c r="S955" s="5">
        <f>SUMPRODUCT(Exposures!$B$10:$K$10,B955:K955)</f>
        <v/>
      </c>
    </row>
    <row r="956">
      <c r="A956" s="1" t="n">
        <v>43845</v>
      </c>
      <c r="B956" s="5" t="n">
        <v>-0.004472146995533969</v>
      </c>
      <c r="C956" s="5" t="n">
        <v>-0.00235330206843669</v>
      </c>
      <c r="D956" s="5" t="n">
        <v>0.0001544900230691192</v>
      </c>
      <c r="E956" s="5" t="n">
        <v>-0.0003894629531178591</v>
      </c>
      <c r="F956" s="5" t="n">
        <v>0.001773708748553501</v>
      </c>
      <c r="G956" s="5" t="n">
        <v>0.004870240123297242</v>
      </c>
      <c r="H956" s="5" t="n">
        <v>-0.001404992749972824</v>
      </c>
      <c r="I956" s="5" t="n">
        <v>0.001311914195193578</v>
      </c>
      <c r="J956" s="5" t="n">
        <v>0.001180877487786768</v>
      </c>
      <c r="K956" s="5" t="n">
        <v>-0.003485936967180923</v>
      </c>
      <c r="L956" s="5" t="n">
        <v>-0.0008881939605112167</v>
      </c>
      <c r="M956" s="5">
        <f>SUMPRODUCT(Exposures!$B$6:$K$6,B956:K956)</f>
        <v/>
      </c>
      <c r="N956" s="5">
        <f>IF(AND($A956&gt;=DATE(2020,2,1),$A956&lt;=DATE(2020,5,31)),$M956,"")</f>
        <v/>
      </c>
      <c r="O956" s="5">
        <f>IF(AND($A956&gt;=DATE(2022,1,1),$A956&lt;=DATE(2022,10,31)),$M956,"")</f>
        <v/>
      </c>
      <c r="P956" s="5">
        <f>IF(AND($A956&gt;=DATE(2018,10,1),$A956&lt;=DATE(2018,12,31)),$M956,"")</f>
        <v/>
      </c>
      <c r="Q956" s="5">
        <f>SUMPRODUCT(Exposures!$B$8:$K$8,B956:K956)</f>
        <v/>
      </c>
      <c r="R956" s="5">
        <f>SUMPRODUCT(Exposures!$B$9:$K$9,B956:K956)</f>
        <v/>
      </c>
      <c r="S956" s="5">
        <f>SUMPRODUCT(Exposures!$B$10:$K$10,B956:K956)</f>
        <v/>
      </c>
    </row>
    <row r="957">
      <c r="A957" s="1" t="n">
        <v>43846</v>
      </c>
      <c r="B957" s="5" t="n">
        <v>0.002668789870255365</v>
      </c>
      <c r="C957" s="5" t="n">
        <v>0.003345564255849235</v>
      </c>
      <c r="D957" s="5" t="n">
        <v>-0.0008957850627123901</v>
      </c>
      <c r="E957" s="5" t="n">
        <v>-0.001432748654189883</v>
      </c>
      <c r="F957" s="5" t="n">
        <v>-0.001821602263397224</v>
      </c>
      <c r="G957" s="5" t="n">
        <v>0.008910514315177625</v>
      </c>
      <c r="H957" s="5" t="n">
        <v>0.001440807578917332</v>
      </c>
      <c r="I957" s="5" t="n">
        <v>0.00121936495153965</v>
      </c>
      <c r="J957" s="5" t="n">
        <v>-0.001224413809184131</v>
      </c>
      <c r="K957" s="5" t="n">
        <v>-0.003996851110475852</v>
      </c>
      <c r="L957" s="5" t="n">
        <v>-0.004367390689276703</v>
      </c>
      <c r="M957" s="5">
        <f>SUMPRODUCT(Exposures!$B$6:$K$6,B957:K957)</f>
        <v/>
      </c>
      <c r="N957" s="5">
        <f>IF(AND($A957&gt;=DATE(2020,2,1),$A957&lt;=DATE(2020,5,31)),$M957,"")</f>
        <v/>
      </c>
      <c r="O957" s="5">
        <f>IF(AND($A957&gt;=DATE(2022,1,1),$A957&lt;=DATE(2022,10,31)),$M957,"")</f>
        <v/>
      </c>
      <c r="P957" s="5">
        <f>IF(AND($A957&gt;=DATE(2018,10,1),$A957&lt;=DATE(2018,12,31)),$M957,"")</f>
        <v/>
      </c>
      <c r="Q957" s="5">
        <f>SUMPRODUCT(Exposures!$B$8:$K$8,B957:K957)</f>
        <v/>
      </c>
      <c r="R957" s="5">
        <f>SUMPRODUCT(Exposures!$B$9:$K$9,B957:K957)</f>
        <v/>
      </c>
      <c r="S957" s="5">
        <f>SUMPRODUCT(Exposures!$B$10:$K$10,B957:K957)</f>
        <v/>
      </c>
    </row>
    <row r="958">
      <c r="A958" s="1" t="n">
        <v>43847</v>
      </c>
      <c r="B958" s="5" t="n">
        <v>0.001074626638996688</v>
      </c>
      <c r="C958" s="5" t="n">
        <v>0.0008926667582594436</v>
      </c>
      <c r="D958" s="5" t="n">
        <v>-0.0004336778092451344</v>
      </c>
      <c r="E958" s="5" t="n">
        <v>-0.001970363161312242</v>
      </c>
      <c r="F958" s="5" t="n">
        <v>-0.0029092900912484</v>
      </c>
      <c r="G958" s="5" t="n">
        <v>-0.0005216231822396663</v>
      </c>
      <c r="H958" s="5" t="n">
        <v>0.002503917067398494</v>
      </c>
      <c r="I958" s="5" t="n">
        <v>0.0001341693791596735</v>
      </c>
      <c r="J958" s="5" t="n">
        <v>-0.003921580263435085</v>
      </c>
      <c r="K958" s="5" t="n">
        <v>0.003028652191665897</v>
      </c>
      <c r="L958" s="5" t="n">
        <v>0.001256690220117259</v>
      </c>
      <c r="M958" s="5">
        <f>SUMPRODUCT(Exposures!$B$6:$K$6,B958:K958)</f>
        <v/>
      </c>
      <c r="N958" s="5">
        <f>IF(AND($A958&gt;=DATE(2020,2,1),$A958&lt;=DATE(2020,5,31)),$M958,"")</f>
        <v/>
      </c>
      <c r="O958" s="5">
        <f>IF(AND($A958&gt;=DATE(2022,1,1),$A958&lt;=DATE(2022,10,31)),$M958,"")</f>
        <v/>
      </c>
      <c r="P958" s="5">
        <f>IF(AND($A958&gt;=DATE(2018,10,1),$A958&lt;=DATE(2018,12,31)),$M958,"")</f>
        <v/>
      </c>
      <c r="Q958" s="5">
        <f>SUMPRODUCT(Exposures!$B$8:$K$8,B958:K958)</f>
        <v/>
      </c>
      <c r="R958" s="5">
        <f>SUMPRODUCT(Exposures!$B$9:$K$9,B958:K958)</f>
        <v/>
      </c>
      <c r="S958" s="5">
        <f>SUMPRODUCT(Exposures!$B$10:$K$10,B958:K958)</f>
        <v/>
      </c>
    </row>
    <row r="959">
      <c r="A959" s="1" t="n">
        <v>43851</v>
      </c>
      <c r="B959" s="5" t="n">
        <v>-0.005832083291315048</v>
      </c>
      <c r="C959" s="5" t="n">
        <v>-0.0009496099330750708</v>
      </c>
      <c r="D959" s="5" t="n">
        <v>-0.0007282370675503546</v>
      </c>
      <c r="E959" s="5" t="n">
        <v>0.001125601068602006</v>
      </c>
      <c r="F959" s="5" t="n">
        <v>0.004814289576004133</v>
      </c>
      <c r="G959" s="5" t="n">
        <v>-0.00579635840163302</v>
      </c>
      <c r="H959" s="5" t="n">
        <v>0.002316923898463271</v>
      </c>
      <c r="I959" s="5" t="n">
        <v>0.001269438515521528</v>
      </c>
      <c r="J959" s="5" t="n">
        <v>9.353886523768597e-05</v>
      </c>
      <c r="K959" s="5" t="n">
        <v>-0.004558856825964431</v>
      </c>
      <c r="L959" s="5" t="n">
        <v>-0.002874078460298856</v>
      </c>
      <c r="M959" s="5">
        <f>SUMPRODUCT(Exposures!$B$6:$K$6,B959:K959)</f>
        <v/>
      </c>
      <c r="N959" s="5">
        <f>IF(AND($A959&gt;=DATE(2020,2,1),$A959&lt;=DATE(2020,5,31)),$M959,"")</f>
        <v/>
      </c>
      <c r="O959" s="5">
        <f>IF(AND($A959&gt;=DATE(2022,1,1),$A959&lt;=DATE(2022,10,31)),$M959,"")</f>
        <v/>
      </c>
      <c r="P959" s="5">
        <f>IF(AND($A959&gt;=DATE(2018,10,1),$A959&lt;=DATE(2018,12,31)),$M959,"")</f>
        <v/>
      </c>
      <c r="Q959" s="5">
        <f>SUMPRODUCT(Exposures!$B$8:$K$8,B959:K959)</f>
        <v/>
      </c>
      <c r="R959" s="5">
        <f>SUMPRODUCT(Exposures!$B$9:$K$9,B959:K959)</f>
        <v/>
      </c>
      <c r="S959" s="5">
        <f>SUMPRODUCT(Exposures!$B$10:$K$10,B959:K959)</f>
        <v/>
      </c>
    </row>
    <row r="960">
      <c r="A960" s="1" t="n">
        <v>43852</v>
      </c>
      <c r="B960" s="5" t="n">
        <v>0.001788412986275095</v>
      </c>
      <c r="C960" s="5" t="n">
        <v>0.0007133492681073728</v>
      </c>
      <c r="D960" s="5" t="n">
        <v>0.002712261438506603</v>
      </c>
      <c r="E960" s="5" t="n">
        <v>0.001855634495454688</v>
      </c>
      <c r="F960" s="5" t="n">
        <v>-0.003134188074195163</v>
      </c>
      <c r="G960" s="5" t="n">
        <v>0.0005915776631350447</v>
      </c>
      <c r="H960" s="5" t="n">
        <v>0.002587463017197718</v>
      </c>
      <c r="I960" s="5" t="n">
        <v>0.0009275141016534025</v>
      </c>
      <c r="J960" s="5" t="n">
        <v>-0.001881259542134385</v>
      </c>
      <c r="K960" s="5" t="n">
        <v>0.002347961148162146</v>
      </c>
      <c r="L960" s="5" t="n">
        <v>0.0009336212421573763</v>
      </c>
      <c r="M960" s="5">
        <f>SUMPRODUCT(Exposures!$B$6:$K$6,B960:K960)</f>
        <v/>
      </c>
      <c r="N960" s="5">
        <f>IF(AND($A960&gt;=DATE(2020,2,1),$A960&lt;=DATE(2020,5,31)),$M960,"")</f>
        <v/>
      </c>
      <c r="O960" s="5">
        <f>IF(AND($A960&gt;=DATE(2022,1,1),$A960&lt;=DATE(2022,10,31)),$M960,"")</f>
        <v/>
      </c>
      <c r="P960" s="5">
        <f>IF(AND($A960&gt;=DATE(2018,10,1),$A960&lt;=DATE(2018,12,31)),$M960,"")</f>
        <v/>
      </c>
      <c r="Q960" s="5">
        <f>SUMPRODUCT(Exposures!$B$8:$K$8,B960:K960)</f>
        <v/>
      </c>
      <c r="R960" s="5">
        <f>SUMPRODUCT(Exposures!$B$9:$K$9,B960:K960)</f>
        <v/>
      </c>
      <c r="S960" s="5">
        <f>SUMPRODUCT(Exposures!$B$10:$K$10,B960:K960)</f>
        <v/>
      </c>
    </row>
    <row r="961">
      <c r="A961" s="1" t="n">
        <v>43853</v>
      </c>
      <c r="B961" s="5" t="n">
        <v>-0.000672788010323575</v>
      </c>
      <c r="C961" s="5" t="n">
        <v>-0.0009433375784078182</v>
      </c>
      <c r="D961" s="5" t="n">
        <v>-0.0002581221242825577</v>
      </c>
      <c r="E961" s="5" t="n">
        <v>-0.002436376082821889</v>
      </c>
      <c r="F961" s="5" t="n">
        <v>0.00540830812347629</v>
      </c>
      <c r="G961" s="5" t="n">
        <v>0.0008649934165097211</v>
      </c>
      <c r="H961" s="5" t="n">
        <v>0.001089230146130117</v>
      </c>
      <c r="I961" s="5" t="n">
        <v>-0.001336151564558734</v>
      </c>
      <c r="J961" s="5" t="n">
        <v>-0.003934210673616257</v>
      </c>
      <c r="K961" s="5" t="n">
        <v>-0.006100548521154037</v>
      </c>
      <c r="L961" s="5" t="n">
        <v>-7.965428646722892e-05</v>
      </c>
      <c r="M961" s="5">
        <f>SUMPRODUCT(Exposures!$B$6:$K$6,B961:K961)</f>
        <v/>
      </c>
      <c r="N961" s="5">
        <f>IF(AND($A961&gt;=DATE(2020,2,1),$A961&lt;=DATE(2020,5,31)),$M961,"")</f>
        <v/>
      </c>
      <c r="O961" s="5">
        <f>IF(AND($A961&gt;=DATE(2022,1,1),$A961&lt;=DATE(2022,10,31)),$M961,"")</f>
        <v/>
      </c>
      <c r="P961" s="5">
        <f>IF(AND($A961&gt;=DATE(2018,10,1),$A961&lt;=DATE(2018,12,31)),$M961,"")</f>
        <v/>
      </c>
      <c r="Q961" s="5">
        <f>SUMPRODUCT(Exposures!$B$8:$K$8,B961:K961)</f>
        <v/>
      </c>
      <c r="R961" s="5">
        <f>SUMPRODUCT(Exposures!$B$9:$K$9,B961:K961)</f>
        <v/>
      </c>
      <c r="S961" s="5">
        <f>SUMPRODUCT(Exposures!$B$10:$K$10,B961:K961)</f>
        <v/>
      </c>
    </row>
    <row r="962">
      <c r="A962" s="1" t="n">
        <v>43854</v>
      </c>
      <c r="B962" s="5" t="n">
        <v>-0.003798373931456816</v>
      </c>
      <c r="C962" s="5" t="n">
        <v>0.001537890581123066</v>
      </c>
      <c r="D962" s="5" t="n">
        <v>-0.002222978713129218</v>
      </c>
      <c r="E962" s="5" t="n">
        <v>-0.002299282421616777</v>
      </c>
      <c r="F962" s="5" t="n">
        <v>-0.0006683090665854127</v>
      </c>
      <c r="G962" s="5" t="n">
        <v>-0.01192095707686769</v>
      </c>
      <c r="H962" s="5" t="n">
        <v>0.002958937461659946</v>
      </c>
      <c r="I962" s="5" t="n">
        <v>0.0006062864366797815</v>
      </c>
      <c r="J962" s="5" t="n">
        <v>-0.004322307642255383</v>
      </c>
      <c r="K962" s="5" t="n">
        <v>-0.001437671910897191</v>
      </c>
      <c r="L962" s="5" t="n">
        <v>-0.002034586510263506</v>
      </c>
      <c r="M962" s="5">
        <f>SUMPRODUCT(Exposures!$B$6:$K$6,B962:K962)</f>
        <v/>
      </c>
      <c r="N962" s="5">
        <f>IF(AND($A962&gt;=DATE(2020,2,1),$A962&lt;=DATE(2020,5,31)),$M962,"")</f>
        <v/>
      </c>
      <c r="O962" s="5">
        <f>IF(AND($A962&gt;=DATE(2022,1,1),$A962&lt;=DATE(2022,10,31)),$M962,"")</f>
        <v/>
      </c>
      <c r="P962" s="5">
        <f>IF(AND($A962&gt;=DATE(2018,10,1),$A962&lt;=DATE(2018,12,31)),$M962,"")</f>
        <v/>
      </c>
      <c r="Q962" s="5">
        <f>SUMPRODUCT(Exposures!$B$8:$K$8,B962:K962)</f>
        <v/>
      </c>
      <c r="R962" s="5">
        <f>SUMPRODUCT(Exposures!$B$9:$K$9,B962:K962)</f>
        <v/>
      </c>
      <c r="S962" s="5">
        <f>SUMPRODUCT(Exposures!$B$10:$K$10,B962:K962)</f>
        <v/>
      </c>
    </row>
    <row r="963">
      <c r="A963" s="1" t="n">
        <v>43857</v>
      </c>
      <c r="B963" s="5" t="n">
        <v>-0.008806755568363481</v>
      </c>
      <c r="C963" s="5" t="n">
        <v>-0.003129396334947038</v>
      </c>
      <c r="D963" s="5" t="n">
        <v>0.0002865995877432115</v>
      </c>
      <c r="E963" s="5" t="n">
        <v>0.002033753063987731</v>
      </c>
      <c r="F963" s="5" t="n">
        <v>0.002433224604235549</v>
      </c>
      <c r="G963" s="5" t="n">
        <v>-0.01446336429927966</v>
      </c>
      <c r="H963" s="5" t="n">
        <v>0.001654017776827019</v>
      </c>
      <c r="I963" s="5" t="n">
        <v>0.001449311663528549</v>
      </c>
      <c r="J963" s="5" t="n">
        <v>0.002422845439850644</v>
      </c>
      <c r="K963" s="5" t="n">
        <v>-0.004461147924356193</v>
      </c>
      <c r="L963" s="5" t="n">
        <v>0.0001670641986579317</v>
      </c>
      <c r="M963" s="5">
        <f>SUMPRODUCT(Exposures!$B$6:$K$6,B963:K963)</f>
        <v/>
      </c>
      <c r="N963" s="5">
        <f>IF(AND($A963&gt;=DATE(2020,2,1),$A963&lt;=DATE(2020,5,31)),$M963,"")</f>
        <v/>
      </c>
      <c r="O963" s="5">
        <f>IF(AND($A963&gt;=DATE(2022,1,1),$A963&lt;=DATE(2022,10,31)),$M963,"")</f>
        <v/>
      </c>
      <c r="P963" s="5">
        <f>IF(AND($A963&gt;=DATE(2018,10,1),$A963&lt;=DATE(2018,12,31)),$M963,"")</f>
        <v/>
      </c>
      <c r="Q963" s="5">
        <f>SUMPRODUCT(Exposures!$B$8:$K$8,B963:K963)</f>
        <v/>
      </c>
      <c r="R963" s="5">
        <f>SUMPRODUCT(Exposures!$B$9:$K$9,B963:K963)</f>
        <v/>
      </c>
      <c r="S963" s="5">
        <f>SUMPRODUCT(Exposures!$B$10:$K$10,B963:K963)</f>
        <v/>
      </c>
    </row>
    <row r="964">
      <c r="A964" s="1" t="n">
        <v>43858</v>
      </c>
      <c r="B964" s="5" t="n">
        <v>0.003842948720564007</v>
      </c>
      <c r="C964" s="5" t="n">
        <v>0.001029213406149177</v>
      </c>
      <c r="D964" s="5" t="n">
        <v>-0.003041748253926822</v>
      </c>
      <c r="E964" s="5" t="n">
        <v>-0.0014153193080318</v>
      </c>
      <c r="F964" s="5" t="n">
        <v>0.002678859297119864</v>
      </c>
      <c r="G964" s="5" t="n">
        <v>0.007040916872046929</v>
      </c>
      <c r="H964" s="5" t="n">
        <v>0.002448324972062275</v>
      </c>
      <c r="I964" s="5" t="n">
        <v>3.380510979471177e-05</v>
      </c>
      <c r="J964" s="5" t="n">
        <v>-0.0005150816557230886</v>
      </c>
      <c r="K964" s="5" t="n">
        <v>-0.0008055015084975627</v>
      </c>
      <c r="L964" s="5" t="n">
        <v>0.0001301307160735726</v>
      </c>
      <c r="M964" s="5">
        <f>SUMPRODUCT(Exposures!$B$6:$K$6,B964:K964)</f>
        <v/>
      </c>
      <c r="N964" s="5">
        <f>IF(AND($A964&gt;=DATE(2020,2,1),$A964&lt;=DATE(2020,5,31)),$M964,"")</f>
        <v/>
      </c>
      <c r="O964" s="5">
        <f>IF(AND($A964&gt;=DATE(2022,1,1),$A964&lt;=DATE(2022,10,31)),$M964,"")</f>
        <v/>
      </c>
      <c r="P964" s="5">
        <f>IF(AND($A964&gt;=DATE(2018,10,1),$A964&lt;=DATE(2018,12,31)),$M964,"")</f>
        <v/>
      </c>
      <c r="Q964" s="5">
        <f>SUMPRODUCT(Exposures!$B$8:$K$8,B964:K964)</f>
        <v/>
      </c>
      <c r="R964" s="5">
        <f>SUMPRODUCT(Exposures!$B$9:$K$9,B964:K964)</f>
        <v/>
      </c>
      <c r="S964" s="5">
        <f>SUMPRODUCT(Exposures!$B$10:$K$10,B964:K964)</f>
        <v/>
      </c>
    </row>
    <row r="965">
      <c r="A965" s="1" t="n">
        <v>43859</v>
      </c>
      <c r="B965" s="5" t="n">
        <v>-0.0008959155498138705</v>
      </c>
      <c r="C965" s="5" t="n">
        <v>0.001908607768073832</v>
      </c>
      <c r="D965" s="5" t="n">
        <v>-0.0008497525086075591</v>
      </c>
      <c r="E965" s="5" t="n">
        <v>-0.002311378137073956</v>
      </c>
      <c r="F965" s="5" t="n">
        <v>-0.002802064030392336</v>
      </c>
      <c r="G965" s="5" t="n">
        <v>-0.00254599201973662</v>
      </c>
      <c r="H965" s="5" t="n">
        <v>-0.0005010771047325216</v>
      </c>
      <c r="I965" s="5" t="n">
        <v>-0.003485331632010565</v>
      </c>
      <c r="J965" s="5" t="n">
        <v>-0.003599063184665818</v>
      </c>
      <c r="K965" s="5" t="n">
        <v>0.002045883501985014</v>
      </c>
      <c r="L965" s="5" t="n">
        <v>0.0002573621146735363</v>
      </c>
      <c r="M965" s="5">
        <f>SUMPRODUCT(Exposures!$B$6:$K$6,B965:K965)</f>
        <v/>
      </c>
      <c r="N965" s="5">
        <f>IF(AND($A965&gt;=DATE(2020,2,1),$A965&lt;=DATE(2020,5,31)),$M965,"")</f>
        <v/>
      </c>
      <c r="O965" s="5">
        <f>IF(AND($A965&gt;=DATE(2022,1,1),$A965&lt;=DATE(2022,10,31)),$M965,"")</f>
        <v/>
      </c>
      <c r="P965" s="5">
        <f>IF(AND($A965&gt;=DATE(2018,10,1),$A965&lt;=DATE(2018,12,31)),$M965,"")</f>
        <v/>
      </c>
      <c r="Q965" s="5">
        <f>SUMPRODUCT(Exposures!$B$8:$K$8,B965:K965)</f>
        <v/>
      </c>
      <c r="R965" s="5">
        <f>SUMPRODUCT(Exposures!$B$9:$K$9,B965:K965)</f>
        <v/>
      </c>
      <c r="S965" s="5">
        <f>SUMPRODUCT(Exposures!$B$10:$K$10,B965:K965)</f>
        <v/>
      </c>
    </row>
    <row r="966">
      <c r="A966" s="1" t="n">
        <v>43860</v>
      </c>
      <c r="B966" s="5" t="n">
        <v>0.0001777849637827492</v>
      </c>
      <c r="C966" s="5" t="n">
        <v>-0.00091126855575636</v>
      </c>
      <c r="D966" s="5" t="n">
        <v>0.001363787584357211</v>
      </c>
      <c r="E966" s="5" t="n">
        <v>0.002317030989668358</v>
      </c>
      <c r="F966" s="5" t="n">
        <v>0.002534955957038993</v>
      </c>
      <c r="G966" s="5" t="n">
        <v>-0.00112096461989336</v>
      </c>
      <c r="H966" s="5" t="n">
        <v>0.001739803952828522</v>
      </c>
      <c r="I966" s="5" t="n">
        <v>5.936408249024614e-05</v>
      </c>
      <c r="J966" s="5" t="n">
        <v>-0.006104288224826645</v>
      </c>
      <c r="K966" s="5" t="n">
        <v>-0.003197003161437079</v>
      </c>
      <c r="L966" s="5" t="n">
        <v>0.0004313351443707418</v>
      </c>
      <c r="M966" s="5">
        <f>SUMPRODUCT(Exposures!$B$6:$K$6,B966:K966)</f>
        <v/>
      </c>
      <c r="N966" s="5">
        <f>IF(AND($A966&gt;=DATE(2020,2,1),$A966&lt;=DATE(2020,5,31)),$M966,"")</f>
        <v/>
      </c>
      <c r="O966" s="5">
        <f>IF(AND($A966&gt;=DATE(2022,1,1),$A966&lt;=DATE(2022,10,31)),$M966,"")</f>
        <v/>
      </c>
      <c r="P966" s="5">
        <f>IF(AND($A966&gt;=DATE(2018,10,1),$A966&lt;=DATE(2018,12,31)),$M966,"")</f>
        <v/>
      </c>
      <c r="Q966" s="5">
        <f>SUMPRODUCT(Exposures!$B$8:$K$8,B966:K966)</f>
        <v/>
      </c>
      <c r="R966" s="5">
        <f>SUMPRODUCT(Exposures!$B$9:$K$9,B966:K966)</f>
        <v/>
      </c>
      <c r="S966" s="5">
        <f>SUMPRODUCT(Exposures!$B$10:$K$10,B966:K966)</f>
        <v/>
      </c>
    </row>
    <row r="967">
      <c r="A967" s="1" t="n">
        <v>43861</v>
      </c>
      <c r="B967" s="5" t="n">
        <v>-0.007615072310616021</v>
      </c>
      <c r="C967" s="5" t="n">
        <v>-0.001061222968800544</v>
      </c>
      <c r="D967" s="5" t="n">
        <v>0.002626952836598607</v>
      </c>
      <c r="E967" s="5" t="n">
        <v>0.0002774871977142919</v>
      </c>
      <c r="F967" s="5" t="n">
        <v>0.004439918317314676</v>
      </c>
      <c r="G967" s="5" t="n">
        <v>-0.01815835165718813</v>
      </c>
      <c r="H967" s="5" t="n">
        <v>0.0007024820948431411</v>
      </c>
      <c r="I967" s="5" t="n">
        <v>-0.0009990180021199773</v>
      </c>
      <c r="J967" s="5" t="n">
        <v>0.0008588503556036233</v>
      </c>
      <c r="K967" s="5" t="n">
        <v>-0.00191339315496348</v>
      </c>
      <c r="L967" s="5" t="n">
        <v>0.0001776026929936754</v>
      </c>
      <c r="M967" s="5">
        <f>SUMPRODUCT(Exposures!$B$6:$K$6,B967:K967)</f>
        <v/>
      </c>
      <c r="N967" s="5">
        <f>IF(AND($A967&gt;=DATE(2020,2,1),$A967&lt;=DATE(2020,5,31)),$M967,"")</f>
        <v/>
      </c>
      <c r="O967" s="5">
        <f>IF(AND($A967&gt;=DATE(2022,1,1),$A967&lt;=DATE(2022,10,31)),$M967,"")</f>
        <v/>
      </c>
      <c r="P967" s="5">
        <f>IF(AND($A967&gt;=DATE(2018,10,1),$A967&lt;=DATE(2018,12,31)),$M967,"")</f>
        <v/>
      </c>
      <c r="Q967" s="5">
        <f>SUMPRODUCT(Exposures!$B$8:$K$8,B967:K967)</f>
        <v/>
      </c>
      <c r="R967" s="5">
        <f>SUMPRODUCT(Exposures!$B$9:$K$9,B967:K967)</f>
        <v/>
      </c>
      <c r="S967" s="5">
        <f>SUMPRODUCT(Exposures!$B$10:$K$10,B967:K967)</f>
        <v/>
      </c>
    </row>
    <row r="968">
      <c r="A968" s="1" t="n">
        <v>43864</v>
      </c>
      <c r="B968" s="5" t="n">
        <v>0.003124057174997758</v>
      </c>
      <c r="C968" s="5" t="n">
        <v>0.0003247468488852505</v>
      </c>
      <c r="D968" s="5" t="n">
        <v>-0.005018395611157089</v>
      </c>
      <c r="E968" s="5" t="n">
        <v>-0.0008088934329184758</v>
      </c>
      <c r="F968" s="5" t="n">
        <v>-0.0005274702852594636</v>
      </c>
      <c r="G968" s="5" t="n">
        <v>0.007727872136523821</v>
      </c>
      <c r="H968" s="5" t="n">
        <v>0.002740749226664314</v>
      </c>
      <c r="I968" s="5" t="n">
        <v>0.0007917823953158468</v>
      </c>
      <c r="J968" s="5" t="n">
        <v>0.0009114582518064334</v>
      </c>
      <c r="K968" s="5" t="n">
        <v>9.086683010664639e-05</v>
      </c>
      <c r="L968" s="5" t="n">
        <v>0.001423199026215861</v>
      </c>
      <c r="M968" s="5">
        <f>SUMPRODUCT(Exposures!$B$6:$K$6,B968:K968)</f>
        <v/>
      </c>
      <c r="N968" s="5">
        <f>IF(AND($A968&gt;=DATE(2020,2,1),$A968&lt;=DATE(2020,5,31)),$M968,"")</f>
        <v/>
      </c>
      <c r="O968" s="5">
        <f>IF(AND($A968&gt;=DATE(2022,1,1),$A968&lt;=DATE(2022,10,31)),$M968,"")</f>
        <v/>
      </c>
      <c r="P968" s="5">
        <f>IF(AND($A968&gt;=DATE(2018,10,1),$A968&lt;=DATE(2018,12,31)),$M968,"")</f>
        <v/>
      </c>
      <c r="Q968" s="5">
        <f>SUMPRODUCT(Exposures!$B$8:$K$8,B968:K968)</f>
        <v/>
      </c>
      <c r="R968" s="5">
        <f>SUMPRODUCT(Exposures!$B$9:$K$9,B968:K968)</f>
        <v/>
      </c>
      <c r="S968" s="5">
        <f>SUMPRODUCT(Exposures!$B$10:$K$10,B968:K968)</f>
        <v/>
      </c>
    </row>
    <row r="969">
      <c r="A969" s="1" t="n">
        <v>43865</v>
      </c>
      <c r="B969" s="5" t="n">
        <v>0.009417674450708782</v>
      </c>
      <c r="C969" s="5" t="n">
        <v>0.0009446029145626185</v>
      </c>
      <c r="D969" s="5" t="n">
        <v>0.0001262783371090669</v>
      </c>
      <c r="E969" s="5" t="n">
        <v>-0.0004642790582782806</v>
      </c>
      <c r="F969" s="5" t="n">
        <v>-0.002495963661116562</v>
      </c>
      <c r="G969" s="5" t="n">
        <v>0.01624336694127855</v>
      </c>
      <c r="H969" s="5" t="n">
        <v>-0.0005016507543575688</v>
      </c>
      <c r="I969" s="5" t="n">
        <v>0.0003864581690357144</v>
      </c>
      <c r="J969" s="5" t="n">
        <v>0.001508154415327419</v>
      </c>
      <c r="K969" s="5" t="n">
        <v>0.00304962984809097</v>
      </c>
      <c r="L969" s="5" t="n">
        <v>-0.003485694483282254</v>
      </c>
      <c r="M969" s="5">
        <f>SUMPRODUCT(Exposures!$B$6:$K$6,B969:K969)</f>
        <v/>
      </c>
      <c r="N969" s="5">
        <f>IF(AND($A969&gt;=DATE(2020,2,1),$A969&lt;=DATE(2020,5,31)),$M969,"")</f>
        <v/>
      </c>
      <c r="O969" s="5">
        <f>IF(AND($A969&gt;=DATE(2022,1,1),$A969&lt;=DATE(2022,10,31)),$M969,"")</f>
        <v/>
      </c>
      <c r="P969" s="5">
        <f>IF(AND($A969&gt;=DATE(2018,10,1),$A969&lt;=DATE(2018,12,31)),$M969,"")</f>
        <v/>
      </c>
      <c r="Q969" s="5">
        <f>SUMPRODUCT(Exposures!$B$8:$K$8,B969:K969)</f>
        <v/>
      </c>
      <c r="R969" s="5">
        <f>SUMPRODUCT(Exposures!$B$9:$K$9,B969:K969)</f>
        <v/>
      </c>
      <c r="S969" s="5">
        <f>SUMPRODUCT(Exposures!$B$10:$K$10,B969:K969)</f>
        <v/>
      </c>
    </row>
    <row r="970">
      <c r="A970" s="1" t="n">
        <v>43866</v>
      </c>
      <c r="B970" s="5" t="n">
        <v>-0.0008633388968191443</v>
      </c>
      <c r="C970" s="5" t="n">
        <v>0.003401914408935077</v>
      </c>
      <c r="D970" s="5" t="n">
        <v>-0.001031124271789943</v>
      </c>
      <c r="E970" s="5" t="n">
        <v>0.002878923867810971</v>
      </c>
      <c r="F970" s="5" t="n">
        <v>-0.001828008372483355</v>
      </c>
      <c r="G970" s="5" t="n">
        <v>0.01726783187119443</v>
      </c>
      <c r="H970" s="5" t="n">
        <v>-0.00676861988363578</v>
      </c>
      <c r="I970" s="5" t="n">
        <v>-0.002116852139361825</v>
      </c>
      <c r="J970" s="5" t="n">
        <v>0.01167190117799627</v>
      </c>
      <c r="K970" s="5" t="n">
        <v>0.009462018318490978</v>
      </c>
      <c r="L970" s="5" t="n">
        <v>0.001561061274029307</v>
      </c>
      <c r="M970" s="5">
        <f>SUMPRODUCT(Exposures!$B$6:$K$6,B970:K970)</f>
        <v/>
      </c>
      <c r="N970" s="5">
        <f>IF(AND($A970&gt;=DATE(2020,2,1),$A970&lt;=DATE(2020,5,31)),$M970,"")</f>
        <v/>
      </c>
      <c r="O970" s="5">
        <f>IF(AND($A970&gt;=DATE(2022,1,1),$A970&lt;=DATE(2022,10,31)),$M970,"")</f>
        <v/>
      </c>
      <c r="P970" s="5">
        <f>IF(AND($A970&gt;=DATE(2018,10,1),$A970&lt;=DATE(2018,12,31)),$M970,"")</f>
        <v/>
      </c>
      <c r="Q970" s="5">
        <f>SUMPRODUCT(Exposures!$B$8:$K$8,B970:K970)</f>
        <v/>
      </c>
      <c r="R970" s="5">
        <f>SUMPRODUCT(Exposures!$B$9:$K$9,B970:K970)</f>
        <v/>
      </c>
      <c r="S970" s="5">
        <f>SUMPRODUCT(Exposures!$B$10:$K$10,B970:K970)</f>
        <v/>
      </c>
    </row>
    <row r="971">
      <c r="A971" s="1" t="n">
        <v>43867</v>
      </c>
      <c r="B971" s="5" t="n">
        <v>-0.004246481164971331</v>
      </c>
      <c r="C971" s="5" t="n">
        <v>-0.0007787343479344205</v>
      </c>
      <c r="D971" s="5" t="n">
        <v>-0.001072677642172917</v>
      </c>
      <c r="E971" s="5" t="n">
        <v>0.0008258498309130994</v>
      </c>
      <c r="F971" s="5" t="n">
        <v>0.01044167296988943</v>
      </c>
      <c r="G971" s="5" t="n">
        <v>-0.005186248980607063</v>
      </c>
      <c r="H971" s="5" t="n">
        <v>0.002308072758848009</v>
      </c>
      <c r="I971" s="5" t="n">
        <v>0.0003108765785662232</v>
      </c>
      <c r="J971" s="5" t="n">
        <v>0.0006690985766809802</v>
      </c>
      <c r="K971" s="5" t="n">
        <v>-0.005163820198433427</v>
      </c>
      <c r="L971" s="5" t="n">
        <v>-0.0003764536376755513</v>
      </c>
      <c r="M971" s="5">
        <f>SUMPRODUCT(Exposures!$B$6:$K$6,B971:K971)</f>
        <v/>
      </c>
      <c r="N971" s="5">
        <f>IF(AND($A971&gt;=DATE(2020,2,1),$A971&lt;=DATE(2020,5,31)),$M971,"")</f>
        <v/>
      </c>
      <c r="O971" s="5">
        <f>IF(AND($A971&gt;=DATE(2022,1,1),$A971&lt;=DATE(2022,10,31)),$M971,"")</f>
        <v/>
      </c>
      <c r="P971" s="5">
        <f>IF(AND($A971&gt;=DATE(2018,10,1),$A971&lt;=DATE(2018,12,31)),$M971,"")</f>
        <v/>
      </c>
      <c r="Q971" s="5">
        <f>SUMPRODUCT(Exposures!$B$8:$K$8,B971:K971)</f>
        <v/>
      </c>
      <c r="R971" s="5">
        <f>SUMPRODUCT(Exposures!$B$9:$K$9,B971:K971)</f>
        <v/>
      </c>
      <c r="S971" s="5">
        <f>SUMPRODUCT(Exposures!$B$10:$K$10,B971:K971)</f>
        <v/>
      </c>
    </row>
    <row r="972">
      <c r="A972" s="1" t="n">
        <v>43868</v>
      </c>
      <c r="B972" s="5" t="n">
        <v>-0.004171836197390217</v>
      </c>
      <c r="C972" s="5" t="n">
        <v>-0.001089184727965486</v>
      </c>
      <c r="D972" s="5" t="n">
        <v>-0.00706416535116604</v>
      </c>
      <c r="E972" s="5" t="n">
        <v>0.001949652853995372</v>
      </c>
      <c r="F972" s="5" t="n">
        <v>0.007877979041406809</v>
      </c>
      <c r="G972" s="5" t="n">
        <v>-0.01086791058878074</v>
      </c>
      <c r="H972" s="5" t="n">
        <v>0.002324748535276266</v>
      </c>
      <c r="I972" s="5" t="n">
        <v>0.0006963974948792065</v>
      </c>
      <c r="J972" s="5" t="n">
        <v>-0.002661191039420447</v>
      </c>
      <c r="K972" s="5" t="n">
        <v>-0.006506868078421605</v>
      </c>
      <c r="L972" s="5" t="n">
        <v>0.001141028215640404</v>
      </c>
      <c r="M972" s="5">
        <f>SUMPRODUCT(Exposures!$B$6:$K$6,B972:K972)</f>
        <v/>
      </c>
      <c r="N972" s="5">
        <f>IF(AND($A972&gt;=DATE(2020,2,1),$A972&lt;=DATE(2020,5,31)),$M972,"")</f>
        <v/>
      </c>
      <c r="O972" s="5">
        <f>IF(AND($A972&gt;=DATE(2022,1,1),$A972&lt;=DATE(2022,10,31)),$M972,"")</f>
        <v/>
      </c>
      <c r="P972" s="5">
        <f>IF(AND($A972&gt;=DATE(2018,10,1),$A972&lt;=DATE(2018,12,31)),$M972,"")</f>
        <v/>
      </c>
      <c r="Q972" s="5">
        <f>SUMPRODUCT(Exposures!$B$8:$K$8,B972:K972)</f>
        <v/>
      </c>
      <c r="R972" s="5">
        <f>SUMPRODUCT(Exposures!$B$9:$K$9,B972:K972)</f>
        <v/>
      </c>
      <c r="S972" s="5">
        <f>SUMPRODUCT(Exposures!$B$10:$K$10,B972:K972)</f>
        <v/>
      </c>
    </row>
    <row r="973">
      <c r="A973" s="1" t="n">
        <v>43871</v>
      </c>
      <c r="B973" s="5" t="n">
        <v>-0.0004654583132211189</v>
      </c>
      <c r="C973" s="5" t="n">
        <v>-0.002776670100621308</v>
      </c>
      <c r="D973" s="5" t="n">
        <v>-0.003973755919952162</v>
      </c>
      <c r="E973" s="5" t="n">
        <v>0.0008589477644959395</v>
      </c>
      <c r="F973" s="5" t="n">
        <v>0.003201722474636651</v>
      </c>
      <c r="G973" s="5" t="n">
        <v>0.005450719550642682</v>
      </c>
      <c r="H973" s="5" t="n">
        <v>0.005102233496278308</v>
      </c>
      <c r="I973" s="5" t="n">
        <v>0.0006034887294342189</v>
      </c>
      <c r="J973" s="5" t="n">
        <v>0.004002858470663676</v>
      </c>
      <c r="K973" s="5" t="n">
        <v>-0.000591228473322231</v>
      </c>
      <c r="L973" s="5" t="n">
        <v>-0.0007163298430510356</v>
      </c>
      <c r="M973" s="5">
        <f>SUMPRODUCT(Exposures!$B$6:$K$6,B973:K973)</f>
        <v/>
      </c>
      <c r="N973" s="5">
        <f>IF(AND($A973&gt;=DATE(2020,2,1),$A973&lt;=DATE(2020,5,31)),$M973,"")</f>
        <v/>
      </c>
      <c r="O973" s="5">
        <f>IF(AND($A973&gt;=DATE(2022,1,1),$A973&lt;=DATE(2022,10,31)),$M973,"")</f>
        <v/>
      </c>
      <c r="P973" s="5">
        <f>IF(AND($A973&gt;=DATE(2018,10,1),$A973&lt;=DATE(2018,12,31)),$M973,"")</f>
        <v/>
      </c>
      <c r="Q973" s="5">
        <f>SUMPRODUCT(Exposures!$B$8:$K$8,B973:K973)</f>
        <v/>
      </c>
      <c r="R973" s="5">
        <f>SUMPRODUCT(Exposures!$B$9:$K$9,B973:K973)</f>
        <v/>
      </c>
      <c r="S973" s="5">
        <f>SUMPRODUCT(Exposures!$B$10:$K$10,B973:K973)</f>
        <v/>
      </c>
    </row>
    <row r="974">
      <c r="A974" s="1" t="n">
        <v>43872</v>
      </c>
      <c r="B974" s="5" t="n">
        <v>0.005924594528018443</v>
      </c>
      <c r="C974" s="5" t="n">
        <v>0.0002256123338769888</v>
      </c>
      <c r="D974" s="5" t="n">
        <v>0.00573168982209055</v>
      </c>
      <c r="E974" s="5" t="n">
        <v>0.001576481610507688</v>
      </c>
      <c r="F974" s="5" t="n">
        <v>-0.004193108400700874</v>
      </c>
      <c r="G974" s="5" t="n">
        <v>0.01031293189177285</v>
      </c>
      <c r="H974" s="5" t="n">
        <v>-0.0003104672973226238</v>
      </c>
      <c r="I974" s="5" t="n">
        <v>-0.0009613847852264757</v>
      </c>
      <c r="J974" s="5" t="n">
        <v>0.001873782157595257</v>
      </c>
      <c r="K974" s="5" t="n">
        <v>0.002563121598711316</v>
      </c>
      <c r="L974" s="5" t="n">
        <v>0.0001453510491833671</v>
      </c>
      <c r="M974" s="5">
        <f>SUMPRODUCT(Exposures!$B$6:$K$6,B974:K974)</f>
        <v/>
      </c>
      <c r="N974" s="5">
        <f>IF(AND($A974&gt;=DATE(2020,2,1),$A974&lt;=DATE(2020,5,31)),$M974,"")</f>
        <v/>
      </c>
      <c r="O974" s="5">
        <f>IF(AND($A974&gt;=DATE(2022,1,1),$A974&lt;=DATE(2022,10,31)),$M974,"")</f>
        <v/>
      </c>
      <c r="P974" s="5">
        <f>IF(AND($A974&gt;=DATE(2018,10,1),$A974&lt;=DATE(2018,12,31)),$M974,"")</f>
        <v/>
      </c>
      <c r="Q974" s="5">
        <f>SUMPRODUCT(Exposures!$B$8:$K$8,B974:K974)</f>
        <v/>
      </c>
      <c r="R974" s="5">
        <f>SUMPRODUCT(Exposures!$B$9:$K$9,B974:K974)</f>
        <v/>
      </c>
      <c r="S974" s="5">
        <f>SUMPRODUCT(Exposures!$B$10:$K$10,B974:K974)</f>
        <v/>
      </c>
    </row>
    <row r="975">
      <c r="A975" s="1" t="n">
        <v>43873</v>
      </c>
      <c r="B975" s="5" t="n">
        <v>0.002573308085039577</v>
      </c>
      <c r="C975" s="5" t="n">
        <v>0.001472927823985127</v>
      </c>
      <c r="D975" s="5" t="n">
        <v>0.003345716158636952</v>
      </c>
      <c r="E975" s="5" t="n">
        <v>-0.001427647905222335</v>
      </c>
      <c r="F975" s="5" t="n">
        <v>0.0005807358852423596</v>
      </c>
      <c r="G975" s="5" t="n">
        <v>0.009311947705233865</v>
      </c>
      <c r="H975" s="5" t="n">
        <v>-0.00110459627852092</v>
      </c>
      <c r="I975" s="5" t="n">
        <v>0.0002337611143118502</v>
      </c>
      <c r="J975" s="5" t="n">
        <v>0.005764506906548004</v>
      </c>
      <c r="K975" s="5" t="n">
        <v>0.001261865362125792</v>
      </c>
      <c r="L975" s="5" t="n">
        <v>-0.0003971682103478335</v>
      </c>
      <c r="M975" s="5">
        <f>SUMPRODUCT(Exposures!$B$6:$K$6,B975:K975)</f>
        <v/>
      </c>
      <c r="N975" s="5">
        <f>IF(AND($A975&gt;=DATE(2020,2,1),$A975&lt;=DATE(2020,5,31)),$M975,"")</f>
        <v/>
      </c>
      <c r="O975" s="5">
        <f>IF(AND($A975&gt;=DATE(2022,1,1),$A975&lt;=DATE(2022,10,31)),$M975,"")</f>
        <v/>
      </c>
      <c r="P975" s="5">
        <f>IF(AND($A975&gt;=DATE(2018,10,1),$A975&lt;=DATE(2018,12,31)),$M975,"")</f>
        <v/>
      </c>
      <c r="Q975" s="5">
        <f>SUMPRODUCT(Exposures!$B$8:$K$8,B975:K975)</f>
        <v/>
      </c>
      <c r="R975" s="5">
        <f>SUMPRODUCT(Exposures!$B$9:$K$9,B975:K975)</f>
        <v/>
      </c>
      <c r="S975" s="5">
        <f>SUMPRODUCT(Exposures!$B$10:$K$10,B975:K975)</f>
        <v/>
      </c>
    </row>
    <row r="976">
      <c r="A976" s="1" t="n">
        <v>43874</v>
      </c>
      <c r="B976" s="5" t="n">
        <v>-0.00107763979475386</v>
      </c>
      <c r="C976" s="5" t="n">
        <v>1.553077722407272e-05</v>
      </c>
      <c r="D976" s="5" t="n">
        <v>-0.0006801820158257007</v>
      </c>
      <c r="E976" s="5" t="n">
        <v>-0.0002976532902226621</v>
      </c>
      <c r="F976" s="5" t="n">
        <v>0.0004434573197947907</v>
      </c>
      <c r="G976" s="5" t="n">
        <v>0.001248065406223601</v>
      </c>
      <c r="H976" s="5" t="n">
        <v>0.00507508695012886</v>
      </c>
      <c r="I976" s="5" t="n">
        <v>-0.0008025557384231018</v>
      </c>
      <c r="J976" s="5" t="n">
        <v>-0.00163421587425532</v>
      </c>
      <c r="K976" s="5" t="n">
        <v>-0.005932792915271686</v>
      </c>
      <c r="L976" s="5" t="n">
        <v>-0.002549697270231511</v>
      </c>
      <c r="M976" s="5">
        <f>SUMPRODUCT(Exposures!$B$6:$K$6,B976:K976)</f>
        <v/>
      </c>
      <c r="N976" s="5">
        <f>IF(AND($A976&gt;=DATE(2020,2,1),$A976&lt;=DATE(2020,5,31)),$M976,"")</f>
        <v/>
      </c>
      <c r="O976" s="5">
        <f>IF(AND($A976&gt;=DATE(2022,1,1),$A976&lt;=DATE(2022,10,31)),$M976,"")</f>
        <v/>
      </c>
      <c r="P976" s="5">
        <f>IF(AND($A976&gt;=DATE(2018,10,1),$A976&lt;=DATE(2018,12,31)),$M976,"")</f>
        <v/>
      </c>
      <c r="Q976" s="5">
        <f>SUMPRODUCT(Exposures!$B$8:$K$8,B976:K976)</f>
        <v/>
      </c>
      <c r="R976" s="5">
        <f>SUMPRODUCT(Exposures!$B$9:$K$9,B976:K976)</f>
        <v/>
      </c>
      <c r="S976" s="5">
        <f>SUMPRODUCT(Exposures!$B$10:$K$10,B976:K976)</f>
        <v/>
      </c>
    </row>
    <row r="977">
      <c r="A977" s="1" t="n">
        <v>43875</v>
      </c>
      <c r="B977" s="5" t="n">
        <v>0.004981277883779565</v>
      </c>
      <c r="C977" s="5" t="n">
        <v>-0.0008208293704173839</v>
      </c>
      <c r="D977" s="5" t="n">
        <v>0.001733993299909436</v>
      </c>
      <c r="E977" s="5" t="n">
        <v>0.002499411216731766</v>
      </c>
      <c r="F977" s="5" t="n">
        <v>0.004808334870899078</v>
      </c>
      <c r="G977" s="5" t="n">
        <v>3.097857520691563e-05</v>
      </c>
      <c r="H977" s="5" t="n">
        <v>-0.003846650493874191</v>
      </c>
      <c r="I977" s="5" t="n">
        <v>0.000285219522444106</v>
      </c>
      <c r="J977" s="5" t="n">
        <v>-0.005179354535035056</v>
      </c>
      <c r="K977" s="5" t="n">
        <v>-0.006425603580331726</v>
      </c>
      <c r="L977" s="5" t="n">
        <v>-0.004745807125699898</v>
      </c>
      <c r="M977" s="5">
        <f>SUMPRODUCT(Exposures!$B$6:$K$6,B977:K977)</f>
        <v/>
      </c>
      <c r="N977" s="5">
        <f>IF(AND($A977&gt;=DATE(2020,2,1),$A977&lt;=DATE(2020,5,31)),$M977,"")</f>
        <v/>
      </c>
      <c r="O977" s="5">
        <f>IF(AND($A977&gt;=DATE(2022,1,1),$A977&lt;=DATE(2022,10,31)),$M977,"")</f>
        <v/>
      </c>
      <c r="P977" s="5">
        <f>IF(AND($A977&gt;=DATE(2018,10,1),$A977&lt;=DATE(2018,12,31)),$M977,"")</f>
        <v/>
      </c>
      <c r="Q977" s="5">
        <f>SUMPRODUCT(Exposures!$B$8:$K$8,B977:K977)</f>
        <v/>
      </c>
      <c r="R977" s="5">
        <f>SUMPRODUCT(Exposures!$B$9:$K$9,B977:K977)</f>
        <v/>
      </c>
      <c r="S977" s="5">
        <f>SUMPRODUCT(Exposures!$B$10:$K$10,B977:K977)</f>
        <v/>
      </c>
    </row>
    <row r="978">
      <c r="A978" s="1" t="n">
        <v>43879</v>
      </c>
      <c r="B978" s="5" t="n">
        <v>-0.003015743198439492</v>
      </c>
      <c r="C978" s="5" t="n">
        <v>-0.004181713293076802</v>
      </c>
      <c r="D978" s="5" t="n">
        <v>-0.002458754338877797</v>
      </c>
      <c r="E978" s="5" t="n">
        <v>-9.074794750046157e-05</v>
      </c>
      <c r="F978" s="5" t="n">
        <v>0.00720438685232209</v>
      </c>
      <c r="G978" s="5" t="n">
        <v>-0.003755066212111131</v>
      </c>
      <c r="H978" s="5" t="n">
        <v>-0.001375671118342768</v>
      </c>
      <c r="I978" s="5" t="n">
        <v>-0.002524380312022628</v>
      </c>
      <c r="J978" s="5" t="n">
        <v>0.001418616700816021</v>
      </c>
      <c r="K978" s="5" t="n">
        <v>-0.002354047044969159</v>
      </c>
      <c r="L978" s="5" t="n">
        <v>0.00193496382840738</v>
      </c>
      <c r="M978" s="5">
        <f>SUMPRODUCT(Exposures!$B$6:$K$6,B978:K978)</f>
        <v/>
      </c>
      <c r="N978" s="5">
        <f>IF(AND($A978&gt;=DATE(2020,2,1),$A978&lt;=DATE(2020,5,31)),$M978,"")</f>
        <v/>
      </c>
      <c r="O978" s="5">
        <f>IF(AND($A978&gt;=DATE(2022,1,1),$A978&lt;=DATE(2022,10,31)),$M978,"")</f>
        <v/>
      </c>
      <c r="P978" s="5">
        <f>IF(AND($A978&gt;=DATE(2018,10,1),$A978&lt;=DATE(2018,12,31)),$M978,"")</f>
        <v/>
      </c>
      <c r="Q978" s="5">
        <f>SUMPRODUCT(Exposures!$B$8:$K$8,B978:K978)</f>
        <v/>
      </c>
      <c r="R978" s="5">
        <f>SUMPRODUCT(Exposures!$B$9:$K$9,B978:K978)</f>
        <v/>
      </c>
      <c r="S978" s="5">
        <f>SUMPRODUCT(Exposures!$B$10:$K$10,B978:K978)</f>
        <v/>
      </c>
    </row>
    <row r="979">
      <c r="A979" s="1" t="n">
        <v>43880</v>
      </c>
      <c r="B979" s="5" t="n">
        <v>0.007012169688070956</v>
      </c>
      <c r="C979" s="5" t="n">
        <v>-0.003243202815290798</v>
      </c>
      <c r="D979" s="5" t="n">
        <v>0.0002523767409006214</v>
      </c>
      <c r="E979" s="5" t="n">
        <v>0.0006499585261042925</v>
      </c>
      <c r="F979" s="5" t="n">
        <v>-0.002426708756544923</v>
      </c>
      <c r="G979" s="5" t="n">
        <v>0.005943792565144121</v>
      </c>
      <c r="H979" s="5" t="n">
        <v>0.001834614791832071</v>
      </c>
      <c r="I979" s="5" t="n">
        <v>0.001344971116142615</v>
      </c>
      <c r="J979" s="5" t="n">
        <v>0.003297524650910644</v>
      </c>
      <c r="K979" s="5" t="n">
        <v>0.00272271198978504</v>
      </c>
      <c r="L979" s="5" t="n">
        <v>0.000418072526711279</v>
      </c>
      <c r="M979" s="5">
        <f>SUMPRODUCT(Exposures!$B$6:$K$6,B979:K979)</f>
        <v/>
      </c>
      <c r="N979" s="5">
        <f>IF(AND($A979&gt;=DATE(2020,2,1),$A979&lt;=DATE(2020,5,31)),$M979,"")</f>
        <v/>
      </c>
      <c r="O979" s="5">
        <f>IF(AND($A979&gt;=DATE(2022,1,1),$A979&lt;=DATE(2022,10,31)),$M979,"")</f>
        <v/>
      </c>
      <c r="P979" s="5">
        <f>IF(AND($A979&gt;=DATE(2018,10,1),$A979&lt;=DATE(2018,12,31)),$M979,"")</f>
        <v/>
      </c>
      <c r="Q979" s="5">
        <f>SUMPRODUCT(Exposures!$B$8:$K$8,B979:K979)</f>
        <v/>
      </c>
      <c r="R979" s="5">
        <f>SUMPRODUCT(Exposures!$B$9:$K$9,B979:K979)</f>
        <v/>
      </c>
      <c r="S979" s="5">
        <f>SUMPRODUCT(Exposures!$B$10:$K$10,B979:K979)</f>
        <v/>
      </c>
    </row>
    <row r="980">
      <c r="A980" s="1" t="n">
        <v>43881</v>
      </c>
      <c r="B980" s="5" t="n">
        <v>-0.001974417077868077</v>
      </c>
      <c r="C980" s="5" t="n">
        <v>0.001953818720796423</v>
      </c>
      <c r="D980" s="5" t="n">
        <v>-0.0009829308830682699</v>
      </c>
      <c r="E980" s="5" t="n">
        <v>0.002052288325685803</v>
      </c>
      <c r="F980" s="5" t="n">
        <v>-0.00055873756963944</v>
      </c>
      <c r="G980" s="5" t="n">
        <v>0.0009037299210608018</v>
      </c>
      <c r="H980" s="5" t="n">
        <v>-0.003072334223018717</v>
      </c>
      <c r="I980" s="5" t="n">
        <v>-0.001611200142859092</v>
      </c>
      <c r="J980" s="5" t="n">
        <v>-0.0002065421694064565</v>
      </c>
      <c r="K980" s="5" t="n">
        <v>-0.002876846077598389</v>
      </c>
      <c r="L980" s="5" t="n">
        <v>0.0001651303267879079</v>
      </c>
      <c r="M980" s="5">
        <f>SUMPRODUCT(Exposures!$B$6:$K$6,B980:K980)</f>
        <v/>
      </c>
      <c r="N980" s="5">
        <f>IF(AND($A980&gt;=DATE(2020,2,1),$A980&lt;=DATE(2020,5,31)),$M980,"")</f>
        <v/>
      </c>
      <c r="O980" s="5">
        <f>IF(AND($A980&gt;=DATE(2022,1,1),$A980&lt;=DATE(2022,10,31)),$M980,"")</f>
        <v/>
      </c>
      <c r="P980" s="5">
        <f>IF(AND($A980&gt;=DATE(2018,10,1),$A980&lt;=DATE(2018,12,31)),$M980,"")</f>
        <v/>
      </c>
      <c r="Q980" s="5">
        <f>SUMPRODUCT(Exposures!$B$8:$K$8,B980:K980)</f>
        <v/>
      </c>
      <c r="R980" s="5">
        <f>SUMPRODUCT(Exposures!$B$9:$K$9,B980:K980)</f>
        <v/>
      </c>
      <c r="S980" s="5">
        <f>SUMPRODUCT(Exposures!$B$10:$K$10,B980:K980)</f>
        <v/>
      </c>
    </row>
    <row r="981">
      <c r="A981" s="1" t="n">
        <v>43882</v>
      </c>
      <c r="B981" s="5" t="n">
        <v>-0.005992473296523373</v>
      </c>
      <c r="C981" s="5" t="n">
        <v>1.329055507418714e-05</v>
      </c>
      <c r="D981" s="5" t="n">
        <v>-0.002010344324377022</v>
      </c>
      <c r="E981" s="5" t="n">
        <v>-0.002089235434901137</v>
      </c>
      <c r="F981" s="5" t="n">
        <v>-0.001217807056868101</v>
      </c>
      <c r="G981" s="5" t="n">
        <v>-0.01041379469555538</v>
      </c>
      <c r="H981" s="5" t="n">
        <v>-0.002577252184177974</v>
      </c>
      <c r="I981" s="5" t="n">
        <v>0.002163998408892257</v>
      </c>
      <c r="J981" s="5" t="n">
        <v>-0.002952525967146108</v>
      </c>
      <c r="K981" s="5" t="n">
        <v>-0.002018080582460217</v>
      </c>
      <c r="L981" s="5" t="n">
        <v>-0.001576695318747715</v>
      </c>
      <c r="M981" s="5">
        <f>SUMPRODUCT(Exposures!$B$6:$K$6,B981:K981)</f>
        <v/>
      </c>
      <c r="N981" s="5">
        <f>IF(AND($A981&gt;=DATE(2020,2,1),$A981&lt;=DATE(2020,5,31)),$M981,"")</f>
        <v/>
      </c>
      <c r="O981" s="5">
        <f>IF(AND($A981&gt;=DATE(2022,1,1),$A981&lt;=DATE(2022,10,31)),$M981,"")</f>
        <v/>
      </c>
      <c r="P981" s="5">
        <f>IF(AND($A981&gt;=DATE(2018,10,1),$A981&lt;=DATE(2018,12,31)),$M981,"")</f>
        <v/>
      </c>
      <c r="Q981" s="5">
        <f>SUMPRODUCT(Exposures!$B$8:$K$8,B981:K981)</f>
        <v/>
      </c>
      <c r="R981" s="5">
        <f>SUMPRODUCT(Exposures!$B$9:$K$9,B981:K981)</f>
        <v/>
      </c>
      <c r="S981" s="5">
        <f>SUMPRODUCT(Exposures!$B$10:$K$10,B981:K981)</f>
        <v/>
      </c>
    </row>
    <row r="982">
      <c r="A982" s="1" t="n">
        <v>43885</v>
      </c>
      <c r="B982" s="5" t="n">
        <v>-0.01356166852770316</v>
      </c>
      <c r="C982" s="5" t="n">
        <v>0.003572475460811433</v>
      </c>
      <c r="D982" s="5" t="n">
        <v>-0.00315643114043929</v>
      </c>
      <c r="E982" s="5" t="n">
        <v>0.0003579151816572083</v>
      </c>
      <c r="F982" s="5" t="n">
        <v>-0.0002701189013718944</v>
      </c>
      <c r="G982" s="5" t="n">
        <v>-0.03355792575775896</v>
      </c>
      <c r="H982" s="5" t="n">
        <v>0.002538602155356004</v>
      </c>
      <c r="I982" s="5" t="n">
        <v>0.0007609310864765888</v>
      </c>
      <c r="J982" s="5" t="n">
        <v>-0.003148767246775905</v>
      </c>
      <c r="K982" s="5" t="n">
        <v>-0.007208745495609528</v>
      </c>
      <c r="L982" s="5" t="n">
        <v>-0.002517078176042975</v>
      </c>
      <c r="M982" s="5">
        <f>SUMPRODUCT(Exposures!$B$6:$K$6,B982:K982)</f>
        <v/>
      </c>
      <c r="N982" s="5">
        <f>IF(AND($A982&gt;=DATE(2020,2,1),$A982&lt;=DATE(2020,5,31)),$M982,"")</f>
        <v/>
      </c>
      <c r="O982" s="5">
        <f>IF(AND($A982&gt;=DATE(2022,1,1),$A982&lt;=DATE(2022,10,31)),$M982,"")</f>
        <v/>
      </c>
      <c r="P982" s="5">
        <f>IF(AND($A982&gt;=DATE(2018,10,1),$A982&lt;=DATE(2018,12,31)),$M982,"")</f>
        <v/>
      </c>
      <c r="Q982" s="5">
        <f>SUMPRODUCT(Exposures!$B$8:$K$8,B982:K982)</f>
        <v/>
      </c>
      <c r="R982" s="5">
        <f>SUMPRODUCT(Exposures!$B$9:$K$9,B982:K982)</f>
        <v/>
      </c>
      <c r="S982" s="5">
        <f>SUMPRODUCT(Exposures!$B$10:$K$10,B982:K982)</f>
        <v/>
      </c>
    </row>
    <row r="983">
      <c r="A983" s="1" t="n">
        <v>43886</v>
      </c>
      <c r="B983" s="5" t="n">
        <v>-0.01100198610470197</v>
      </c>
      <c r="C983" s="5" t="n">
        <v>0.001273530608455716</v>
      </c>
      <c r="D983" s="5" t="n">
        <v>0.0007404599256721606</v>
      </c>
      <c r="E983" s="5" t="n">
        <v>-0.003627550228774853</v>
      </c>
      <c r="F983" s="5" t="n">
        <v>-0.002123392888252934</v>
      </c>
      <c r="G983" s="5" t="n">
        <v>-0.03596534389666994</v>
      </c>
      <c r="H983" s="5" t="n">
        <v>0.002891064452250434</v>
      </c>
      <c r="I983" s="5" t="n">
        <v>-0.002640896711173652</v>
      </c>
      <c r="J983" s="5" t="n">
        <v>0.003459825834420293</v>
      </c>
      <c r="K983" s="5" t="n">
        <v>0.008756688454523612</v>
      </c>
      <c r="L983" s="5" t="n">
        <v>0.003210256988955577</v>
      </c>
      <c r="M983" s="5">
        <f>SUMPRODUCT(Exposures!$B$6:$K$6,B983:K983)</f>
        <v/>
      </c>
      <c r="N983" s="5">
        <f>IF(AND($A983&gt;=DATE(2020,2,1),$A983&lt;=DATE(2020,5,31)),$M983,"")</f>
        <v/>
      </c>
      <c r="O983" s="5">
        <f>IF(AND($A983&gt;=DATE(2022,1,1),$A983&lt;=DATE(2022,10,31)),$M983,"")</f>
        <v/>
      </c>
      <c r="P983" s="5">
        <f>IF(AND($A983&gt;=DATE(2018,10,1),$A983&lt;=DATE(2018,12,31)),$M983,"")</f>
        <v/>
      </c>
      <c r="Q983" s="5">
        <f>SUMPRODUCT(Exposures!$B$8:$K$8,B983:K983)</f>
        <v/>
      </c>
      <c r="R983" s="5">
        <f>SUMPRODUCT(Exposures!$B$9:$K$9,B983:K983)</f>
        <v/>
      </c>
      <c r="S983" s="5">
        <f>SUMPRODUCT(Exposures!$B$10:$K$10,B983:K983)</f>
        <v/>
      </c>
    </row>
    <row r="984">
      <c r="A984" s="1" t="n">
        <v>43887</v>
      </c>
      <c r="B984" s="5" t="n">
        <v>-0.002254621721602124</v>
      </c>
      <c r="C984" s="5" t="n">
        <v>0.0001981907670973478</v>
      </c>
      <c r="D984" s="5" t="n">
        <v>0.0004607956285034563</v>
      </c>
      <c r="E984" s="5" t="n">
        <v>-0.002028937246204024</v>
      </c>
      <c r="F984" s="5" t="n">
        <v>0.004428773588718723</v>
      </c>
      <c r="G984" s="5" t="n">
        <v>-0.01209829353079574</v>
      </c>
      <c r="H984" s="5" t="n">
        <v>0.001994330882790593</v>
      </c>
      <c r="I984" s="5" t="n">
        <v>0.0008338696084609503</v>
      </c>
      <c r="J984" s="5" t="n">
        <v>-0.0006199366397753709</v>
      </c>
      <c r="K984" s="5" t="n">
        <v>0.001499962725484772</v>
      </c>
      <c r="L984" s="5" t="n">
        <v>-0.001967087672370236</v>
      </c>
      <c r="M984" s="5">
        <f>SUMPRODUCT(Exposures!$B$6:$K$6,B984:K984)</f>
        <v/>
      </c>
      <c r="N984" s="5">
        <f>IF(AND($A984&gt;=DATE(2020,2,1),$A984&lt;=DATE(2020,5,31)),$M984,"")</f>
        <v/>
      </c>
      <c r="O984" s="5">
        <f>IF(AND($A984&gt;=DATE(2022,1,1),$A984&lt;=DATE(2022,10,31)),$M984,"")</f>
        <v/>
      </c>
      <c r="P984" s="5">
        <f>IF(AND($A984&gt;=DATE(2018,10,1),$A984&lt;=DATE(2018,12,31)),$M984,"")</f>
        <v/>
      </c>
      <c r="Q984" s="5">
        <f>SUMPRODUCT(Exposures!$B$8:$K$8,B984:K984)</f>
        <v/>
      </c>
      <c r="R984" s="5">
        <f>SUMPRODUCT(Exposures!$B$9:$K$9,B984:K984)</f>
        <v/>
      </c>
      <c r="S984" s="5">
        <f>SUMPRODUCT(Exposures!$B$10:$K$10,B984:K984)</f>
        <v/>
      </c>
    </row>
    <row r="985">
      <c r="A985" s="1" t="n">
        <v>43888</v>
      </c>
      <c r="B985" s="5" t="n">
        <v>-0.0006419329662228447</v>
      </c>
      <c r="C985" s="5" t="n">
        <v>-0.005551534356494237</v>
      </c>
      <c r="D985" s="5" t="n">
        <v>-0.001667034984716271</v>
      </c>
      <c r="E985" s="5" t="n">
        <v>-0.001201331645602309</v>
      </c>
      <c r="F985" s="5" t="n">
        <v>0.004362975010817938</v>
      </c>
      <c r="G985" s="5" t="n">
        <v>-0.03792793673738822</v>
      </c>
      <c r="H985" s="5" t="n">
        <v>-0.0009796447328764154</v>
      </c>
      <c r="I985" s="5" t="n">
        <v>-0.005008964400637129</v>
      </c>
      <c r="J985" s="5" t="n">
        <v>-0.003115000559216693</v>
      </c>
      <c r="K985" s="5" t="n">
        <v>-0.003656779211842102</v>
      </c>
      <c r="L985" s="5" t="n">
        <v>7.469192668079369e-05</v>
      </c>
      <c r="M985" s="5">
        <f>SUMPRODUCT(Exposures!$B$6:$K$6,B985:K985)</f>
        <v/>
      </c>
      <c r="N985" s="5">
        <f>IF(AND($A985&gt;=DATE(2020,2,1),$A985&lt;=DATE(2020,5,31)),$M985,"")</f>
        <v/>
      </c>
      <c r="O985" s="5">
        <f>IF(AND($A985&gt;=DATE(2022,1,1),$A985&lt;=DATE(2022,10,31)),$M985,"")</f>
        <v/>
      </c>
      <c r="P985" s="5">
        <f>IF(AND($A985&gt;=DATE(2018,10,1),$A985&lt;=DATE(2018,12,31)),$M985,"")</f>
        <v/>
      </c>
      <c r="Q985" s="5">
        <f>SUMPRODUCT(Exposures!$B$8:$K$8,B985:K985)</f>
        <v/>
      </c>
      <c r="R985" s="5">
        <f>SUMPRODUCT(Exposures!$B$9:$K$9,B985:K985)</f>
        <v/>
      </c>
      <c r="S985" s="5">
        <f>SUMPRODUCT(Exposures!$B$10:$K$10,B985:K985)</f>
        <v/>
      </c>
    </row>
    <row r="986">
      <c r="A986" s="1" t="n">
        <v>43889</v>
      </c>
      <c r="B986" s="5" t="n">
        <v>0.007568407206691559</v>
      </c>
      <c r="C986" s="5" t="n">
        <v>-0.003707172932445811</v>
      </c>
      <c r="D986" s="5" t="n">
        <v>-0.001943370287421416</v>
      </c>
      <c r="E986" s="5" t="n">
        <v>-0.006576009879932911</v>
      </c>
      <c r="F986" s="5" t="n">
        <v>0.007085710650864875</v>
      </c>
      <c r="G986" s="5" t="n">
        <v>-0.007104368526321473</v>
      </c>
      <c r="H986" s="5" t="n">
        <v>0.001578586592424276</v>
      </c>
      <c r="I986" s="5" t="n">
        <v>0.0038542354266747</v>
      </c>
      <c r="J986" s="5" t="n">
        <v>0.009333363059943242</v>
      </c>
      <c r="K986" s="5" t="n">
        <v>-0.005151657890438491</v>
      </c>
      <c r="L986" s="5" t="n">
        <v>5.619925378853895e-05</v>
      </c>
      <c r="M986" s="5">
        <f>SUMPRODUCT(Exposures!$B$6:$K$6,B986:K986)</f>
        <v/>
      </c>
      <c r="N986" s="5">
        <f>IF(AND($A986&gt;=DATE(2020,2,1),$A986&lt;=DATE(2020,5,31)),$M986,"")</f>
        <v/>
      </c>
      <c r="O986" s="5">
        <f>IF(AND($A986&gt;=DATE(2022,1,1),$A986&lt;=DATE(2022,10,31)),$M986,"")</f>
        <v/>
      </c>
      <c r="P986" s="5">
        <f>IF(AND($A986&gt;=DATE(2018,10,1),$A986&lt;=DATE(2018,12,31)),$M986,"")</f>
        <v/>
      </c>
      <c r="Q986" s="5">
        <f>SUMPRODUCT(Exposures!$B$8:$K$8,B986:K986)</f>
        <v/>
      </c>
      <c r="R986" s="5">
        <f>SUMPRODUCT(Exposures!$B$9:$K$9,B986:K986)</f>
        <v/>
      </c>
      <c r="S986" s="5">
        <f>SUMPRODUCT(Exposures!$B$10:$K$10,B986:K986)</f>
        <v/>
      </c>
    </row>
    <row r="987">
      <c r="A987" s="1" t="n">
        <v>43892</v>
      </c>
      <c r="B987" s="5" t="n">
        <v>-0.00521517485473656</v>
      </c>
      <c r="C987" s="5" t="n">
        <v>0.0004245896633539219</v>
      </c>
      <c r="D987" s="5" t="n">
        <v>-0.0006047338537370462</v>
      </c>
      <c r="E987" s="5" t="n">
        <v>0.001238895211944855</v>
      </c>
      <c r="F987" s="5" t="n">
        <v>-0.0008839924857908998</v>
      </c>
      <c r="G987" s="5" t="n">
        <v>0.03197262640157744</v>
      </c>
      <c r="H987" s="5" t="n">
        <v>0.005205983146959103</v>
      </c>
      <c r="I987" s="5" t="n">
        <v>0.001844670148691988</v>
      </c>
      <c r="J987" s="5" t="n">
        <v>-0.005706292750952524</v>
      </c>
      <c r="K987" s="5" t="n">
        <v>0.003813122918141877</v>
      </c>
      <c r="L987" s="5" t="n">
        <v>-0.0005747733020301229</v>
      </c>
      <c r="M987" s="5">
        <f>SUMPRODUCT(Exposures!$B$6:$K$6,B987:K987)</f>
        <v/>
      </c>
      <c r="N987" s="5">
        <f>IF(AND($A987&gt;=DATE(2020,2,1),$A987&lt;=DATE(2020,5,31)),$M987,"")</f>
        <v/>
      </c>
      <c r="O987" s="5">
        <f>IF(AND($A987&gt;=DATE(2022,1,1),$A987&lt;=DATE(2022,10,31)),$M987,"")</f>
        <v/>
      </c>
      <c r="P987" s="5">
        <f>IF(AND($A987&gt;=DATE(2018,10,1),$A987&lt;=DATE(2018,12,31)),$M987,"")</f>
        <v/>
      </c>
      <c r="Q987" s="5">
        <f>SUMPRODUCT(Exposures!$B$8:$K$8,B987:K987)</f>
        <v/>
      </c>
      <c r="R987" s="5">
        <f>SUMPRODUCT(Exposures!$B$9:$K$9,B987:K987)</f>
        <v/>
      </c>
      <c r="S987" s="5">
        <f>SUMPRODUCT(Exposures!$B$10:$K$10,B987:K987)</f>
        <v/>
      </c>
    </row>
    <row r="988">
      <c r="A988" s="1" t="n">
        <v>43893</v>
      </c>
      <c r="B988" s="5" t="n">
        <v>-0.01146990727210769</v>
      </c>
      <c r="C988" s="5" t="n">
        <v>-0.00153502702661487</v>
      </c>
      <c r="D988" s="5" t="n">
        <v>-0.0008924968011896169</v>
      </c>
      <c r="E988" s="5" t="n">
        <v>-0.00350447772814444</v>
      </c>
      <c r="F988" s="5" t="n">
        <v>-0.001128156773983487</v>
      </c>
      <c r="G988" s="5" t="n">
        <v>-0.02311110457130368</v>
      </c>
      <c r="H988" s="5" t="n">
        <v>0.005746406616306004</v>
      </c>
      <c r="I988" s="5" t="n">
        <v>-0.0003988905726350239</v>
      </c>
      <c r="J988" s="5" t="n">
        <v>0.005810966075269323</v>
      </c>
      <c r="K988" s="5" t="n">
        <v>0.0009883216428063146</v>
      </c>
      <c r="L988" s="5" t="n">
        <v>0.0001099034947503703</v>
      </c>
      <c r="M988" s="5">
        <f>SUMPRODUCT(Exposures!$B$6:$K$6,B988:K988)</f>
        <v/>
      </c>
      <c r="N988" s="5">
        <f>IF(AND($A988&gt;=DATE(2020,2,1),$A988&lt;=DATE(2020,5,31)),$M988,"")</f>
        <v/>
      </c>
      <c r="O988" s="5">
        <f>IF(AND($A988&gt;=DATE(2022,1,1),$A988&lt;=DATE(2022,10,31)),$M988,"")</f>
        <v/>
      </c>
      <c r="P988" s="5">
        <f>IF(AND($A988&gt;=DATE(2018,10,1),$A988&lt;=DATE(2018,12,31)),$M988,"")</f>
        <v/>
      </c>
      <c r="Q988" s="5">
        <f>SUMPRODUCT(Exposures!$B$8:$K$8,B988:K988)</f>
        <v/>
      </c>
      <c r="R988" s="5">
        <f>SUMPRODUCT(Exposures!$B$9:$K$9,B988:K988)</f>
        <v/>
      </c>
      <c r="S988" s="5">
        <f>SUMPRODUCT(Exposures!$B$10:$K$10,B988:K988)</f>
        <v/>
      </c>
    </row>
    <row r="989">
      <c r="A989" s="1" t="n">
        <v>43894</v>
      </c>
      <c r="B989" s="5" t="n">
        <v>-0.001112714388290895</v>
      </c>
      <c r="C989" s="5" t="n">
        <v>-0.005788764828427044</v>
      </c>
      <c r="D989" s="5" t="n">
        <v>0.002387887223027988</v>
      </c>
      <c r="E989" s="5" t="n">
        <v>-0.002728011105246188</v>
      </c>
      <c r="F989" s="5" t="n">
        <v>-0.003769919811181507</v>
      </c>
      <c r="G989" s="5" t="n">
        <v>0.03754171240862789</v>
      </c>
      <c r="H989" s="5" t="n">
        <v>0.003900786861297536</v>
      </c>
      <c r="I989" s="5" t="n">
        <v>-0.0004471215457183317</v>
      </c>
      <c r="J989" s="5" t="n">
        <v>0.005263352532999903</v>
      </c>
      <c r="K989" s="5" t="n">
        <v>0.01411478525624842</v>
      </c>
      <c r="L989" s="5" t="n">
        <v>0.003212670447213811</v>
      </c>
      <c r="M989" s="5">
        <f>SUMPRODUCT(Exposures!$B$6:$K$6,B989:K989)</f>
        <v/>
      </c>
      <c r="N989" s="5">
        <f>IF(AND($A989&gt;=DATE(2020,2,1),$A989&lt;=DATE(2020,5,31)),$M989,"")</f>
        <v/>
      </c>
      <c r="O989" s="5">
        <f>IF(AND($A989&gt;=DATE(2022,1,1),$A989&lt;=DATE(2022,10,31)),$M989,"")</f>
        <v/>
      </c>
      <c r="P989" s="5">
        <f>IF(AND($A989&gt;=DATE(2018,10,1),$A989&lt;=DATE(2018,12,31)),$M989,"")</f>
        <v/>
      </c>
      <c r="Q989" s="5">
        <f>SUMPRODUCT(Exposures!$B$8:$K$8,B989:K989)</f>
        <v/>
      </c>
      <c r="R989" s="5">
        <f>SUMPRODUCT(Exposures!$B$9:$K$9,B989:K989)</f>
        <v/>
      </c>
      <c r="S989" s="5">
        <f>SUMPRODUCT(Exposures!$B$10:$K$10,B989:K989)</f>
        <v/>
      </c>
    </row>
    <row r="990">
      <c r="A990" s="1" t="n">
        <v>43895</v>
      </c>
      <c r="B990" s="5" t="n">
        <v>-0.0109866313837908</v>
      </c>
      <c r="C990" s="5" t="n">
        <v>-0.005802844825519903</v>
      </c>
      <c r="D990" s="5" t="n">
        <v>0.0007174870145478427</v>
      </c>
      <c r="E990" s="5" t="n">
        <v>-0.005883819293068708</v>
      </c>
      <c r="F990" s="5" t="n">
        <v>0.0005234813107568579</v>
      </c>
      <c r="G990" s="5" t="n">
        <v>-0.03535054565375773</v>
      </c>
      <c r="H990" s="5" t="n">
        <v>0.005386565408287494</v>
      </c>
      <c r="I990" s="5" t="n">
        <v>-0.0007900608450095753</v>
      </c>
      <c r="J990" s="5" t="n">
        <v>0.001944392966393786</v>
      </c>
      <c r="K990" s="5" t="n">
        <v>0.00493707288817607</v>
      </c>
      <c r="L990" s="5" t="n">
        <v>0.001717983267413499</v>
      </c>
      <c r="M990" s="5">
        <f>SUMPRODUCT(Exposures!$B$6:$K$6,B990:K990)</f>
        <v/>
      </c>
      <c r="N990" s="5">
        <f>IF(AND($A990&gt;=DATE(2020,2,1),$A990&lt;=DATE(2020,5,31)),$M990,"")</f>
        <v/>
      </c>
      <c r="O990" s="5">
        <f>IF(AND($A990&gt;=DATE(2022,1,1),$A990&lt;=DATE(2022,10,31)),$M990,"")</f>
        <v/>
      </c>
      <c r="P990" s="5">
        <f>IF(AND($A990&gt;=DATE(2018,10,1),$A990&lt;=DATE(2018,12,31)),$M990,"")</f>
        <v/>
      </c>
      <c r="Q990" s="5">
        <f>SUMPRODUCT(Exposures!$B$8:$K$8,B990:K990)</f>
        <v/>
      </c>
      <c r="R990" s="5">
        <f>SUMPRODUCT(Exposures!$B$9:$K$9,B990:K990)</f>
        <v/>
      </c>
      <c r="S990" s="5">
        <f>SUMPRODUCT(Exposures!$B$10:$K$10,B990:K990)</f>
        <v/>
      </c>
    </row>
    <row r="991">
      <c r="A991" s="1" t="n">
        <v>43896</v>
      </c>
      <c r="B991" s="5" t="n">
        <v>-0.007520892322140816</v>
      </c>
      <c r="C991" s="5" t="n">
        <v>0.001041173365703764</v>
      </c>
      <c r="D991" s="5" t="n">
        <v>-0.003058492975818027</v>
      </c>
      <c r="E991" s="5" t="n">
        <v>-0.00226700207849806</v>
      </c>
      <c r="F991" s="5" t="n">
        <v>0.01127067138578063</v>
      </c>
      <c r="G991" s="5" t="n">
        <v>-0.02139641847805791</v>
      </c>
      <c r="H991" s="5" t="n">
        <v>-0.005711688274362646</v>
      </c>
      <c r="I991" s="5" t="n">
        <v>0.004305363830677159</v>
      </c>
      <c r="J991" s="5" t="n">
        <v>-0.006697367541078613</v>
      </c>
      <c r="K991" s="5" t="n">
        <v>-0.01393489436160013</v>
      </c>
      <c r="L991" s="5" t="n">
        <v>-0.007590233225388893</v>
      </c>
      <c r="M991" s="5">
        <f>SUMPRODUCT(Exposures!$B$6:$K$6,B991:K991)</f>
        <v/>
      </c>
      <c r="N991" s="5">
        <f>IF(AND($A991&gt;=DATE(2020,2,1),$A991&lt;=DATE(2020,5,31)),$M991,"")</f>
        <v/>
      </c>
      <c r="O991" s="5">
        <f>IF(AND($A991&gt;=DATE(2022,1,1),$A991&lt;=DATE(2022,10,31)),$M991,"")</f>
        <v/>
      </c>
      <c r="P991" s="5">
        <f>IF(AND($A991&gt;=DATE(2018,10,1),$A991&lt;=DATE(2018,12,31)),$M991,"")</f>
        <v/>
      </c>
      <c r="Q991" s="5">
        <f>SUMPRODUCT(Exposures!$B$8:$K$8,B991:K991)</f>
        <v/>
      </c>
      <c r="R991" s="5">
        <f>SUMPRODUCT(Exposures!$B$9:$K$9,B991:K991)</f>
        <v/>
      </c>
      <c r="S991" s="5">
        <f>SUMPRODUCT(Exposures!$B$10:$K$10,B991:K991)</f>
        <v/>
      </c>
    </row>
    <row r="992">
      <c r="A992" s="1" t="n">
        <v>43899</v>
      </c>
      <c r="B992" s="5" t="n">
        <v>-0.02215254685194597</v>
      </c>
      <c r="C992" s="5" t="n">
        <v>-0.005578126984176166</v>
      </c>
      <c r="D992" s="5" t="n">
        <v>0.001095927806657386</v>
      </c>
      <c r="E992" s="5" t="n">
        <v>-0.007700667132757482</v>
      </c>
      <c r="F992" s="5" t="n">
        <v>0.01329928481440295</v>
      </c>
      <c r="G992" s="5" t="n">
        <v>-0.08958326837178499</v>
      </c>
      <c r="H992" s="5" t="n">
        <v>0.004771483218787101</v>
      </c>
      <c r="I992" s="5" t="n">
        <v>0.0009083618451697327</v>
      </c>
      <c r="J992" s="5" t="n">
        <v>0.004065571069319285</v>
      </c>
      <c r="K992" s="5" t="n">
        <v>-0.001470476452164832</v>
      </c>
      <c r="L992" s="5" t="n">
        <v>-0.004305403736843762</v>
      </c>
      <c r="M992" s="5">
        <f>SUMPRODUCT(Exposures!$B$6:$K$6,B992:K992)</f>
        <v/>
      </c>
      <c r="N992" s="5">
        <f>IF(AND($A992&gt;=DATE(2020,2,1),$A992&lt;=DATE(2020,5,31)),$M992,"")</f>
        <v/>
      </c>
      <c r="O992" s="5">
        <f>IF(AND($A992&gt;=DATE(2022,1,1),$A992&lt;=DATE(2022,10,31)),$M992,"")</f>
        <v/>
      </c>
      <c r="P992" s="5">
        <f>IF(AND($A992&gt;=DATE(2018,10,1),$A992&lt;=DATE(2018,12,31)),$M992,"")</f>
        <v/>
      </c>
      <c r="Q992" s="5">
        <f>SUMPRODUCT(Exposures!$B$8:$K$8,B992:K992)</f>
        <v/>
      </c>
      <c r="R992" s="5">
        <f>SUMPRODUCT(Exposures!$B$9:$K$9,B992:K992)</f>
        <v/>
      </c>
      <c r="S992" s="5">
        <f>SUMPRODUCT(Exposures!$B$10:$K$10,B992:K992)</f>
        <v/>
      </c>
    </row>
    <row r="993">
      <c r="A993" s="1" t="n">
        <v>43900</v>
      </c>
      <c r="B993" s="5" t="n">
        <v>0.01525402331009354</v>
      </c>
      <c r="C993" s="5" t="n">
        <v>0.00367906470022614</v>
      </c>
      <c r="D993" s="5" t="n">
        <v>0.0002557221938038677</v>
      </c>
      <c r="E993" s="5" t="n">
        <v>-0.0002170384660537641</v>
      </c>
      <c r="F993" s="5" t="n">
        <v>-3.037241257486563e-05</v>
      </c>
      <c r="G993" s="5" t="n">
        <v>0.03969988969405141</v>
      </c>
      <c r="H993" s="5" t="n">
        <v>0.004219176124252504</v>
      </c>
      <c r="I993" s="5" t="n">
        <v>-0.004173820043809805</v>
      </c>
      <c r="J993" s="5" t="n">
        <v>-0.003777796471278443</v>
      </c>
      <c r="K993" s="5" t="n">
        <v>0.006842310934193237</v>
      </c>
      <c r="L993" s="5" t="n">
        <v>0.001784578873768837</v>
      </c>
      <c r="M993" s="5">
        <f>SUMPRODUCT(Exposures!$B$6:$K$6,B993:K993)</f>
        <v/>
      </c>
      <c r="N993" s="5">
        <f>IF(AND($A993&gt;=DATE(2020,2,1),$A993&lt;=DATE(2020,5,31)),$M993,"")</f>
        <v/>
      </c>
      <c r="O993" s="5">
        <f>IF(AND($A993&gt;=DATE(2022,1,1),$A993&lt;=DATE(2022,10,31)),$M993,"")</f>
        <v/>
      </c>
      <c r="P993" s="5">
        <f>IF(AND($A993&gt;=DATE(2018,10,1),$A993&lt;=DATE(2018,12,31)),$M993,"")</f>
        <v/>
      </c>
      <c r="Q993" s="5">
        <f>SUMPRODUCT(Exposures!$B$8:$K$8,B993:K993)</f>
        <v/>
      </c>
      <c r="R993" s="5">
        <f>SUMPRODUCT(Exposures!$B$9:$K$9,B993:K993)</f>
        <v/>
      </c>
      <c r="S993" s="5">
        <f>SUMPRODUCT(Exposures!$B$10:$K$10,B993:K993)</f>
        <v/>
      </c>
    </row>
    <row r="994">
      <c r="A994" s="1" t="n">
        <v>43901</v>
      </c>
      <c r="B994" s="5" t="n">
        <v>-0.004261908161832239</v>
      </c>
      <c r="C994" s="5" t="n">
        <v>-2.1435526535002e-05</v>
      </c>
      <c r="D994" s="5" t="n">
        <v>-0.006714930432311355</v>
      </c>
      <c r="E994" s="5" t="n">
        <v>-0.005290191591247819</v>
      </c>
      <c r="F994" s="5" t="n">
        <v>-0.006777571003157187</v>
      </c>
      <c r="G994" s="5" t="n">
        <v>-0.05826574675459905</v>
      </c>
      <c r="H994" s="5" t="n">
        <v>0.00510221910644254</v>
      </c>
      <c r="I994" s="5" t="n">
        <v>0.001620238142673226</v>
      </c>
      <c r="J994" s="5" t="n">
        <v>-0.002565841433675382</v>
      </c>
      <c r="K994" s="5" t="n">
        <v>0.009287734635342396</v>
      </c>
      <c r="L994" s="5" t="n">
        <v>0.000498539555342765</v>
      </c>
      <c r="M994" s="5">
        <f>SUMPRODUCT(Exposures!$B$6:$K$6,B994:K994)</f>
        <v/>
      </c>
      <c r="N994" s="5">
        <f>IF(AND($A994&gt;=DATE(2020,2,1),$A994&lt;=DATE(2020,5,31)),$M994,"")</f>
        <v/>
      </c>
      <c r="O994" s="5">
        <f>IF(AND($A994&gt;=DATE(2022,1,1),$A994&lt;=DATE(2022,10,31)),$M994,"")</f>
        <v/>
      </c>
      <c r="P994" s="5">
        <f>IF(AND($A994&gt;=DATE(2018,10,1),$A994&lt;=DATE(2018,12,31)),$M994,"")</f>
        <v/>
      </c>
      <c r="Q994" s="5">
        <f>SUMPRODUCT(Exposures!$B$8:$K$8,B994:K994)</f>
        <v/>
      </c>
      <c r="R994" s="5">
        <f>SUMPRODUCT(Exposures!$B$9:$K$9,B994:K994)</f>
        <v/>
      </c>
      <c r="S994" s="5">
        <f>SUMPRODUCT(Exposures!$B$10:$K$10,B994:K994)</f>
        <v/>
      </c>
    </row>
    <row r="995">
      <c r="A995" s="1" t="n">
        <v>43902</v>
      </c>
      <c r="B995" s="5" t="n">
        <v>-0.01370677263895309</v>
      </c>
      <c r="C995" s="5" t="n">
        <v>-0.007282411923659088</v>
      </c>
      <c r="D995" s="5" t="n">
        <v>0.002401762139630863</v>
      </c>
      <c r="E995" s="5" t="n">
        <v>-0.01256524405510592</v>
      </c>
      <c r="F995" s="5" t="n">
        <v>-0.01439775156883228</v>
      </c>
      <c r="G995" s="5" t="n">
        <v>-0.1092149946403166</v>
      </c>
      <c r="H995" s="5" t="n">
        <v>-0.00214266310214683</v>
      </c>
      <c r="I995" s="5" t="n">
        <v>-0.003116536285534426</v>
      </c>
      <c r="J995" s="5" t="n">
        <v>0.003134300103800449</v>
      </c>
      <c r="K995" s="5" t="n">
        <v>0.03254030995707094</v>
      </c>
      <c r="L995" s="5" t="n">
        <v>0.008528278756962226</v>
      </c>
      <c r="M995" s="5">
        <f>SUMPRODUCT(Exposures!$B$6:$K$6,B995:K995)</f>
        <v/>
      </c>
      <c r="N995" s="5">
        <f>IF(AND($A995&gt;=DATE(2020,2,1),$A995&lt;=DATE(2020,5,31)),$M995,"")</f>
        <v/>
      </c>
      <c r="O995" s="5">
        <f>IF(AND($A995&gt;=DATE(2022,1,1),$A995&lt;=DATE(2022,10,31)),$M995,"")</f>
        <v/>
      </c>
      <c r="P995" s="5">
        <f>IF(AND($A995&gt;=DATE(2018,10,1),$A995&lt;=DATE(2018,12,31)),$M995,"")</f>
        <v/>
      </c>
      <c r="Q995" s="5">
        <f>SUMPRODUCT(Exposures!$B$8:$K$8,B995:K995)</f>
        <v/>
      </c>
      <c r="R995" s="5">
        <f>SUMPRODUCT(Exposures!$B$9:$K$9,B995:K995)</f>
        <v/>
      </c>
      <c r="S995" s="5">
        <f>SUMPRODUCT(Exposures!$B$10:$K$10,B995:K995)</f>
        <v/>
      </c>
    </row>
    <row r="996">
      <c r="A996" s="1" t="n">
        <v>43903</v>
      </c>
      <c r="B996" s="5" t="n">
        <v>0.02724150534362377</v>
      </c>
      <c r="C996" s="5" t="n">
        <v>-0.003727433851158809</v>
      </c>
      <c r="D996" s="5" t="n">
        <v>0.00212844655013389</v>
      </c>
      <c r="E996" s="5" t="n">
        <v>0.01197802127493638</v>
      </c>
      <c r="F996" s="5" t="n">
        <v>-0.008074566102416284</v>
      </c>
      <c r="G996" s="5" t="n">
        <v>0.07757888521024926</v>
      </c>
      <c r="H996" s="5" t="n">
        <v>0.0004491783712827109</v>
      </c>
      <c r="I996" s="5" t="n">
        <v>0.009949292722276785</v>
      </c>
      <c r="J996" s="5" t="n">
        <v>-0.01206997712786582</v>
      </c>
      <c r="K996" s="5" t="n">
        <v>0.01217603926323995</v>
      </c>
      <c r="L996" s="5" t="n">
        <v>0.00461287514487508</v>
      </c>
      <c r="M996" s="5">
        <f>SUMPRODUCT(Exposures!$B$6:$K$6,B996:K996)</f>
        <v/>
      </c>
      <c r="N996" s="5">
        <f>IF(AND($A996&gt;=DATE(2020,2,1),$A996&lt;=DATE(2020,5,31)),$M996,"")</f>
        <v/>
      </c>
      <c r="O996" s="5">
        <f>IF(AND($A996&gt;=DATE(2022,1,1),$A996&lt;=DATE(2022,10,31)),$M996,"")</f>
        <v/>
      </c>
      <c r="P996" s="5">
        <f>IF(AND($A996&gt;=DATE(2018,10,1),$A996&lt;=DATE(2018,12,31)),$M996,"")</f>
        <v/>
      </c>
      <c r="Q996" s="5">
        <f>SUMPRODUCT(Exposures!$B$8:$K$8,B996:K996)</f>
        <v/>
      </c>
      <c r="R996" s="5">
        <f>SUMPRODUCT(Exposures!$B$9:$K$9,B996:K996)</f>
        <v/>
      </c>
      <c r="S996" s="5">
        <f>SUMPRODUCT(Exposures!$B$10:$K$10,B996:K996)</f>
        <v/>
      </c>
    </row>
    <row r="997">
      <c r="A997" s="1" t="n">
        <v>43906</v>
      </c>
      <c r="B997" s="5" t="n">
        <v>-0.01382014201782698</v>
      </c>
      <c r="C997" s="5" t="n">
        <v>0.002614446681957022</v>
      </c>
      <c r="D997" s="5" t="n">
        <v>0.0006733329404989257</v>
      </c>
      <c r="E997" s="5" t="n">
        <v>-0.01363662003884187</v>
      </c>
      <c r="F997" s="5" t="n">
        <v>0.01399311297883683</v>
      </c>
      <c r="G997" s="5" t="n">
        <v>-0.1313032841369089</v>
      </c>
      <c r="H997" s="5" t="n">
        <v>-0.004842074272156709</v>
      </c>
      <c r="I997" s="5" t="n">
        <v>-0.003130200858755551</v>
      </c>
      <c r="J997" s="5" t="n">
        <v>0.001220898889868234</v>
      </c>
      <c r="K997" s="5" t="n">
        <v>-0.003477697737492914</v>
      </c>
      <c r="L997" s="5" t="n">
        <v>-0.009471170903641302</v>
      </c>
      <c r="M997" s="5">
        <f>SUMPRODUCT(Exposures!$B$6:$K$6,B997:K997)</f>
        <v/>
      </c>
      <c r="N997" s="5">
        <f>IF(AND($A997&gt;=DATE(2020,2,1),$A997&lt;=DATE(2020,5,31)),$M997,"")</f>
        <v/>
      </c>
      <c r="O997" s="5">
        <f>IF(AND($A997&gt;=DATE(2022,1,1),$A997&lt;=DATE(2022,10,31)),$M997,"")</f>
        <v/>
      </c>
      <c r="P997" s="5">
        <f>IF(AND($A997&gt;=DATE(2018,10,1),$A997&lt;=DATE(2018,12,31)),$M997,"")</f>
        <v/>
      </c>
      <c r="Q997" s="5">
        <f>SUMPRODUCT(Exposures!$B$8:$K$8,B997:K997)</f>
        <v/>
      </c>
      <c r="R997" s="5">
        <f>SUMPRODUCT(Exposures!$B$9:$K$9,B997:K997)</f>
        <v/>
      </c>
      <c r="S997" s="5">
        <f>SUMPRODUCT(Exposures!$B$10:$K$10,B997:K997)</f>
        <v/>
      </c>
    </row>
    <row r="998">
      <c r="A998" s="1" t="n">
        <v>43907</v>
      </c>
      <c r="B998" s="5" t="n">
        <v>-0.006962058162867027</v>
      </c>
      <c r="C998" s="5" t="n">
        <v>-0.01687080620183691</v>
      </c>
      <c r="D998" s="5" t="n">
        <v>-0.006077019457753785</v>
      </c>
      <c r="E998" s="5" t="n">
        <v>-0.004796252910527421</v>
      </c>
      <c r="F998" s="5" t="n">
        <v>-0.01431794005266329</v>
      </c>
      <c r="G998" s="5" t="n">
        <v>0.04556551622477622</v>
      </c>
      <c r="H998" s="5" t="n">
        <v>0.007353828780433303</v>
      </c>
      <c r="I998" s="5" t="n">
        <v>-0.01768896883085695</v>
      </c>
      <c r="J998" s="5" t="n">
        <v>-0.001944347892105458</v>
      </c>
      <c r="K998" s="5" t="n">
        <v>0.03597787338384159</v>
      </c>
      <c r="L998" s="5" t="n">
        <v>0.003820178363184045</v>
      </c>
      <c r="M998" s="5">
        <f>SUMPRODUCT(Exposures!$B$6:$K$6,B998:K998)</f>
        <v/>
      </c>
      <c r="N998" s="5">
        <f>IF(AND($A998&gt;=DATE(2020,2,1),$A998&lt;=DATE(2020,5,31)),$M998,"")</f>
        <v/>
      </c>
      <c r="O998" s="5">
        <f>IF(AND($A998&gt;=DATE(2022,1,1),$A998&lt;=DATE(2022,10,31)),$M998,"")</f>
        <v/>
      </c>
      <c r="P998" s="5">
        <f>IF(AND($A998&gt;=DATE(2018,10,1),$A998&lt;=DATE(2018,12,31)),$M998,"")</f>
        <v/>
      </c>
      <c r="Q998" s="5">
        <f>SUMPRODUCT(Exposures!$B$8:$K$8,B998:K998)</f>
        <v/>
      </c>
      <c r="R998" s="5">
        <f>SUMPRODUCT(Exposures!$B$9:$K$9,B998:K998)</f>
        <v/>
      </c>
      <c r="S998" s="5">
        <f>SUMPRODUCT(Exposures!$B$10:$K$10,B998:K998)</f>
        <v/>
      </c>
    </row>
    <row r="999">
      <c r="A999" s="1" t="n">
        <v>43908</v>
      </c>
      <c r="B999" s="5" t="n">
        <v>-0.01111576451811135</v>
      </c>
      <c r="C999" s="5" t="n">
        <v>-0.02277614784450861</v>
      </c>
      <c r="D999" s="5" t="n">
        <v>-0.001276200387388614</v>
      </c>
      <c r="E999" s="5" t="n">
        <v>-0.003902988191996684</v>
      </c>
      <c r="F999" s="5" t="n">
        <v>0.0244949751076604</v>
      </c>
      <c r="G999" s="5" t="n">
        <v>-0.1009014637668455</v>
      </c>
      <c r="H999" s="5" t="n">
        <v>0.00385780548333359</v>
      </c>
      <c r="I999" s="5" t="n">
        <v>-0.008786138159782651</v>
      </c>
      <c r="J999" s="5" t="n">
        <v>-0.005362246744172334</v>
      </c>
      <c r="K999" s="5" t="n">
        <v>0.0139340103149339</v>
      </c>
      <c r="L999" s="5" t="n">
        <v>-0.006201545124257623</v>
      </c>
      <c r="M999" s="5">
        <f>SUMPRODUCT(Exposures!$B$6:$K$6,B999:K999)</f>
        <v/>
      </c>
      <c r="N999" s="5">
        <f>IF(AND($A999&gt;=DATE(2020,2,1),$A999&lt;=DATE(2020,5,31)),$M999,"")</f>
        <v/>
      </c>
      <c r="O999" s="5">
        <f>IF(AND($A999&gt;=DATE(2022,1,1),$A999&lt;=DATE(2022,10,31)),$M999,"")</f>
        <v/>
      </c>
      <c r="P999" s="5">
        <f>IF(AND($A999&gt;=DATE(2018,10,1),$A999&lt;=DATE(2018,12,31)),$M999,"")</f>
        <v/>
      </c>
      <c r="Q999" s="5">
        <f>SUMPRODUCT(Exposures!$B$8:$K$8,B999:K999)</f>
        <v/>
      </c>
      <c r="R999" s="5">
        <f>SUMPRODUCT(Exposures!$B$9:$K$9,B999:K999)</f>
        <v/>
      </c>
      <c r="S999" s="5">
        <f>SUMPRODUCT(Exposures!$B$10:$K$10,B999:K999)</f>
        <v/>
      </c>
    </row>
    <row r="1000">
      <c r="A1000" s="1" t="n">
        <v>43909</v>
      </c>
      <c r="B1000" s="5" t="n">
        <v>0.01446694849367836</v>
      </c>
      <c r="C1000" s="5" t="n">
        <v>0.0129220001251726</v>
      </c>
      <c r="D1000" s="5" t="n">
        <v>-0.01507629547523886</v>
      </c>
      <c r="E1000" s="5" t="n">
        <v>-9.364028515933005e-05</v>
      </c>
      <c r="F1000" s="5" t="n">
        <v>-0.02313229867754608</v>
      </c>
      <c r="G1000" s="5" t="n">
        <v>0.04123482618051657</v>
      </c>
      <c r="H1000" s="5" t="n">
        <v>0.003022707455197665</v>
      </c>
      <c r="I1000" s="5" t="n">
        <v>0.007666715437343985</v>
      </c>
      <c r="J1000" s="5" t="n">
        <v>0.01361956840140692</v>
      </c>
      <c r="K1000" s="5" t="n">
        <v>-0.01289877829459767</v>
      </c>
      <c r="L1000" s="5" t="n">
        <v>0.004830523578829185</v>
      </c>
      <c r="M1000" s="5">
        <f>SUMPRODUCT(Exposures!$B$6:$K$6,B1000:K1000)</f>
        <v/>
      </c>
      <c r="N1000" s="5">
        <f>IF(AND($A1000&gt;=DATE(2020,2,1),$A1000&lt;=DATE(2020,5,31)),$M1000,"")</f>
        <v/>
      </c>
      <c r="O1000" s="5">
        <f>IF(AND($A1000&gt;=DATE(2022,1,1),$A1000&lt;=DATE(2022,10,31)),$M1000,"")</f>
        <v/>
      </c>
      <c r="P1000" s="5">
        <f>IF(AND($A1000&gt;=DATE(2018,10,1),$A1000&lt;=DATE(2018,12,31)),$M1000,"")</f>
        <v/>
      </c>
      <c r="Q1000" s="5">
        <f>SUMPRODUCT(Exposures!$B$8:$K$8,B1000:K1000)</f>
        <v/>
      </c>
      <c r="R1000" s="5">
        <f>SUMPRODUCT(Exposures!$B$9:$K$9,B1000:K1000)</f>
        <v/>
      </c>
      <c r="S1000" s="5">
        <f>SUMPRODUCT(Exposures!$B$10:$K$10,B1000:K1000)</f>
        <v/>
      </c>
    </row>
    <row r="1001">
      <c r="A1001" s="1" t="n">
        <v>43910</v>
      </c>
      <c r="B1001" s="5" t="n">
        <v>0.00173663677273793</v>
      </c>
      <c r="C1001" s="5" t="n">
        <v>0.01070762440467913</v>
      </c>
      <c r="D1001" s="5" t="n">
        <v>0.0030471253664813</v>
      </c>
      <c r="E1001" s="5" t="n">
        <v>-0.003309102060477194</v>
      </c>
      <c r="F1001" s="5" t="n">
        <v>0.01293619286779647</v>
      </c>
      <c r="G1001" s="5" t="n">
        <v>-0.04115147585041962</v>
      </c>
      <c r="H1001" s="5" t="n">
        <v>-0.002168693908464782</v>
      </c>
      <c r="I1001" s="5" t="n">
        <v>-0.001499994384436073</v>
      </c>
      <c r="J1001" s="5" t="n">
        <v>0.004060165830512252</v>
      </c>
      <c r="K1001" s="5" t="n">
        <v>-0.01140740639365278</v>
      </c>
      <c r="L1001" s="5" t="n">
        <v>-0.003733482359635378</v>
      </c>
      <c r="M1001" s="5">
        <f>SUMPRODUCT(Exposures!$B$6:$K$6,B1001:K1001)</f>
        <v/>
      </c>
      <c r="N1001" s="5">
        <f>IF(AND($A1001&gt;=DATE(2020,2,1),$A1001&lt;=DATE(2020,5,31)),$M1001,"")</f>
        <v/>
      </c>
      <c r="O1001" s="5">
        <f>IF(AND($A1001&gt;=DATE(2022,1,1),$A1001&lt;=DATE(2022,10,31)),$M1001,"")</f>
        <v/>
      </c>
      <c r="P1001" s="5">
        <f>IF(AND($A1001&gt;=DATE(2018,10,1),$A1001&lt;=DATE(2018,12,31)),$M1001,"")</f>
        <v/>
      </c>
      <c r="Q1001" s="5">
        <f>SUMPRODUCT(Exposures!$B$8:$K$8,B1001:K1001)</f>
        <v/>
      </c>
      <c r="R1001" s="5">
        <f>SUMPRODUCT(Exposures!$B$9:$K$9,B1001:K1001)</f>
        <v/>
      </c>
      <c r="S1001" s="5">
        <f>SUMPRODUCT(Exposures!$B$10:$K$10,B1001:K1001)</f>
        <v/>
      </c>
    </row>
    <row r="1002">
      <c r="A1002" s="1" t="n">
        <v>43913</v>
      </c>
      <c r="B1002" s="5" t="n">
        <v>0.002704792434423464</v>
      </c>
      <c r="C1002" s="5" t="n">
        <v>0.005943297853001825</v>
      </c>
      <c r="D1002" s="5" t="n">
        <v>0.01304506687222029</v>
      </c>
      <c r="E1002" s="5" t="n">
        <v>0.009045815694367954</v>
      </c>
      <c r="F1002" s="5" t="n">
        <v>0.03342934494566931</v>
      </c>
      <c r="G1002" s="5" t="n">
        <v>-0.02376210772412464</v>
      </c>
      <c r="H1002" s="5" t="n">
        <v>0.008895148642214908</v>
      </c>
      <c r="I1002" s="5" t="n">
        <v>0.007479623816566907</v>
      </c>
      <c r="J1002" s="5" t="n">
        <v>0.01948865603571488</v>
      </c>
      <c r="K1002" s="5" t="n">
        <v>-0.03983761058065013</v>
      </c>
      <c r="L1002" s="5" t="n">
        <v>-0.01623419813875838</v>
      </c>
      <c r="M1002" s="5">
        <f>SUMPRODUCT(Exposures!$B$6:$K$6,B1002:K1002)</f>
        <v/>
      </c>
      <c r="N1002" s="5">
        <f>IF(AND($A1002&gt;=DATE(2020,2,1),$A1002&lt;=DATE(2020,5,31)),$M1002,"")</f>
        <v/>
      </c>
      <c r="O1002" s="5">
        <f>IF(AND($A1002&gt;=DATE(2022,1,1),$A1002&lt;=DATE(2022,10,31)),$M1002,"")</f>
        <v/>
      </c>
      <c r="P1002" s="5">
        <f>IF(AND($A1002&gt;=DATE(2018,10,1),$A1002&lt;=DATE(2018,12,31)),$M1002,"")</f>
        <v/>
      </c>
      <c r="Q1002" s="5">
        <f>SUMPRODUCT(Exposures!$B$8:$K$8,B1002:K1002)</f>
        <v/>
      </c>
      <c r="R1002" s="5">
        <f>SUMPRODUCT(Exposures!$B$9:$K$9,B1002:K1002)</f>
        <v/>
      </c>
      <c r="S1002" s="5">
        <f>SUMPRODUCT(Exposures!$B$10:$K$10,B1002:K1002)</f>
        <v/>
      </c>
    </row>
    <row r="1003">
      <c r="A1003" s="1" t="n">
        <v>43914</v>
      </c>
      <c r="B1003" s="5" t="n">
        <v>0.03113993733183307</v>
      </c>
      <c r="C1003" s="5" t="n">
        <v>0.005558581684122412</v>
      </c>
      <c r="D1003" s="5" t="n">
        <v>0.002751070748367388</v>
      </c>
      <c r="E1003" s="5" t="n">
        <v>0.01738827987417197</v>
      </c>
      <c r="F1003" s="5" t="n">
        <v>0.003265271227450437</v>
      </c>
      <c r="G1003" s="5" t="n">
        <v>0.1102754665424354</v>
      </c>
      <c r="H1003" s="5" t="n">
        <v>-0.001696825768524364</v>
      </c>
      <c r="I1003" s="5" t="n">
        <v>-0.005796076605803392</v>
      </c>
      <c r="J1003" s="5" t="n">
        <v>-0.001811926693670689</v>
      </c>
      <c r="K1003" s="5" t="n">
        <v>-0.01077487475275913</v>
      </c>
      <c r="L1003" s="5" t="n">
        <v>-0.003558715519940594</v>
      </c>
      <c r="M1003" s="5">
        <f>SUMPRODUCT(Exposures!$B$6:$K$6,B1003:K1003)</f>
        <v/>
      </c>
      <c r="N1003" s="5">
        <f>IF(AND($A1003&gt;=DATE(2020,2,1),$A1003&lt;=DATE(2020,5,31)),$M1003,"")</f>
        <v/>
      </c>
      <c r="O1003" s="5">
        <f>IF(AND($A1003&gt;=DATE(2022,1,1),$A1003&lt;=DATE(2022,10,31)),$M1003,"")</f>
        <v/>
      </c>
      <c r="P1003" s="5">
        <f>IF(AND($A1003&gt;=DATE(2018,10,1),$A1003&lt;=DATE(2018,12,31)),$M1003,"")</f>
        <v/>
      </c>
      <c r="Q1003" s="5">
        <f>SUMPRODUCT(Exposures!$B$8:$K$8,B1003:K1003)</f>
        <v/>
      </c>
      <c r="R1003" s="5">
        <f>SUMPRODUCT(Exposures!$B$9:$K$9,B1003:K1003)</f>
        <v/>
      </c>
      <c r="S1003" s="5">
        <f>SUMPRODUCT(Exposures!$B$10:$K$10,B1003:K1003)</f>
        <v/>
      </c>
    </row>
    <row r="1004">
      <c r="A1004" s="1" t="n">
        <v>43915</v>
      </c>
      <c r="B1004" s="5" t="n">
        <v>0.003374429423369636</v>
      </c>
      <c r="C1004" s="5" t="n">
        <v>-0.0008097746760144765</v>
      </c>
      <c r="D1004" s="5" t="n">
        <v>0.002802112637648605</v>
      </c>
      <c r="E1004" s="5" t="n">
        <v>0.009945077578544697</v>
      </c>
      <c r="F1004" s="5" t="n">
        <v>0.006888030775133874</v>
      </c>
      <c r="G1004" s="5" t="n">
        <v>0.03688506736889721</v>
      </c>
      <c r="H1004" s="5" t="n">
        <v>-0.007993162107191179</v>
      </c>
      <c r="I1004" s="5" t="n">
        <v>0.003109942819009275</v>
      </c>
      <c r="J1004" s="5" t="n">
        <v>-0.007723487015192271</v>
      </c>
      <c r="K1004" s="5" t="n">
        <v>-0.0195482859393112</v>
      </c>
      <c r="L1004" s="5" t="n">
        <v>0.0008851052090195939</v>
      </c>
      <c r="M1004" s="5">
        <f>SUMPRODUCT(Exposures!$B$6:$K$6,B1004:K1004)</f>
        <v/>
      </c>
      <c r="N1004" s="5">
        <f>IF(AND($A1004&gt;=DATE(2020,2,1),$A1004&lt;=DATE(2020,5,31)),$M1004,"")</f>
        <v/>
      </c>
      <c r="O1004" s="5">
        <f>IF(AND($A1004&gt;=DATE(2022,1,1),$A1004&lt;=DATE(2022,10,31)),$M1004,"")</f>
        <v/>
      </c>
      <c r="P1004" s="5">
        <f>IF(AND($A1004&gt;=DATE(2018,10,1),$A1004&lt;=DATE(2018,12,31)),$M1004,"")</f>
        <v/>
      </c>
      <c r="Q1004" s="5">
        <f>SUMPRODUCT(Exposures!$B$8:$K$8,B1004:K1004)</f>
        <v/>
      </c>
      <c r="R1004" s="5">
        <f>SUMPRODUCT(Exposures!$B$9:$K$9,B1004:K1004)</f>
        <v/>
      </c>
      <c r="S1004" s="5">
        <f>SUMPRODUCT(Exposures!$B$10:$K$10,B1004:K1004)</f>
        <v/>
      </c>
    </row>
    <row r="1005">
      <c r="A1005" s="1" t="n">
        <v>43916</v>
      </c>
      <c r="B1005" s="5" t="n">
        <v>-0.001650324951770528</v>
      </c>
      <c r="C1005" s="5" t="n">
        <v>-0.001423180092284693</v>
      </c>
      <c r="D1005" s="5" t="n">
        <v>-0.000457275381850401</v>
      </c>
      <c r="E1005" s="5" t="n">
        <v>0.0002629491590680457</v>
      </c>
      <c r="F1005" s="5" t="n">
        <v>-0.01900397763781911</v>
      </c>
      <c r="G1005" s="5" t="n">
        <v>0.06725217989437533</v>
      </c>
      <c r="H1005" s="5" t="n">
        <v>0.003095716737560316</v>
      </c>
      <c r="I1005" s="5" t="n">
        <v>0.002695309827684837</v>
      </c>
      <c r="J1005" s="5" t="n">
        <v>-0.007943436902750631</v>
      </c>
      <c r="K1005" s="5" t="n">
        <v>0.01531600392647913</v>
      </c>
      <c r="L1005" s="5" t="n">
        <v>0.01005515900823424</v>
      </c>
      <c r="M1005" s="5">
        <f>SUMPRODUCT(Exposures!$B$6:$K$6,B1005:K1005)</f>
        <v/>
      </c>
      <c r="N1005" s="5">
        <f>IF(AND($A1005&gt;=DATE(2020,2,1),$A1005&lt;=DATE(2020,5,31)),$M1005,"")</f>
        <v/>
      </c>
      <c r="O1005" s="5">
        <f>IF(AND($A1005&gt;=DATE(2022,1,1),$A1005&lt;=DATE(2022,10,31)),$M1005,"")</f>
        <v/>
      </c>
      <c r="P1005" s="5">
        <f>IF(AND($A1005&gt;=DATE(2018,10,1),$A1005&lt;=DATE(2018,12,31)),$M1005,"")</f>
        <v/>
      </c>
      <c r="Q1005" s="5">
        <f>SUMPRODUCT(Exposures!$B$8:$K$8,B1005:K1005)</f>
        <v/>
      </c>
      <c r="R1005" s="5">
        <f>SUMPRODUCT(Exposures!$B$9:$K$9,B1005:K1005)</f>
        <v/>
      </c>
      <c r="S1005" s="5">
        <f>SUMPRODUCT(Exposures!$B$10:$K$10,B1005:K1005)</f>
        <v/>
      </c>
    </row>
    <row r="1006">
      <c r="A1006" s="1" t="n">
        <v>43917</v>
      </c>
      <c r="B1006" s="5" t="n">
        <v>-0.01963518057043915</v>
      </c>
      <c r="C1006" s="5" t="n">
        <v>-0.005507855019631455</v>
      </c>
      <c r="D1006" s="5" t="n">
        <v>-0.001641342459004724</v>
      </c>
      <c r="E1006" s="5" t="n">
        <v>0.001931294421356516</v>
      </c>
      <c r="F1006" s="5" t="n">
        <v>0.01097449489263344</v>
      </c>
      <c r="G1006" s="5" t="n">
        <v>-0.04062829744773115</v>
      </c>
      <c r="H1006" s="5" t="n">
        <v>0.004868471503195885</v>
      </c>
      <c r="I1006" s="5" t="n">
        <v>-0.002035326121823986</v>
      </c>
      <c r="J1006" s="5" t="n">
        <v>-0.007316546315780629</v>
      </c>
      <c r="K1006" s="5" t="n">
        <v>-0.009173676579136118</v>
      </c>
      <c r="L1006" s="5" t="n">
        <v>0.003352671732064731</v>
      </c>
      <c r="M1006" s="5">
        <f>SUMPRODUCT(Exposures!$B$6:$K$6,B1006:K1006)</f>
        <v/>
      </c>
      <c r="N1006" s="5">
        <f>IF(AND($A1006&gt;=DATE(2020,2,1),$A1006&lt;=DATE(2020,5,31)),$M1006,"")</f>
        <v/>
      </c>
      <c r="O1006" s="5">
        <f>IF(AND($A1006&gt;=DATE(2022,1,1),$A1006&lt;=DATE(2022,10,31)),$M1006,"")</f>
        <v/>
      </c>
      <c r="P1006" s="5">
        <f>IF(AND($A1006&gt;=DATE(2018,10,1),$A1006&lt;=DATE(2018,12,31)),$M1006,"")</f>
        <v/>
      </c>
      <c r="Q1006" s="5">
        <f>SUMPRODUCT(Exposures!$B$8:$K$8,B1006:K1006)</f>
        <v/>
      </c>
      <c r="R1006" s="5">
        <f>SUMPRODUCT(Exposures!$B$9:$K$9,B1006:K1006)</f>
        <v/>
      </c>
      <c r="S1006" s="5">
        <f>SUMPRODUCT(Exposures!$B$10:$K$10,B1006:K1006)</f>
        <v/>
      </c>
    </row>
    <row r="1007">
      <c r="A1007" s="1" t="n">
        <v>43920</v>
      </c>
      <c r="B1007" s="5" t="n">
        <v>-0.001678778302738881</v>
      </c>
      <c r="C1007" s="5" t="n">
        <v>-0.005454603175747688</v>
      </c>
      <c r="D1007" s="5" t="n">
        <v>-0.001287267226547208</v>
      </c>
      <c r="E1007" s="5" t="n">
        <v>-0.005552465992070514</v>
      </c>
      <c r="F1007" s="5" t="n">
        <v>-0.02343010451622083</v>
      </c>
      <c r="G1007" s="5" t="n">
        <v>0.02108999124104908</v>
      </c>
      <c r="H1007" s="5" t="n">
        <v>0.006814244987820696</v>
      </c>
      <c r="I1007" s="5" t="n">
        <v>0.001797881710785534</v>
      </c>
      <c r="J1007" s="5" t="n">
        <v>0.007675421777845604</v>
      </c>
      <c r="K1007" s="5" t="n">
        <v>0.03356708805557064</v>
      </c>
      <c r="L1007" s="5" t="n">
        <v>0.003834781711327879</v>
      </c>
      <c r="M1007" s="5">
        <f>SUMPRODUCT(Exposures!$B$6:$K$6,B1007:K1007)</f>
        <v/>
      </c>
      <c r="N1007" s="5">
        <f>IF(AND($A1007&gt;=DATE(2020,2,1),$A1007&lt;=DATE(2020,5,31)),$M1007,"")</f>
        <v/>
      </c>
      <c r="O1007" s="5">
        <f>IF(AND($A1007&gt;=DATE(2022,1,1),$A1007&lt;=DATE(2022,10,31)),$M1007,"")</f>
        <v/>
      </c>
      <c r="P1007" s="5">
        <f>IF(AND($A1007&gt;=DATE(2018,10,1),$A1007&lt;=DATE(2018,12,31)),$M1007,"")</f>
        <v/>
      </c>
      <c r="Q1007" s="5">
        <f>SUMPRODUCT(Exposures!$B$8:$K$8,B1007:K1007)</f>
        <v/>
      </c>
      <c r="R1007" s="5">
        <f>SUMPRODUCT(Exposures!$B$9:$K$9,B1007:K1007)</f>
        <v/>
      </c>
      <c r="S1007" s="5">
        <f>SUMPRODUCT(Exposures!$B$10:$K$10,B1007:K1007)</f>
        <v/>
      </c>
    </row>
    <row r="1008">
      <c r="A1008" s="1" t="n">
        <v>43921</v>
      </c>
      <c r="B1008" s="5" t="n">
        <v>0.0009019850535755248</v>
      </c>
      <c r="C1008" s="5" t="n">
        <v>0.004325200082998015</v>
      </c>
      <c r="D1008" s="5" t="n">
        <v>0.003789273013634839</v>
      </c>
      <c r="E1008" s="5" t="n">
        <v>-0.007898371042713584</v>
      </c>
      <c r="F1008" s="5" t="n">
        <v>0.003908423288143245</v>
      </c>
      <c r="G1008" s="5" t="n">
        <v>-0.01112740281804632</v>
      </c>
      <c r="H1008" s="5" t="n">
        <v>-0.002995250253665897</v>
      </c>
      <c r="I1008" s="5" t="n">
        <v>0.003573325837265043</v>
      </c>
      <c r="J1008" s="5" t="n">
        <v>0.01039898903414679</v>
      </c>
      <c r="K1008" s="5" t="n">
        <v>-0.003731995451977897</v>
      </c>
      <c r="L1008" s="5" t="n">
        <v>-0.00440164166749493</v>
      </c>
      <c r="M1008" s="5">
        <f>SUMPRODUCT(Exposures!$B$6:$K$6,B1008:K1008)</f>
        <v/>
      </c>
      <c r="N1008" s="5">
        <f>IF(AND($A1008&gt;=DATE(2020,2,1),$A1008&lt;=DATE(2020,5,31)),$M1008,"")</f>
        <v/>
      </c>
      <c r="O1008" s="5">
        <f>IF(AND($A1008&gt;=DATE(2022,1,1),$A1008&lt;=DATE(2022,10,31)),$M1008,"")</f>
        <v/>
      </c>
      <c r="P1008" s="5">
        <f>IF(AND($A1008&gt;=DATE(2018,10,1),$A1008&lt;=DATE(2018,12,31)),$M1008,"")</f>
        <v/>
      </c>
      <c r="Q1008" s="5">
        <f>SUMPRODUCT(Exposures!$B$8:$K$8,B1008:K1008)</f>
        <v/>
      </c>
      <c r="R1008" s="5">
        <f>SUMPRODUCT(Exposures!$B$9:$K$9,B1008:K1008)</f>
        <v/>
      </c>
      <c r="S1008" s="5">
        <f>SUMPRODUCT(Exposures!$B$10:$K$10,B1008:K1008)</f>
        <v/>
      </c>
    </row>
    <row r="1009">
      <c r="A1009" s="1" t="n">
        <v>43922</v>
      </c>
      <c r="B1009" s="5" t="n">
        <v>-0.01876144810648479</v>
      </c>
      <c r="C1009" s="5" t="n">
        <v>-0.004901744968952026</v>
      </c>
      <c r="D1009" s="5" t="n">
        <v>-0.0003851771292876923</v>
      </c>
      <c r="E1009" s="5" t="n">
        <v>0.0007973859637464187</v>
      </c>
      <c r="F1009" s="5" t="n">
        <v>0.002245464627211013</v>
      </c>
      <c r="G1009" s="5" t="n">
        <v>-0.06044900835787612</v>
      </c>
      <c r="H1009" s="5" t="n">
        <v>-0.0007679208562095512</v>
      </c>
      <c r="I1009" s="5" t="n">
        <v>-0.001084427031377672</v>
      </c>
      <c r="J1009" s="5" t="n">
        <v>-0.01226273652097825</v>
      </c>
      <c r="K1009" s="5" t="n">
        <v>-0.0006770859881549095</v>
      </c>
      <c r="L1009" s="5" t="n">
        <v>-0.002131132056566456</v>
      </c>
      <c r="M1009" s="5">
        <f>SUMPRODUCT(Exposures!$B$6:$K$6,B1009:K1009)</f>
        <v/>
      </c>
      <c r="N1009" s="5">
        <f>IF(AND($A1009&gt;=DATE(2020,2,1),$A1009&lt;=DATE(2020,5,31)),$M1009,"")</f>
        <v/>
      </c>
      <c r="O1009" s="5">
        <f>IF(AND($A1009&gt;=DATE(2022,1,1),$A1009&lt;=DATE(2022,10,31)),$M1009,"")</f>
        <v/>
      </c>
      <c r="P1009" s="5">
        <f>IF(AND($A1009&gt;=DATE(2018,10,1),$A1009&lt;=DATE(2018,12,31)),$M1009,"")</f>
        <v/>
      </c>
      <c r="Q1009" s="5">
        <f>SUMPRODUCT(Exposures!$B$8:$K$8,B1009:K1009)</f>
        <v/>
      </c>
      <c r="R1009" s="5">
        <f>SUMPRODUCT(Exposures!$B$9:$K$9,B1009:K1009)</f>
        <v/>
      </c>
      <c r="S1009" s="5">
        <f>SUMPRODUCT(Exposures!$B$10:$K$10,B1009:K1009)</f>
        <v/>
      </c>
    </row>
    <row r="1010">
      <c r="A1010" s="1" t="n">
        <v>43923</v>
      </c>
      <c r="B1010" s="5" t="n">
        <v>-0.009507646327625591</v>
      </c>
      <c r="C1010" s="5" t="n">
        <v>-0.002745368572610135</v>
      </c>
      <c r="D1010" s="5" t="n">
        <v>0.0004308645214497959</v>
      </c>
      <c r="E1010" s="5" t="n">
        <v>-0.004712529045821255</v>
      </c>
      <c r="F1010" s="5" t="n">
        <v>-0.01407284425733616</v>
      </c>
      <c r="G1010" s="5" t="n">
        <v>0.008691133475766652</v>
      </c>
      <c r="H1010" s="5" t="n">
        <v>0.002779071500511588</v>
      </c>
      <c r="I1010" s="5" t="n">
        <v>-0.0008883969237896885</v>
      </c>
      <c r="J1010" s="5" t="n">
        <v>-0.001855593296632028</v>
      </c>
      <c r="K1010" s="5" t="n">
        <v>0.02119570589585294</v>
      </c>
      <c r="L1010" s="5" t="n">
        <v>0.007739922649984693</v>
      </c>
      <c r="M1010" s="5">
        <f>SUMPRODUCT(Exposures!$B$6:$K$6,B1010:K1010)</f>
        <v/>
      </c>
      <c r="N1010" s="5">
        <f>IF(AND($A1010&gt;=DATE(2020,2,1),$A1010&lt;=DATE(2020,5,31)),$M1010,"")</f>
        <v/>
      </c>
      <c r="O1010" s="5">
        <f>IF(AND($A1010&gt;=DATE(2022,1,1),$A1010&lt;=DATE(2022,10,31)),$M1010,"")</f>
        <v/>
      </c>
      <c r="P1010" s="5">
        <f>IF(AND($A1010&gt;=DATE(2018,10,1),$A1010&lt;=DATE(2018,12,31)),$M1010,"")</f>
        <v/>
      </c>
      <c r="Q1010" s="5">
        <f>SUMPRODUCT(Exposures!$B$8:$K$8,B1010:K1010)</f>
        <v/>
      </c>
      <c r="R1010" s="5">
        <f>SUMPRODUCT(Exposures!$B$9:$K$9,B1010:K1010)</f>
        <v/>
      </c>
      <c r="S1010" s="5">
        <f>SUMPRODUCT(Exposures!$B$10:$K$10,B1010:K1010)</f>
        <v/>
      </c>
    </row>
    <row r="1011">
      <c r="A1011" s="1" t="n">
        <v>43924</v>
      </c>
      <c r="B1011" s="5" t="n">
        <v>-0.00720147947961657</v>
      </c>
      <c r="C1011" s="5" t="n">
        <v>-0.004716715687478142</v>
      </c>
      <c r="D1011" s="5" t="n">
        <v>-0.009660029571882812</v>
      </c>
      <c r="E1011" s="5" t="n">
        <v>-0.0002200974236891118</v>
      </c>
      <c r="F1011" s="5" t="n">
        <v>0.009676901059656032</v>
      </c>
      <c r="G1011" s="5" t="n">
        <v>-0.02571147131672588</v>
      </c>
      <c r="H1011" s="5" t="n">
        <v>-0.003920560011816225</v>
      </c>
      <c r="I1011" s="5" t="n">
        <v>-0.001326967678927557</v>
      </c>
      <c r="J1011" s="5" t="n">
        <v>-0.003133105109133352</v>
      </c>
      <c r="K1011" s="5" t="n">
        <v>-0.0005107939292112763</v>
      </c>
      <c r="L1011" s="5" t="n">
        <v>-0.003440339268580448</v>
      </c>
      <c r="M1011" s="5">
        <f>SUMPRODUCT(Exposures!$B$6:$K$6,B1011:K1011)</f>
        <v/>
      </c>
      <c r="N1011" s="5">
        <f>IF(AND($A1011&gt;=DATE(2020,2,1),$A1011&lt;=DATE(2020,5,31)),$M1011,"")</f>
        <v/>
      </c>
      <c r="O1011" s="5">
        <f>IF(AND($A1011&gt;=DATE(2022,1,1),$A1011&lt;=DATE(2022,10,31)),$M1011,"")</f>
        <v/>
      </c>
      <c r="P1011" s="5">
        <f>IF(AND($A1011&gt;=DATE(2018,10,1),$A1011&lt;=DATE(2018,12,31)),$M1011,"")</f>
        <v/>
      </c>
      <c r="Q1011" s="5">
        <f>SUMPRODUCT(Exposures!$B$8:$K$8,B1011:K1011)</f>
        <v/>
      </c>
      <c r="R1011" s="5">
        <f>SUMPRODUCT(Exposures!$B$9:$K$9,B1011:K1011)</f>
        <v/>
      </c>
      <c r="S1011" s="5">
        <f>SUMPRODUCT(Exposures!$B$10:$K$10,B1011:K1011)</f>
        <v/>
      </c>
    </row>
    <row r="1012">
      <c r="A1012" s="1" t="n">
        <v>43927</v>
      </c>
      <c r="B1012" s="5" t="n">
        <v>0.02555009561015135</v>
      </c>
      <c r="C1012" s="5" t="n">
        <v>0.001128818949316471</v>
      </c>
      <c r="D1012" s="5" t="n">
        <v>-0.0007250021674925797</v>
      </c>
      <c r="E1012" s="5" t="n">
        <v>0.005815553120106991</v>
      </c>
      <c r="F1012" s="5" t="n">
        <v>0.009457951202869054</v>
      </c>
      <c r="G1012" s="5" t="n">
        <v>0.09233725043913518</v>
      </c>
      <c r="H1012" s="5" t="n">
        <v>-0.001482046416435034</v>
      </c>
      <c r="I1012" s="5" t="n">
        <v>0.0008008319456486168</v>
      </c>
      <c r="J1012" s="5" t="n">
        <v>0.01388756714945845</v>
      </c>
      <c r="K1012" s="5" t="n">
        <v>-0.01638990156552762</v>
      </c>
      <c r="L1012" s="5" t="n">
        <v>-0.004280590965106744</v>
      </c>
      <c r="M1012" s="5">
        <f>SUMPRODUCT(Exposures!$B$6:$K$6,B1012:K1012)</f>
        <v/>
      </c>
      <c r="N1012" s="5">
        <f>IF(AND($A1012&gt;=DATE(2020,2,1),$A1012&lt;=DATE(2020,5,31)),$M1012,"")</f>
        <v/>
      </c>
      <c r="O1012" s="5">
        <f>IF(AND($A1012&gt;=DATE(2022,1,1),$A1012&lt;=DATE(2022,10,31)),$M1012,"")</f>
        <v/>
      </c>
      <c r="P1012" s="5">
        <f>IF(AND($A1012&gt;=DATE(2018,10,1),$A1012&lt;=DATE(2018,12,31)),$M1012,"")</f>
        <v/>
      </c>
      <c r="Q1012" s="5">
        <f>SUMPRODUCT(Exposures!$B$8:$K$8,B1012:K1012)</f>
        <v/>
      </c>
      <c r="R1012" s="5">
        <f>SUMPRODUCT(Exposures!$B$9:$K$9,B1012:K1012)</f>
        <v/>
      </c>
      <c r="S1012" s="5">
        <f>SUMPRODUCT(Exposures!$B$10:$K$10,B1012:K1012)</f>
        <v/>
      </c>
    </row>
    <row r="1013">
      <c r="A1013" s="1" t="n">
        <v>43928</v>
      </c>
      <c r="B1013" s="5" t="n">
        <v>0.007214196251453696</v>
      </c>
      <c r="C1013" s="5" t="n">
        <v>0.01492410340529079</v>
      </c>
      <c r="D1013" s="5" t="n">
        <v>0.004674313672936739</v>
      </c>
      <c r="E1013" s="5" t="n">
        <v>-0.001378924908925984</v>
      </c>
      <c r="F1013" s="5" t="n">
        <v>0.0004756730846155587</v>
      </c>
      <c r="G1013" s="5" t="n">
        <v>0.01032983980392582</v>
      </c>
      <c r="H1013" s="5" t="n">
        <v>-0.001222237699478592</v>
      </c>
      <c r="I1013" s="5" t="n">
        <v>-0.00179478627826578</v>
      </c>
      <c r="J1013" s="5" t="n">
        <v>0.006934273479123511</v>
      </c>
      <c r="K1013" s="5" t="n">
        <v>-0.005767219890692274</v>
      </c>
      <c r="L1013" s="5" t="n">
        <v>-0.0003722532904432661</v>
      </c>
      <c r="M1013" s="5">
        <f>SUMPRODUCT(Exposures!$B$6:$K$6,B1013:K1013)</f>
        <v/>
      </c>
      <c r="N1013" s="5">
        <f>IF(AND($A1013&gt;=DATE(2020,2,1),$A1013&lt;=DATE(2020,5,31)),$M1013,"")</f>
        <v/>
      </c>
      <c r="O1013" s="5">
        <f>IF(AND($A1013&gt;=DATE(2022,1,1),$A1013&lt;=DATE(2022,10,31)),$M1013,"")</f>
        <v/>
      </c>
      <c r="P1013" s="5">
        <f>IF(AND($A1013&gt;=DATE(2018,10,1),$A1013&lt;=DATE(2018,12,31)),$M1013,"")</f>
        <v/>
      </c>
      <c r="Q1013" s="5">
        <f>SUMPRODUCT(Exposures!$B$8:$K$8,B1013:K1013)</f>
        <v/>
      </c>
      <c r="R1013" s="5">
        <f>SUMPRODUCT(Exposures!$B$9:$K$9,B1013:K1013)</f>
        <v/>
      </c>
      <c r="S1013" s="5">
        <f>SUMPRODUCT(Exposures!$B$10:$K$10,B1013:K1013)</f>
        <v/>
      </c>
    </row>
    <row r="1014">
      <c r="A1014" s="1" t="n">
        <v>43929</v>
      </c>
      <c r="B1014" s="5" t="n">
        <v>0.01111092696512446</v>
      </c>
      <c r="C1014" s="5" t="n">
        <v>0.003134374078214158</v>
      </c>
      <c r="D1014" s="5" t="n">
        <v>-0.0006580845893874485</v>
      </c>
      <c r="E1014" s="5" t="n">
        <v>-5.188356032462065e-05</v>
      </c>
      <c r="F1014" s="5" t="n">
        <v>-0.01235247093663562</v>
      </c>
      <c r="G1014" s="5" t="n">
        <v>0.05421759068274163</v>
      </c>
      <c r="H1014" s="5" t="n">
        <v>-0.001759153709478292</v>
      </c>
      <c r="I1014" s="5" t="n">
        <v>0.002399240873066181</v>
      </c>
      <c r="J1014" s="5" t="n">
        <v>0.009246013538572977</v>
      </c>
      <c r="K1014" s="5" t="n">
        <v>0.006715239199438932</v>
      </c>
      <c r="L1014" s="5" t="n">
        <v>0.001610688477966818</v>
      </c>
      <c r="M1014" s="5">
        <f>SUMPRODUCT(Exposures!$B$6:$K$6,B1014:K1014)</f>
        <v/>
      </c>
      <c r="N1014" s="5">
        <f>IF(AND($A1014&gt;=DATE(2020,2,1),$A1014&lt;=DATE(2020,5,31)),$M1014,"")</f>
        <v/>
      </c>
      <c r="O1014" s="5">
        <f>IF(AND($A1014&gt;=DATE(2022,1,1),$A1014&lt;=DATE(2022,10,31)),$M1014,"")</f>
        <v/>
      </c>
      <c r="P1014" s="5">
        <f>IF(AND($A1014&gt;=DATE(2018,10,1),$A1014&lt;=DATE(2018,12,31)),$M1014,"")</f>
        <v/>
      </c>
      <c r="Q1014" s="5">
        <f>SUMPRODUCT(Exposures!$B$8:$K$8,B1014:K1014)</f>
        <v/>
      </c>
      <c r="R1014" s="5">
        <f>SUMPRODUCT(Exposures!$B$9:$K$9,B1014:K1014)</f>
        <v/>
      </c>
      <c r="S1014" s="5">
        <f>SUMPRODUCT(Exposures!$B$10:$K$10,B1014:K1014)</f>
        <v/>
      </c>
    </row>
    <row r="1015">
      <c r="A1015" s="1" t="n">
        <v>43930</v>
      </c>
      <c r="B1015" s="5" t="n">
        <v>0.004641178784386545</v>
      </c>
      <c r="C1015" s="5" t="n">
        <v>0.006668744184233432</v>
      </c>
      <c r="D1015" s="5" t="n">
        <v>-0.0006646705734241001</v>
      </c>
      <c r="E1015" s="5" t="n">
        <v>0.007625621094531142</v>
      </c>
      <c r="F1015" s="5" t="n">
        <v>-0.01491521641211816</v>
      </c>
      <c r="G1015" s="5" t="n">
        <v>0.036953983214952</v>
      </c>
      <c r="H1015" s="5" t="n">
        <v>0.001824775588442837</v>
      </c>
      <c r="I1015" s="5" t="n">
        <v>-0.002218686498438479</v>
      </c>
      <c r="J1015" s="5" t="n">
        <v>0.01114446855918952</v>
      </c>
      <c r="K1015" s="5" t="n">
        <v>0.005605035819544144</v>
      </c>
      <c r="L1015" s="5" t="n">
        <v>0.004957554793713649</v>
      </c>
      <c r="M1015" s="5">
        <f>SUMPRODUCT(Exposures!$B$6:$K$6,B1015:K1015)</f>
        <v/>
      </c>
      <c r="N1015" s="5">
        <f>IF(AND($A1015&gt;=DATE(2020,2,1),$A1015&lt;=DATE(2020,5,31)),$M1015,"")</f>
        <v/>
      </c>
      <c r="O1015" s="5">
        <f>IF(AND($A1015&gt;=DATE(2022,1,1),$A1015&lt;=DATE(2022,10,31)),$M1015,"")</f>
        <v/>
      </c>
      <c r="P1015" s="5">
        <f>IF(AND($A1015&gt;=DATE(2018,10,1),$A1015&lt;=DATE(2018,12,31)),$M1015,"")</f>
        <v/>
      </c>
      <c r="Q1015" s="5">
        <f>SUMPRODUCT(Exposures!$B$8:$K$8,B1015:K1015)</f>
        <v/>
      </c>
      <c r="R1015" s="5">
        <f>SUMPRODUCT(Exposures!$B$9:$K$9,B1015:K1015)</f>
        <v/>
      </c>
      <c r="S1015" s="5">
        <f>SUMPRODUCT(Exposures!$B$10:$K$10,B1015:K1015)</f>
        <v/>
      </c>
    </row>
    <row r="1016">
      <c r="A1016" s="1" t="n">
        <v>43934</v>
      </c>
      <c r="B1016" s="5" t="n">
        <v>-0.008726757074948259</v>
      </c>
      <c r="C1016" s="5" t="n">
        <v>-0.009001591651202673</v>
      </c>
      <c r="D1016" s="5" t="n">
        <v>0.0002181025153044161</v>
      </c>
      <c r="E1016" s="5" t="n">
        <v>-0.004286627557562721</v>
      </c>
      <c r="F1016" s="5" t="n">
        <v>0.01149109435858025</v>
      </c>
      <c r="G1016" s="5" t="n">
        <v>-0.02436161247376561</v>
      </c>
      <c r="H1016" s="5" t="n">
        <v>0.004042808608148666</v>
      </c>
      <c r="I1016" s="5" t="n">
        <v>0.0004606040365728922</v>
      </c>
      <c r="J1016" s="5" t="n">
        <v>0.003516883911134713</v>
      </c>
      <c r="K1016" s="5" t="n">
        <v>0.003773167868026672</v>
      </c>
      <c r="L1016" s="5" t="n">
        <v>0.004150466070276273</v>
      </c>
      <c r="M1016" s="5">
        <f>SUMPRODUCT(Exposures!$B$6:$K$6,B1016:K1016)</f>
        <v/>
      </c>
      <c r="N1016" s="5">
        <f>IF(AND($A1016&gt;=DATE(2020,2,1),$A1016&lt;=DATE(2020,5,31)),$M1016,"")</f>
        <v/>
      </c>
      <c r="O1016" s="5">
        <f>IF(AND($A1016&gt;=DATE(2022,1,1),$A1016&lt;=DATE(2022,10,31)),$M1016,"")</f>
        <v/>
      </c>
      <c r="P1016" s="5">
        <f>IF(AND($A1016&gt;=DATE(2018,10,1),$A1016&lt;=DATE(2018,12,31)),$M1016,"")</f>
        <v/>
      </c>
      <c r="Q1016" s="5">
        <f>SUMPRODUCT(Exposures!$B$8:$K$8,B1016:K1016)</f>
        <v/>
      </c>
      <c r="R1016" s="5">
        <f>SUMPRODUCT(Exposures!$B$9:$K$9,B1016:K1016)</f>
        <v/>
      </c>
      <c r="S1016" s="5">
        <f>SUMPRODUCT(Exposures!$B$10:$K$10,B1016:K1016)</f>
        <v/>
      </c>
    </row>
    <row r="1017">
      <c r="A1017" s="1" t="n">
        <v>43935</v>
      </c>
      <c r="B1017" s="5" t="n">
        <v>-0.004854484468722995</v>
      </c>
      <c r="C1017" s="5" t="n">
        <v>-0.00360419991632637</v>
      </c>
      <c r="D1017" s="5" t="n">
        <v>-0.005581360542079226</v>
      </c>
      <c r="E1017" s="5" t="n">
        <v>-0.007522308148782852</v>
      </c>
      <c r="F1017" s="5" t="n">
        <v>0.008511127561017486</v>
      </c>
      <c r="G1017" s="5" t="n">
        <v>0.02512944358471541</v>
      </c>
      <c r="H1017" s="5" t="n">
        <v>0.004808307956772729</v>
      </c>
      <c r="I1017" s="5" t="n">
        <v>-0.0007522856311595316</v>
      </c>
      <c r="J1017" s="5" t="n">
        <v>0.003995884009591452</v>
      </c>
      <c r="K1017" s="5" t="n">
        <v>-0.003358370032935665</v>
      </c>
      <c r="L1017" s="5" t="n">
        <v>-0.005427005206028306</v>
      </c>
      <c r="M1017" s="5">
        <f>SUMPRODUCT(Exposures!$B$6:$K$6,B1017:K1017)</f>
        <v/>
      </c>
      <c r="N1017" s="5">
        <f>IF(AND($A1017&gt;=DATE(2020,2,1),$A1017&lt;=DATE(2020,5,31)),$M1017,"")</f>
        <v/>
      </c>
      <c r="O1017" s="5">
        <f>IF(AND($A1017&gt;=DATE(2022,1,1),$A1017&lt;=DATE(2022,10,31)),$M1017,"")</f>
        <v/>
      </c>
      <c r="P1017" s="5">
        <f>IF(AND($A1017&gt;=DATE(2018,10,1),$A1017&lt;=DATE(2018,12,31)),$M1017,"")</f>
        <v/>
      </c>
      <c r="Q1017" s="5">
        <f>SUMPRODUCT(Exposures!$B$8:$K$8,B1017:K1017)</f>
        <v/>
      </c>
      <c r="R1017" s="5">
        <f>SUMPRODUCT(Exposures!$B$9:$K$9,B1017:K1017)</f>
        <v/>
      </c>
      <c r="S1017" s="5">
        <f>SUMPRODUCT(Exposures!$B$10:$K$10,B1017:K1017)</f>
        <v/>
      </c>
    </row>
    <row r="1018">
      <c r="A1018" s="1" t="n">
        <v>43936</v>
      </c>
      <c r="B1018" s="5" t="n">
        <v>-0.01621084999820246</v>
      </c>
      <c r="C1018" s="5" t="n">
        <v>-0.003305708881416233</v>
      </c>
      <c r="D1018" s="5" t="n">
        <v>0.002791391657102492</v>
      </c>
      <c r="E1018" s="5" t="n">
        <v>-0.003983346061060501</v>
      </c>
      <c r="F1018" s="5" t="n">
        <v>0.01819332757059143</v>
      </c>
      <c r="G1018" s="5" t="n">
        <v>-0.03523810132457506</v>
      </c>
      <c r="H1018" s="5" t="n">
        <v>0.001908649669160824</v>
      </c>
      <c r="I1018" s="5" t="n">
        <v>0.004486319488261883</v>
      </c>
      <c r="J1018" s="5" t="n">
        <v>0.007709281879452863</v>
      </c>
      <c r="K1018" s="5" t="n">
        <v>-0.00452596273802507</v>
      </c>
      <c r="L1018" s="5" t="n">
        <v>-0.003003818009177104</v>
      </c>
      <c r="M1018" s="5">
        <f>SUMPRODUCT(Exposures!$B$6:$K$6,B1018:K1018)</f>
        <v/>
      </c>
      <c r="N1018" s="5">
        <f>IF(AND($A1018&gt;=DATE(2020,2,1),$A1018&lt;=DATE(2020,5,31)),$M1018,"")</f>
        <v/>
      </c>
      <c r="O1018" s="5">
        <f>IF(AND($A1018&gt;=DATE(2022,1,1),$A1018&lt;=DATE(2022,10,31)),$M1018,"")</f>
        <v/>
      </c>
      <c r="P1018" s="5">
        <f>IF(AND($A1018&gt;=DATE(2018,10,1),$A1018&lt;=DATE(2018,12,31)),$M1018,"")</f>
        <v/>
      </c>
      <c r="Q1018" s="5">
        <f>SUMPRODUCT(Exposures!$B$8:$K$8,B1018:K1018)</f>
        <v/>
      </c>
      <c r="R1018" s="5">
        <f>SUMPRODUCT(Exposures!$B$9:$K$9,B1018:K1018)</f>
        <v/>
      </c>
      <c r="S1018" s="5">
        <f>SUMPRODUCT(Exposures!$B$10:$K$10,B1018:K1018)</f>
        <v/>
      </c>
    </row>
    <row r="1019">
      <c r="A1019" s="1" t="n">
        <v>43937</v>
      </c>
      <c r="B1019" s="5" t="n">
        <v>-0.008761656352857493</v>
      </c>
      <c r="C1019" s="5" t="n">
        <v>-0.008182757389540031</v>
      </c>
      <c r="D1019" s="5" t="n">
        <v>-0.007439725939413507</v>
      </c>
      <c r="E1019" s="5" t="n">
        <v>-0.008718306079272247</v>
      </c>
      <c r="F1019" s="5" t="n">
        <v>0.00500691813225529</v>
      </c>
      <c r="G1019" s="5" t="n">
        <v>-0.004105950739767699</v>
      </c>
      <c r="H1019" s="5" t="n">
        <v>0.006947163138791651</v>
      </c>
      <c r="I1019" s="5" t="n">
        <v>-0.003692165835701553</v>
      </c>
      <c r="J1019" s="5" t="n">
        <v>-0.002784149954226594</v>
      </c>
      <c r="K1019" s="5" t="n">
        <v>0.006095070579210465</v>
      </c>
      <c r="L1019" s="5" t="n">
        <v>0.001424853603729425</v>
      </c>
      <c r="M1019" s="5">
        <f>SUMPRODUCT(Exposures!$B$6:$K$6,B1019:K1019)</f>
        <v/>
      </c>
      <c r="N1019" s="5">
        <f>IF(AND($A1019&gt;=DATE(2020,2,1),$A1019&lt;=DATE(2020,5,31)),$M1019,"")</f>
        <v/>
      </c>
      <c r="O1019" s="5">
        <f>IF(AND($A1019&gt;=DATE(2022,1,1),$A1019&lt;=DATE(2022,10,31)),$M1019,"")</f>
        <v/>
      </c>
      <c r="P1019" s="5">
        <f>IF(AND($A1019&gt;=DATE(2018,10,1),$A1019&lt;=DATE(2018,12,31)),$M1019,"")</f>
        <v/>
      </c>
      <c r="Q1019" s="5">
        <f>SUMPRODUCT(Exposures!$B$8:$K$8,B1019:K1019)</f>
        <v/>
      </c>
      <c r="R1019" s="5">
        <f>SUMPRODUCT(Exposures!$B$9:$K$9,B1019:K1019)</f>
        <v/>
      </c>
      <c r="S1019" s="5">
        <f>SUMPRODUCT(Exposures!$B$10:$K$10,B1019:K1019)</f>
        <v/>
      </c>
    </row>
    <row r="1020">
      <c r="A1020" s="1" t="n">
        <v>43938</v>
      </c>
      <c r="B1020" s="5" t="n">
        <v>0.01532807163647822</v>
      </c>
      <c r="C1020" s="5" t="n">
        <v>0.005573067657000329</v>
      </c>
      <c r="D1020" s="5" t="n">
        <v>0.002206815790966411</v>
      </c>
      <c r="E1020" s="5" t="n">
        <v>0.009239818768251723</v>
      </c>
      <c r="F1020" s="5" t="n">
        <v>-0.004492993629409343</v>
      </c>
      <c r="G1020" s="5" t="n">
        <v>0.04915945132870288</v>
      </c>
      <c r="H1020" s="5" t="n">
        <v>-0.009992251326267399</v>
      </c>
      <c r="I1020" s="5" t="n">
        <v>0.002383716522602434</v>
      </c>
      <c r="J1020" s="5" t="n">
        <v>0.009322434501659746</v>
      </c>
      <c r="K1020" s="5" t="n">
        <v>-0.006610861679544269</v>
      </c>
      <c r="L1020" s="5" t="n">
        <v>-0.001357252648673258</v>
      </c>
      <c r="M1020" s="5">
        <f>SUMPRODUCT(Exposures!$B$6:$K$6,B1020:K1020)</f>
        <v/>
      </c>
      <c r="N1020" s="5">
        <f>IF(AND($A1020&gt;=DATE(2020,2,1),$A1020&lt;=DATE(2020,5,31)),$M1020,"")</f>
        <v/>
      </c>
      <c r="O1020" s="5">
        <f>IF(AND($A1020&gt;=DATE(2022,1,1),$A1020&lt;=DATE(2022,10,31)),$M1020,"")</f>
        <v/>
      </c>
      <c r="P1020" s="5">
        <f>IF(AND($A1020&gt;=DATE(2018,10,1),$A1020&lt;=DATE(2018,12,31)),$M1020,"")</f>
        <v/>
      </c>
      <c r="Q1020" s="5">
        <f>SUMPRODUCT(Exposures!$B$8:$K$8,B1020:K1020)</f>
        <v/>
      </c>
      <c r="R1020" s="5">
        <f>SUMPRODUCT(Exposures!$B$9:$K$9,B1020:K1020)</f>
        <v/>
      </c>
      <c r="S1020" s="5">
        <f>SUMPRODUCT(Exposures!$B$10:$K$10,B1020:K1020)</f>
        <v/>
      </c>
    </row>
    <row r="1021">
      <c r="A1021" s="1" t="n">
        <v>43941</v>
      </c>
      <c r="B1021" s="5" t="n">
        <v>-0.007608676886899223</v>
      </c>
      <c r="C1021" s="5" t="n">
        <v>-0.003625932272416916</v>
      </c>
      <c r="D1021" s="5" t="n">
        <v>0.01090143825821785</v>
      </c>
      <c r="E1021" s="5" t="n">
        <v>-0.001173158540761113</v>
      </c>
      <c r="F1021" s="5" t="n">
        <v>-0.002954222654969761</v>
      </c>
      <c r="G1021" s="5" t="n">
        <v>-0.01942121457881096</v>
      </c>
      <c r="H1021" s="5" t="n">
        <v>0.002285572010910612</v>
      </c>
      <c r="I1021" s="5" t="n">
        <v>9.603878529731123e-05</v>
      </c>
      <c r="J1021" s="5" t="n">
        <v>0.004956928567211422</v>
      </c>
      <c r="K1021" s="5" t="n">
        <v>0.008550445850547896</v>
      </c>
      <c r="L1021" s="5" t="n">
        <v>0.001168517335601784</v>
      </c>
      <c r="M1021" s="5">
        <f>SUMPRODUCT(Exposures!$B$6:$K$6,B1021:K1021)</f>
        <v/>
      </c>
      <c r="N1021" s="5">
        <f>IF(AND($A1021&gt;=DATE(2020,2,1),$A1021&lt;=DATE(2020,5,31)),$M1021,"")</f>
        <v/>
      </c>
      <c r="O1021" s="5">
        <f>IF(AND($A1021&gt;=DATE(2022,1,1),$A1021&lt;=DATE(2022,10,31)),$M1021,"")</f>
        <v/>
      </c>
      <c r="P1021" s="5">
        <f>IF(AND($A1021&gt;=DATE(2018,10,1),$A1021&lt;=DATE(2018,12,31)),$M1021,"")</f>
        <v/>
      </c>
      <c r="Q1021" s="5">
        <f>SUMPRODUCT(Exposures!$B$8:$K$8,B1021:K1021)</f>
        <v/>
      </c>
      <c r="R1021" s="5">
        <f>SUMPRODUCT(Exposures!$B$9:$K$9,B1021:K1021)</f>
        <v/>
      </c>
      <c r="S1021" s="5">
        <f>SUMPRODUCT(Exposures!$B$10:$K$10,B1021:K1021)</f>
        <v/>
      </c>
    </row>
    <row r="1022">
      <c r="A1022" s="1" t="n">
        <v>43942</v>
      </c>
      <c r="B1022" s="5" t="n">
        <v>-0.01039788063617874</v>
      </c>
      <c r="C1022" s="5" t="n">
        <v>0.003257903747762043</v>
      </c>
      <c r="D1022" s="5" t="n">
        <v>0.001463352475212752</v>
      </c>
      <c r="E1022" s="5" t="n">
        <v>0.0002787602444318852</v>
      </c>
      <c r="F1022" s="5" t="n">
        <v>-0.007193255263002753</v>
      </c>
      <c r="G1022" s="5" t="n">
        <v>-0.03010847831773271</v>
      </c>
      <c r="H1022" s="5" t="n">
        <v>-0.003821941922917594</v>
      </c>
      <c r="I1022" s="5" t="n">
        <v>-0.0001324916741352418</v>
      </c>
      <c r="J1022" s="5" t="n">
        <v>0.0001202036743238352</v>
      </c>
      <c r="K1022" s="5" t="n">
        <v>0.003205345318098496</v>
      </c>
      <c r="L1022" s="5" t="n">
        <v>0.0002245955874780836</v>
      </c>
      <c r="M1022" s="5">
        <f>SUMPRODUCT(Exposures!$B$6:$K$6,B1022:K1022)</f>
        <v/>
      </c>
      <c r="N1022" s="5">
        <f>IF(AND($A1022&gt;=DATE(2020,2,1),$A1022&lt;=DATE(2020,5,31)),$M1022,"")</f>
        <v/>
      </c>
      <c r="O1022" s="5">
        <f>IF(AND($A1022&gt;=DATE(2022,1,1),$A1022&lt;=DATE(2022,10,31)),$M1022,"")</f>
        <v/>
      </c>
      <c r="P1022" s="5">
        <f>IF(AND($A1022&gt;=DATE(2018,10,1),$A1022&lt;=DATE(2018,12,31)),$M1022,"")</f>
        <v/>
      </c>
      <c r="Q1022" s="5">
        <f>SUMPRODUCT(Exposures!$B$8:$K$8,B1022:K1022)</f>
        <v/>
      </c>
      <c r="R1022" s="5">
        <f>SUMPRODUCT(Exposures!$B$9:$K$9,B1022:K1022)</f>
        <v/>
      </c>
      <c r="S1022" s="5">
        <f>SUMPRODUCT(Exposures!$B$10:$K$10,B1022:K1022)</f>
        <v/>
      </c>
    </row>
    <row r="1023">
      <c r="A1023" s="1" t="n">
        <v>43943</v>
      </c>
      <c r="B1023" s="5" t="n">
        <v>0.006096966575781673</v>
      </c>
      <c r="C1023" s="5" t="n">
        <v>-0.00541134177446743</v>
      </c>
      <c r="D1023" s="5" t="n">
        <v>-0.003370393401110132</v>
      </c>
      <c r="E1023" s="5" t="n">
        <v>-0.0040042915680034</v>
      </c>
      <c r="F1023" s="5" t="n">
        <v>0.007041487447004498</v>
      </c>
      <c r="G1023" s="5" t="n">
        <v>0.01071620130036092</v>
      </c>
      <c r="H1023" s="5" t="n">
        <v>0.005876298106689226</v>
      </c>
      <c r="I1023" s="5" t="n">
        <v>0.001070035862219636</v>
      </c>
      <c r="J1023" s="5" t="n">
        <v>-0.01145385353992844</v>
      </c>
      <c r="K1023" s="5" t="n">
        <v>-0.008656531526182469</v>
      </c>
      <c r="L1023" s="5" t="n">
        <v>-0.002320679961867589</v>
      </c>
      <c r="M1023" s="5">
        <f>SUMPRODUCT(Exposures!$B$6:$K$6,B1023:K1023)</f>
        <v/>
      </c>
      <c r="N1023" s="5">
        <f>IF(AND($A1023&gt;=DATE(2020,2,1),$A1023&lt;=DATE(2020,5,31)),$M1023,"")</f>
        <v/>
      </c>
      <c r="O1023" s="5">
        <f>IF(AND($A1023&gt;=DATE(2022,1,1),$A1023&lt;=DATE(2022,10,31)),$M1023,"")</f>
        <v/>
      </c>
      <c r="P1023" s="5">
        <f>IF(AND($A1023&gt;=DATE(2018,10,1),$A1023&lt;=DATE(2018,12,31)),$M1023,"")</f>
        <v/>
      </c>
      <c r="Q1023" s="5">
        <f>SUMPRODUCT(Exposures!$B$8:$K$8,B1023:K1023)</f>
        <v/>
      </c>
      <c r="R1023" s="5">
        <f>SUMPRODUCT(Exposures!$B$9:$K$9,B1023:K1023)</f>
        <v/>
      </c>
      <c r="S1023" s="5">
        <f>SUMPRODUCT(Exposures!$B$10:$K$10,B1023:K1023)</f>
        <v/>
      </c>
    </row>
    <row r="1024">
      <c r="A1024" s="1" t="n">
        <v>43944</v>
      </c>
      <c r="B1024" s="5" t="n">
        <v>0.001244714383948385</v>
      </c>
      <c r="C1024" s="5" t="n">
        <v>0.0001747117749465125</v>
      </c>
      <c r="D1024" s="5" t="n">
        <v>0.006269860268038508</v>
      </c>
      <c r="E1024" s="5" t="n">
        <v>0.002674497472444223</v>
      </c>
      <c r="F1024" s="5" t="n">
        <v>0.005058881645317689</v>
      </c>
      <c r="G1024" s="5" t="n">
        <v>0.006207752485504625</v>
      </c>
      <c r="H1024" s="5" t="n">
        <v>-0.002156807706490412</v>
      </c>
      <c r="I1024" s="5" t="n">
        <v>-0.001048915854080478</v>
      </c>
      <c r="J1024" s="5" t="n">
        <v>0.003768220682571643</v>
      </c>
      <c r="K1024" s="5" t="n">
        <v>-0.00693948266793889</v>
      </c>
      <c r="L1024" s="5" t="n">
        <v>0.003132626432791961</v>
      </c>
      <c r="M1024" s="5">
        <f>SUMPRODUCT(Exposures!$B$6:$K$6,B1024:K1024)</f>
        <v/>
      </c>
      <c r="N1024" s="5">
        <f>IF(AND($A1024&gt;=DATE(2020,2,1),$A1024&lt;=DATE(2020,5,31)),$M1024,"")</f>
        <v/>
      </c>
      <c r="O1024" s="5">
        <f>IF(AND($A1024&gt;=DATE(2022,1,1),$A1024&lt;=DATE(2022,10,31)),$M1024,"")</f>
        <v/>
      </c>
      <c r="P1024" s="5">
        <f>IF(AND($A1024&gt;=DATE(2018,10,1),$A1024&lt;=DATE(2018,12,31)),$M1024,"")</f>
        <v/>
      </c>
      <c r="Q1024" s="5">
        <f>SUMPRODUCT(Exposures!$B$8:$K$8,B1024:K1024)</f>
        <v/>
      </c>
      <c r="R1024" s="5">
        <f>SUMPRODUCT(Exposures!$B$9:$K$9,B1024:K1024)</f>
        <v/>
      </c>
      <c r="S1024" s="5">
        <f>SUMPRODUCT(Exposures!$B$10:$K$10,B1024:K1024)</f>
        <v/>
      </c>
    </row>
    <row r="1025">
      <c r="A1025" s="1" t="n">
        <v>43945</v>
      </c>
      <c r="B1025" s="5" t="n">
        <v>0.006439847058781627</v>
      </c>
      <c r="C1025" s="5" t="n">
        <v>-0.005020834168917319</v>
      </c>
      <c r="D1025" s="5" t="n">
        <v>0.006289823366706651</v>
      </c>
      <c r="E1025" s="5" t="n">
        <v>-0.002326586876173654</v>
      </c>
      <c r="F1025" s="5" t="n">
        <v>-0.006012634238648069</v>
      </c>
      <c r="G1025" s="5" t="n">
        <v>0.01521820635993697</v>
      </c>
      <c r="H1025" s="5" t="n">
        <v>0.002710403583351283</v>
      </c>
      <c r="I1025" s="5" t="n">
        <v>-0.0008382045469676116</v>
      </c>
      <c r="J1025" s="5" t="n">
        <v>-0.003828845644807398</v>
      </c>
      <c r="K1025" s="5" t="n">
        <v>0.002937440395743741</v>
      </c>
      <c r="L1025" s="5" t="n">
        <v>0.004395917304454283</v>
      </c>
      <c r="M1025" s="5">
        <f>SUMPRODUCT(Exposures!$B$6:$K$6,B1025:K1025)</f>
        <v/>
      </c>
      <c r="N1025" s="5">
        <f>IF(AND($A1025&gt;=DATE(2020,2,1),$A1025&lt;=DATE(2020,5,31)),$M1025,"")</f>
        <v/>
      </c>
      <c r="O1025" s="5">
        <f>IF(AND($A1025&gt;=DATE(2022,1,1),$A1025&lt;=DATE(2022,10,31)),$M1025,"")</f>
        <v/>
      </c>
      <c r="P1025" s="5">
        <f>IF(AND($A1025&gt;=DATE(2018,10,1),$A1025&lt;=DATE(2018,12,31)),$M1025,"")</f>
        <v/>
      </c>
      <c r="Q1025" s="5">
        <f>SUMPRODUCT(Exposures!$B$8:$K$8,B1025:K1025)</f>
        <v/>
      </c>
      <c r="R1025" s="5">
        <f>SUMPRODUCT(Exposures!$B$9:$K$9,B1025:K1025)</f>
        <v/>
      </c>
      <c r="S1025" s="5">
        <f>SUMPRODUCT(Exposures!$B$10:$K$10,B1025:K1025)</f>
        <v/>
      </c>
    </row>
    <row r="1026">
      <c r="A1026" s="1" t="n">
        <v>43948</v>
      </c>
      <c r="B1026" s="5" t="n">
        <v>0.0110486762807038</v>
      </c>
      <c r="C1026" s="5" t="n">
        <v>0.003723847931692989</v>
      </c>
      <c r="D1026" s="5" t="n">
        <v>0.005903340559860535</v>
      </c>
      <c r="E1026" s="5" t="n">
        <v>0.0008542440606584916</v>
      </c>
      <c r="F1026" s="5" t="n">
        <v>-0.01268181448513847</v>
      </c>
      <c r="G1026" s="5" t="n">
        <v>0.03401158613259778</v>
      </c>
      <c r="H1026" s="5" t="n">
        <v>-0.001488186989850237</v>
      </c>
      <c r="I1026" s="5" t="n">
        <v>0.002468708569743819</v>
      </c>
      <c r="J1026" s="5" t="n">
        <v>0.0001132592928269963</v>
      </c>
      <c r="K1026" s="5" t="n">
        <v>-0.001857531844540761</v>
      </c>
      <c r="L1026" s="5" t="n">
        <v>0.005733783923079976</v>
      </c>
      <c r="M1026" s="5">
        <f>SUMPRODUCT(Exposures!$B$6:$K$6,B1026:K1026)</f>
        <v/>
      </c>
      <c r="N1026" s="5">
        <f>IF(AND($A1026&gt;=DATE(2020,2,1),$A1026&lt;=DATE(2020,5,31)),$M1026,"")</f>
        <v/>
      </c>
      <c r="O1026" s="5">
        <f>IF(AND($A1026&gt;=DATE(2022,1,1),$A1026&lt;=DATE(2022,10,31)),$M1026,"")</f>
        <v/>
      </c>
      <c r="P1026" s="5">
        <f>IF(AND($A1026&gt;=DATE(2018,10,1),$A1026&lt;=DATE(2018,12,31)),$M1026,"")</f>
        <v/>
      </c>
      <c r="Q1026" s="5">
        <f>SUMPRODUCT(Exposures!$B$8:$K$8,B1026:K1026)</f>
        <v/>
      </c>
      <c r="R1026" s="5">
        <f>SUMPRODUCT(Exposures!$B$9:$K$9,B1026:K1026)</f>
        <v/>
      </c>
      <c r="S1026" s="5">
        <f>SUMPRODUCT(Exposures!$B$10:$K$10,B1026:K1026)</f>
        <v/>
      </c>
    </row>
    <row r="1027">
      <c r="A1027" s="1" t="n">
        <v>43949</v>
      </c>
      <c r="B1027" s="5" t="n">
        <v>0.01000960472262852</v>
      </c>
      <c r="C1027" s="5" t="n">
        <v>0.01225693069141092</v>
      </c>
      <c r="D1027" s="5" t="n">
        <v>-0.002491872476213227</v>
      </c>
      <c r="E1027" s="5" t="n">
        <v>0.0071198180794907</v>
      </c>
      <c r="F1027" s="5" t="n">
        <v>-0.01777761542738836</v>
      </c>
      <c r="G1027" s="5" t="n">
        <v>0.01481398718933738</v>
      </c>
      <c r="H1027" s="5" t="n">
        <v>-0.005281113840811881</v>
      </c>
      <c r="I1027" s="5" t="n">
        <v>-0.001696093039853305</v>
      </c>
      <c r="J1027" s="5" t="n">
        <v>0.01059559905039806</v>
      </c>
      <c r="K1027" s="5" t="n">
        <v>0.007173588582618056</v>
      </c>
      <c r="L1027" s="5" t="n">
        <v>-0.003793491824484357</v>
      </c>
      <c r="M1027" s="5">
        <f>SUMPRODUCT(Exposures!$B$6:$K$6,B1027:K1027)</f>
        <v/>
      </c>
      <c r="N1027" s="5">
        <f>IF(AND($A1027&gt;=DATE(2020,2,1),$A1027&lt;=DATE(2020,5,31)),$M1027,"")</f>
        <v/>
      </c>
      <c r="O1027" s="5">
        <f>IF(AND($A1027&gt;=DATE(2022,1,1),$A1027&lt;=DATE(2022,10,31)),$M1027,"")</f>
        <v/>
      </c>
      <c r="P1027" s="5">
        <f>IF(AND($A1027&gt;=DATE(2018,10,1),$A1027&lt;=DATE(2018,12,31)),$M1027,"")</f>
        <v/>
      </c>
      <c r="Q1027" s="5">
        <f>SUMPRODUCT(Exposures!$B$8:$K$8,B1027:K1027)</f>
        <v/>
      </c>
      <c r="R1027" s="5">
        <f>SUMPRODUCT(Exposures!$B$9:$K$9,B1027:K1027)</f>
        <v/>
      </c>
      <c r="S1027" s="5">
        <f>SUMPRODUCT(Exposures!$B$10:$K$10,B1027:K1027)</f>
        <v/>
      </c>
    </row>
    <row r="1028">
      <c r="A1028" s="1" t="n">
        <v>43950</v>
      </c>
      <c r="B1028" s="5" t="n">
        <v>0.02338271601845249</v>
      </c>
      <c r="C1028" s="5" t="n">
        <v>0.01053127581023776</v>
      </c>
      <c r="D1028" s="5" t="n">
        <v>-0.009935992394057569</v>
      </c>
      <c r="E1028" s="5" t="n">
        <v>-0.007129850938418581</v>
      </c>
      <c r="F1028" s="5" t="n">
        <v>0.008000929551888105</v>
      </c>
      <c r="G1028" s="5" t="n">
        <v>0.04008552689342963</v>
      </c>
      <c r="H1028" s="5" t="n">
        <v>-0.003002213059830069</v>
      </c>
      <c r="I1028" s="5" t="n">
        <v>0.009083282896114264</v>
      </c>
      <c r="J1028" s="5" t="n">
        <v>0.002249926006889093</v>
      </c>
      <c r="K1028" s="5" t="n">
        <v>-0.02360113267864082</v>
      </c>
      <c r="L1028" s="5" t="n">
        <v>-0.002884956814667642</v>
      </c>
      <c r="M1028" s="5">
        <f>SUMPRODUCT(Exposures!$B$6:$K$6,B1028:K1028)</f>
        <v/>
      </c>
      <c r="N1028" s="5">
        <f>IF(AND($A1028&gt;=DATE(2020,2,1),$A1028&lt;=DATE(2020,5,31)),$M1028,"")</f>
        <v/>
      </c>
      <c r="O1028" s="5">
        <f>IF(AND($A1028&gt;=DATE(2022,1,1),$A1028&lt;=DATE(2022,10,31)),$M1028,"")</f>
        <v/>
      </c>
      <c r="P1028" s="5">
        <f>IF(AND($A1028&gt;=DATE(2018,10,1),$A1028&lt;=DATE(2018,12,31)),$M1028,"")</f>
        <v/>
      </c>
      <c r="Q1028" s="5">
        <f>SUMPRODUCT(Exposures!$B$8:$K$8,B1028:K1028)</f>
        <v/>
      </c>
      <c r="R1028" s="5">
        <f>SUMPRODUCT(Exposures!$B$9:$K$9,B1028:K1028)</f>
        <v/>
      </c>
      <c r="S1028" s="5">
        <f>SUMPRODUCT(Exposures!$B$10:$K$10,B1028:K1028)</f>
        <v/>
      </c>
    </row>
    <row r="1029">
      <c r="A1029" s="1" t="n">
        <v>43951</v>
      </c>
      <c r="B1029" s="5" t="n">
        <v>-0.007619289957098979</v>
      </c>
      <c r="C1029" s="5" t="n">
        <v>-0.001552567197795412</v>
      </c>
      <c r="D1029" s="5" t="n">
        <v>0.004644940674927137</v>
      </c>
      <c r="E1029" s="5" t="n">
        <v>-0.001221665993938761</v>
      </c>
      <c r="F1029" s="5" t="n">
        <v>0.008107115415437125</v>
      </c>
      <c r="G1029" s="5" t="n">
        <v>-0.02644334732793586</v>
      </c>
      <c r="H1029" s="5" t="n">
        <v>-0.0009007138447994661</v>
      </c>
      <c r="I1029" s="5" t="n">
        <v>0.001093688639484574</v>
      </c>
      <c r="J1029" s="5" t="n">
        <v>-0.002901587867037315</v>
      </c>
      <c r="K1029" s="5" t="n">
        <v>-0.001176138206909822</v>
      </c>
      <c r="L1029" s="5" t="n">
        <v>-0.004940861751909809</v>
      </c>
      <c r="M1029" s="5">
        <f>SUMPRODUCT(Exposures!$B$6:$K$6,B1029:K1029)</f>
        <v/>
      </c>
      <c r="N1029" s="5">
        <f>IF(AND($A1029&gt;=DATE(2020,2,1),$A1029&lt;=DATE(2020,5,31)),$M1029,"")</f>
        <v/>
      </c>
      <c r="O1029" s="5">
        <f>IF(AND($A1029&gt;=DATE(2022,1,1),$A1029&lt;=DATE(2022,10,31)),$M1029,"")</f>
        <v/>
      </c>
      <c r="P1029" s="5">
        <f>IF(AND($A1029&gt;=DATE(2018,10,1),$A1029&lt;=DATE(2018,12,31)),$M1029,"")</f>
        <v/>
      </c>
      <c r="Q1029" s="5">
        <f>SUMPRODUCT(Exposures!$B$8:$K$8,B1029:K1029)</f>
        <v/>
      </c>
      <c r="R1029" s="5">
        <f>SUMPRODUCT(Exposures!$B$9:$K$9,B1029:K1029)</f>
        <v/>
      </c>
      <c r="S1029" s="5">
        <f>SUMPRODUCT(Exposures!$B$10:$K$10,B1029:K1029)</f>
        <v/>
      </c>
    </row>
    <row r="1030">
      <c r="A1030" s="1" t="n">
        <v>43952</v>
      </c>
      <c r="B1030" s="5" t="n">
        <v>-0.01248018376394377</v>
      </c>
      <c r="C1030" s="5" t="n">
        <v>0.00175397661936172</v>
      </c>
      <c r="D1030" s="5" t="n">
        <v>-0.002811684973886598</v>
      </c>
      <c r="E1030" s="5" t="n">
        <v>0.001521232741727663</v>
      </c>
      <c r="F1030" s="5" t="n">
        <v>-0.009132366216024987</v>
      </c>
      <c r="G1030" s="5" t="n">
        <v>-0.03573291254156519</v>
      </c>
      <c r="H1030" s="5" t="n">
        <v>0.004393941848818897</v>
      </c>
      <c r="I1030" s="5" t="n">
        <v>0.002133468386300236</v>
      </c>
      <c r="J1030" s="5" t="n">
        <v>-0.004456451651197357</v>
      </c>
      <c r="K1030" s="5" t="n">
        <v>0.00623725586594446</v>
      </c>
      <c r="L1030" s="5" t="n">
        <v>0.001863627837532102</v>
      </c>
      <c r="M1030" s="5">
        <f>SUMPRODUCT(Exposures!$B$6:$K$6,B1030:K1030)</f>
        <v/>
      </c>
      <c r="N1030" s="5">
        <f>IF(AND($A1030&gt;=DATE(2020,2,1),$A1030&lt;=DATE(2020,5,31)),$M1030,"")</f>
        <v/>
      </c>
      <c r="O1030" s="5">
        <f>IF(AND($A1030&gt;=DATE(2022,1,1),$A1030&lt;=DATE(2022,10,31)),$M1030,"")</f>
        <v/>
      </c>
      <c r="P1030" s="5">
        <f>IF(AND($A1030&gt;=DATE(2018,10,1),$A1030&lt;=DATE(2018,12,31)),$M1030,"")</f>
        <v/>
      </c>
      <c r="Q1030" s="5">
        <f>SUMPRODUCT(Exposures!$B$8:$K$8,B1030:K1030)</f>
        <v/>
      </c>
      <c r="R1030" s="5">
        <f>SUMPRODUCT(Exposures!$B$9:$K$9,B1030:K1030)</f>
        <v/>
      </c>
      <c r="S1030" s="5">
        <f>SUMPRODUCT(Exposures!$B$10:$K$10,B1030:K1030)</f>
        <v/>
      </c>
    </row>
    <row r="1031">
      <c r="A1031" s="1" t="n">
        <v>43955</v>
      </c>
      <c r="B1031" s="5" t="n">
        <v>-0.001621419205589035</v>
      </c>
      <c r="C1031" s="5" t="n">
        <v>-0.0002201383270153377</v>
      </c>
      <c r="D1031" s="5" t="n">
        <v>-0.004313905248328706</v>
      </c>
      <c r="E1031" s="5" t="n">
        <v>5.697178857838494e-05</v>
      </c>
      <c r="F1031" s="5" t="n">
        <v>-0.001820594684580787</v>
      </c>
      <c r="G1031" s="5" t="n">
        <v>0.002338734268912377</v>
      </c>
      <c r="H1031" s="5" t="n">
        <v>0.00603190592149115</v>
      </c>
      <c r="I1031" s="5" t="n">
        <v>-0.001139342423226743</v>
      </c>
      <c r="J1031" s="5" t="n">
        <v>0.007516536600511761</v>
      </c>
      <c r="K1031" s="5" t="n">
        <v>0.005661327858913578</v>
      </c>
      <c r="L1031" s="5" t="n">
        <v>0.0002360216987307312</v>
      </c>
      <c r="M1031" s="5">
        <f>SUMPRODUCT(Exposures!$B$6:$K$6,B1031:K1031)</f>
        <v/>
      </c>
      <c r="N1031" s="5">
        <f>IF(AND($A1031&gt;=DATE(2020,2,1),$A1031&lt;=DATE(2020,5,31)),$M1031,"")</f>
        <v/>
      </c>
      <c r="O1031" s="5">
        <f>IF(AND($A1031&gt;=DATE(2022,1,1),$A1031&lt;=DATE(2022,10,31)),$M1031,"")</f>
        <v/>
      </c>
      <c r="P1031" s="5">
        <f>IF(AND($A1031&gt;=DATE(2018,10,1),$A1031&lt;=DATE(2018,12,31)),$M1031,"")</f>
        <v/>
      </c>
      <c r="Q1031" s="5">
        <f>SUMPRODUCT(Exposures!$B$8:$K$8,B1031:K1031)</f>
        <v/>
      </c>
      <c r="R1031" s="5">
        <f>SUMPRODUCT(Exposures!$B$9:$K$9,B1031:K1031)</f>
        <v/>
      </c>
      <c r="S1031" s="5">
        <f>SUMPRODUCT(Exposures!$B$10:$K$10,B1031:K1031)</f>
        <v/>
      </c>
    </row>
    <row r="1032">
      <c r="A1032" s="1" t="n">
        <v>43956</v>
      </c>
      <c r="B1032" s="5" t="n">
        <v>0.00174663099990578</v>
      </c>
      <c r="C1032" s="5" t="n">
        <v>-0.001922317084992442</v>
      </c>
      <c r="D1032" s="5" t="n">
        <v>-0.001959814799728719</v>
      </c>
      <c r="E1032" s="5" t="n">
        <v>-0.003111838701705954</v>
      </c>
      <c r="F1032" s="5" t="n">
        <v>-0.005904331507061576</v>
      </c>
      <c r="G1032" s="5" t="n">
        <v>0.007937843615663</v>
      </c>
      <c r="H1032" s="5" t="n">
        <v>0.01071769163620601</v>
      </c>
      <c r="I1032" s="5" t="n">
        <v>-0.005536286482517565</v>
      </c>
      <c r="J1032" s="5" t="n">
        <v>0.00360578351143135</v>
      </c>
      <c r="K1032" s="5" t="n">
        <v>0.01081813951162412</v>
      </c>
      <c r="L1032" s="5" t="n">
        <v>0.003801371297566363</v>
      </c>
      <c r="M1032" s="5">
        <f>SUMPRODUCT(Exposures!$B$6:$K$6,B1032:K1032)</f>
        <v/>
      </c>
      <c r="N1032" s="5">
        <f>IF(AND($A1032&gt;=DATE(2020,2,1),$A1032&lt;=DATE(2020,5,31)),$M1032,"")</f>
        <v/>
      </c>
      <c r="O1032" s="5">
        <f>IF(AND($A1032&gt;=DATE(2022,1,1),$A1032&lt;=DATE(2022,10,31)),$M1032,"")</f>
        <v/>
      </c>
      <c r="P1032" s="5">
        <f>IF(AND($A1032&gt;=DATE(2018,10,1),$A1032&lt;=DATE(2018,12,31)),$M1032,"")</f>
        <v/>
      </c>
      <c r="Q1032" s="5">
        <f>SUMPRODUCT(Exposures!$B$8:$K$8,B1032:K1032)</f>
        <v/>
      </c>
      <c r="R1032" s="5">
        <f>SUMPRODUCT(Exposures!$B$9:$K$9,B1032:K1032)</f>
        <v/>
      </c>
      <c r="S1032" s="5">
        <f>SUMPRODUCT(Exposures!$B$10:$K$10,B1032:K1032)</f>
        <v/>
      </c>
    </row>
    <row r="1033">
      <c r="A1033" s="1" t="n">
        <v>43957</v>
      </c>
      <c r="B1033" s="5" t="n">
        <v>-0.0009970899324621184</v>
      </c>
      <c r="C1033" s="5" t="n">
        <v>0.000707000626229831</v>
      </c>
      <c r="D1033" s="5" t="n">
        <v>-0.001616220502105323</v>
      </c>
      <c r="E1033" s="5" t="n">
        <v>-0.003924803104135869</v>
      </c>
      <c r="F1033" s="5" t="n">
        <v>0.01208562456859329</v>
      </c>
      <c r="G1033" s="5" t="n">
        <v>-0.01259092883316483</v>
      </c>
      <c r="H1033" s="5" t="n">
        <v>0.004343971372970341</v>
      </c>
      <c r="I1033" s="5" t="n">
        <v>0.001126867937023217</v>
      </c>
      <c r="J1033" s="5" t="n">
        <v>-0.002479324957168837</v>
      </c>
      <c r="K1033" s="5" t="n">
        <v>-0.01461407285124766</v>
      </c>
      <c r="L1033" s="5" t="n">
        <v>-0.006908593069073403</v>
      </c>
      <c r="M1033" s="5">
        <f>SUMPRODUCT(Exposures!$B$6:$K$6,B1033:K1033)</f>
        <v/>
      </c>
      <c r="N1033" s="5">
        <f>IF(AND($A1033&gt;=DATE(2020,2,1),$A1033&lt;=DATE(2020,5,31)),$M1033,"")</f>
        <v/>
      </c>
      <c r="O1033" s="5">
        <f>IF(AND($A1033&gt;=DATE(2022,1,1),$A1033&lt;=DATE(2022,10,31)),$M1033,"")</f>
        <v/>
      </c>
      <c r="P1033" s="5">
        <f>IF(AND($A1033&gt;=DATE(2018,10,1),$A1033&lt;=DATE(2018,12,31)),$M1033,"")</f>
        <v/>
      </c>
      <c r="Q1033" s="5">
        <f>SUMPRODUCT(Exposures!$B$8:$K$8,B1033:K1033)</f>
        <v/>
      </c>
      <c r="R1033" s="5">
        <f>SUMPRODUCT(Exposures!$B$9:$K$9,B1033:K1033)</f>
        <v/>
      </c>
      <c r="S1033" s="5">
        <f>SUMPRODUCT(Exposures!$B$10:$K$10,B1033:K1033)</f>
        <v/>
      </c>
    </row>
    <row r="1034">
      <c r="A1034" s="1" t="n">
        <v>43958</v>
      </c>
      <c r="B1034" s="5" t="n">
        <v>0.01131547570376804</v>
      </c>
      <c r="C1034" s="5" t="n">
        <v>0.004514628289969128</v>
      </c>
      <c r="D1034" s="5" t="n">
        <v>0.0006768808005335509</v>
      </c>
      <c r="E1034" s="5" t="n">
        <v>0.001781523941624087</v>
      </c>
      <c r="F1034" s="5" t="n">
        <v>0.002690568200379134</v>
      </c>
      <c r="G1034" s="5" t="n">
        <v>0.01890528218861092</v>
      </c>
      <c r="H1034" s="5" t="n">
        <v>-0.00320226170717432</v>
      </c>
      <c r="I1034" s="5" t="n">
        <v>-0.001083591704620224</v>
      </c>
      <c r="J1034" s="5" t="n">
        <v>-0.001735523597222198</v>
      </c>
      <c r="K1034" s="5" t="n">
        <v>-0.006133303301795632</v>
      </c>
      <c r="L1034" s="5" t="n">
        <v>-0.001305094276122492</v>
      </c>
      <c r="M1034" s="5">
        <f>SUMPRODUCT(Exposures!$B$6:$K$6,B1034:K1034)</f>
        <v/>
      </c>
      <c r="N1034" s="5">
        <f>IF(AND($A1034&gt;=DATE(2020,2,1),$A1034&lt;=DATE(2020,5,31)),$M1034,"")</f>
        <v/>
      </c>
      <c r="O1034" s="5">
        <f>IF(AND($A1034&gt;=DATE(2022,1,1),$A1034&lt;=DATE(2022,10,31)),$M1034,"")</f>
        <v/>
      </c>
      <c r="P1034" s="5">
        <f>IF(AND($A1034&gt;=DATE(2018,10,1),$A1034&lt;=DATE(2018,12,31)),$M1034,"")</f>
        <v/>
      </c>
      <c r="Q1034" s="5">
        <f>SUMPRODUCT(Exposures!$B$8:$K$8,B1034:K1034)</f>
        <v/>
      </c>
      <c r="R1034" s="5">
        <f>SUMPRODUCT(Exposures!$B$9:$K$9,B1034:K1034)</f>
        <v/>
      </c>
      <c r="S1034" s="5">
        <f>SUMPRODUCT(Exposures!$B$10:$K$10,B1034:K1034)</f>
        <v/>
      </c>
    </row>
    <row r="1035">
      <c r="A1035" s="1" t="n">
        <v>43959</v>
      </c>
      <c r="B1035" s="5" t="n">
        <v>0.006032057352664972</v>
      </c>
      <c r="C1035" s="5" t="n">
        <v>0.002649077060168771</v>
      </c>
      <c r="D1035" s="5" t="n">
        <v>-0.0008575780357941041</v>
      </c>
      <c r="E1035" s="5" t="n">
        <v>0.0003254918281422204</v>
      </c>
      <c r="F1035" s="5" t="n">
        <v>4.307248613100428e-05</v>
      </c>
      <c r="G1035" s="5" t="n">
        <v>0.03320952444730059</v>
      </c>
      <c r="H1035" s="5" t="n">
        <v>-0.009518079855514047</v>
      </c>
      <c r="I1035" s="5" t="n">
        <v>0.002026616509888616</v>
      </c>
      <c r="J1035" s="5" t="n">
        <v>0.005784653418195555</v>
      </c>
      <c r="K1035" s="5" t="n">
        <v>-0.005228584733598406</v>
      </c>
      <c r="L1035" s="5" t="n">
        <v>-0.001667622617067301</v>
      </c>
      <c r="M1035" s="5">
        <f>SUMPRODUCT(Exposures!$B$6:$K$6,B1035:K1035)</f>
        <v/>
      </c>
      <c r="N1035" s="5">
        <f>IF(AND($A1035&gt;=DATE(2020,2,1),$A1035&lt;=DATE(2020,5,31)),$M1035,"")</f>
        <v/>
      </c>
      <c r="O1035" s="5">
        <f>IF(AND($A1035&gt;=DATE(2022,1,1),$A1035&lt;=DATE(2022,10,31)),$M1035,"")</f>
        <v/>
      </c>
      <c r="P1035" s="5">
        <f>IF(AND($A1035&gt;=DATE(2018,10,1),$A1035&lt;=DATE(2018,12,31)),$M1035,"")</f>
        <v/>
      </c>
      <c r="Q1035" s="5">
        <f>SUMPRODUCT(Exposures!$B$8:$K$8,B1035:K1035)</f>
        <v/>
      </c>
      <c r="R1035" s="5">
        <f>SUMPRODUCT(Exposures!$B$9:$K$9,B1035:K1035)</f>
        <v/>
      </c>
      <c r="S1035" s="5">
        <f>SUMPRODUCT(Exposures!$B$10:$K$10,B1035:K1035)</f>
        <v/>
      </c>
    </row>
    <row r="1036">
      <c r="A1036" s="1" t="n">
        <v>43962</v>
      </c>
      <c r="B1036" s="5" t="n">
        <v>-0.007258924923783813</v>
      </c>
      <c r="C1036" s="5" t="n">
        <v>-0.004172281563223695</v>
      </c>
      <c r="D1036" s="5" t="n">
        <v>-0.007983246967976419</v>
      </c>
      <c r="E1036" s="5" t="n">
        <v>-0.00438718743476515</v>
      </c>
      <c r="F1036" s="5" t="n">
        <v>0.005495732215543506</v>
      </c>
      <c r="G1036" s="5" t="n">
        <v>-0.007087276863401127</v>
      </c>
      <c r="H1036" s="5" t="n">
        <v>0.009284212036236836</v>
      </c>
      <c r="I1036" s="5" t="n">
        <v>-0.0007286901489907786</v>
      </c>
      <c r="J1036" s="5" t="n">
        <v>0.004744005129226263</v>
      </c>
      <c r="K1036" s="5" t="n">
        <v>0.0008615678013732626</v>
      </c>
      <c r="L1036" s="5" t="n">
        <v>-0.002260643729614729</v>
      </c>
      <c r="M1036" s="5">
        <f>SUMPRODUCT(Exposures!$B$6:$K$6,B1036:K1036)</f>
        <v/>
      </c>
      <c r="N1036" s="5">
        <f>IF(AND($A1036&gt;=DATE(2020,2,1),$A1036&lt;=DATE(2020,5,31)),$M1036,"")</f>
        <v/>
      </c>
      <c r="O1036" s="5">
        <f>IF(AND($A1036&gt;=DATE(2022,1,1),$A1036&lt;=DATE(2022,10,31)),$M1036,"")</f>
        <v/>
      </c>
      <c r="P1036" s="5">
        <f>IF(AND($A1036&gt;=DATE(2018,10,1),$A1036&lt;=DATE(2018,12,31)),$M1036,"")</f>
        <v/>
      </c>
      <c r="Q1036" s="5">
        <f>SUMPRODUCT(Exposures!$B$8:$K$8,B1036:K1036)</f>
        <v/>
      </c>
      <c r="R1036" s="5">
        <f>SUMPRODUCT(Exposures!$B$9:$K$9,B1036:K1036)</f>
        <v/>
      </c>
      <c r="S1036" s="5">
        <f>SUMPRODUCT(Exposures!$B$10:$K$10,B1036:K1036)</f>
        <v/>
      </c>
    </row>
    <row r="1037">
      <c r="A1037" s="1" t="n">
        <v>43963</v>
      </c>
      <c r="B1037" s="5" t="n">
        <v>-0.007817075255877708</v>
      </c>
      <c r="C1037" s="5" t="n">
        <v>-0.002201591383219752</v>
      </c>
      <c r="D1037" s="5" t="n">
        <v>-0.003215484315355965</v>
      </c>
      <c r="E1037" s="5" t="n">
        <v>0.002333258643293179</v>
      </c>
      <c r="F1037" s="5" t="n">
        <v>0.007691897373659553</v>
      </c>
      <c r="G1037" s="5" t="n">
        <v>-0.02752319825059087</v>
      </c>
      <c r="H1037" s="5" t="n">
        <v>-0.001177085636106072</v>
      </c>
      <c r="I1037" s="5" t="n">
        <v>0.003855256193989847</v>
      </c>
      <c r="J1037" s="5" t="n">
        <v>-0.00356796311677955</v>
      </c>
      <c r="K1037" s="5" t="n">
        <v>-0.00610998962148993</v>
      </c>
      <c r="L1037" s="5" t="n">
        <v>-0.003806690848838101</v>
      </c>
      <c r="M1037" s="5">
        <f>SUMPRODUCT(Exposures!$B$6:$K$6,B1037:K1037)</f>
        <v/>
      </c>
      <c r="N1037" s="5">
        <f>IF(AND($A1037&gt;=DATE(2020,2,1),$A1037&lt;=DATE(2020,5,31)),$M1037,"")</f>
        <v/>
      </c>
      <c r="O1037" s="5">
        <f>IF(AND($A1037&gt;=DATE(2022,1,1),$A1037&lt;=DATE(2022,10,31)),$M1037,"")</f>
        <v/>
      </c>
      <c r="P1037" s="5">
        <f>IF(AND($A1037&gt;=DATE(2018,10,1),$A1037&lt;=DATE(2018,12,31)),$M1037,"")</f>
        <v/>
      </c>
      <c r="Q1037" s="5">
        <f>SUMPRODUCT(Exposures!$B$8:$K$8,B1037:K1037)</f>
        <v/>
      </c>
      <c r="R1037" s="5">
        <f>SUMPRODUCT(Exposures!$B$9:$K$9,B1037:K1037)</f>
        <v/>
      </c>
      <c r="S1037" s="5">
        <f>SUMPRODUCT(Exposures!$B$10:$K$10,B1037:K1037)</f>
        <v/>
      </c>
    </row>
    <row r="1038">
      <c r="A1038" s="1" t="n">
        <v>43964</v>
      </c>
      <c r="B1038" s="5" t="n">
        <v>-0.009432705812446582</v>
      </c>
      <c r="C1038" s="5" t="n">
        <v>-0.001194712201204827</v>
      </c>
      <c r="D1038" s="5" t="n">
        <v>-0.0008543269644102574</v>
      </c>
      <c r="E1038" s="5" t="n">
        <v>-0.001933361570617851</v>
      </c>
      <c r="F1038" s="5" t="n">
        <v>0.004510973370934977</v>
      </c>
      <c r="G1038" s="5" t="n">
        <v>-0.03355155758232768</v>
      </c>
      <c r="H1038" s="5" t="n">
        <v>0.005182104928760661</v>
      </c>
      <c r="I1038" s="5" t="n">
        <v>0.0009142118177644888</v>
      </c>
      <c r="J1038" s="5" t="n">
        <v>-0.007300314445052729</v>
      </c>
      <c r="K1038" s="5" t="n">
        <v>-0.003404931619881481</v>
      </c>
      <c r="L1038" s="5" t="n">
        <v>-0.002124817883332615</v>
      </c>
      <c r="M1038" s="5">
        <f>SUMPRODUCT(Exposures!$B$6:$K$6,B1038:K1038)</f>
        <v/>
      </c>
      <c r="N1038" s="5">
        <f>IF(AND($A1038&gt;=DATE(2020,2,1),$A1038&lt;=DATE(2020,5,31)),$M1038,"")</f>
        <v/>
      </c>
      <c r="O1038" s="5">
        <f>IF(AND($A1038&gt;=DATE(2022,1,1),$A1038&lt;=DATE(2022,10,31)),$M1038,"")</f>
        <v/>
      </c>
      <c r="P1038" s="5">
        <f>IF(AND($A1038&gt;=DATE(2018,10,1),$A1038&lt;=DATE(2018,12,31)),$M1038,"")</f>
        <v/>
      </c>
      <c r="Q1038" s="5">
        <f>SUMPRODUCT(Exposures!$B$8:$K$8,B1038:K1038)</f>
        <v/>
      </c>
      <c r="R1038" s="5">
        <f>SUMPRODUCT(Exposures!$B$9:$K$9,B1038:K1038)</f>
        <v/>
      </c>
      <c r="S1038" s="5">
        <f>SUMPRODUCT(Exposures!$B$10:$K$10,B1038:K1038)</f>
        <v/>
      </c>
    </row>
    <row r="1039">
      <c r="A1039" s="1" t="n">
        <v>43965</v>
      </c>
      <c r="B1039" s="5" t="n">
        <v>0.006615056103013888</v>
      </c>
      <c r="C1039" s="5" t="n">
        <v>0.002904605589669013</v>
      </c>
      <c r="D1039" s="5" t="n">
        <v>0.001480742509276501</v>
      </c>
      <c r="E1039" s="5" t="n">
        <v>0.003882651364054545</v>
      </c>
      <c r="F1039" s="5" t="n">
        <v>0.002360879045352265</v>
      </c>
      <c r="G1039" s="5" t="n">
        <v>0.01378610916274984</v>
      </c>
      <c r="H1039" s="5" t="n">
        <v>-0.003915603327773788</v>
      </c>
      <c r="I1039" s="5" t="n">
        <v>-0.002181787506225733</v>
      </c>
      <c r="J1039" s="5" t="n">
        <v>0.001689892932514721</v>
      </c>
      <c r="K1039" s="5" t="n">
        <v>0.001966251144805341</v>
      </c>
      <c r="L1039" s="5" t="n">
        <v>-0.0005167059234528656</v>
      </c>
      <c r="M1039" s="5">
        <f>SUMPRODUCT(Exposures!$B$6:$K$6,B1039:K1039)</f>
        <v/>
      </c>
      <c r="N1039" s="5">
        <f>IF(AND($A1039&gt;=DATE(2020,2,1),$A1039&lt;=DATE(2020,5,31)),$M1039,"")</f>
        <v/>
      </c>
      <c r="O1039" s="5">
        <f>IF(AND($A1039&gt;=DATE(2022,1,1),$A1039&lt;=DATE(2022,10,31)),$M1039,"")</f>
        <v/>
      </c>
      <c r="P1039" s="5">
        <f>IF(AND($A1039&gt;=DATE(2018,10,1),$A1039&lt;=DATE(2018,12,31)),$M1039,"")</f>
        <v/>
      </c>
      <c r="Q1039" s="5">
        <f>SUMPRODUCT(Exposures!$B$8:$K$8,B1039:K1039)</f>
        <v/>
      </c>
      <c r="R1039" s="5">
        <f>SUMPRODUCT(Exposures!$B$9:$K$9,B1039:K1039)</f>
        <v/>
      </c>
      <c r="S1039" s="5">
        <f>SUMPRODUCT(Exposures!$B$10:$K$10,B1039:K1039)</f>
        <v/>
      </c>
    </row>
    <row r="1040">
      <c r="A1040" s="1" t="n">
        <v>43966</v>
      </c>
      <c r="B1040" s="5" t="n">
        <v>-0.002999524846222859</v>
      </c>
      <c r="C1040" s="5" t="n">
        <v>-0.000221942832344881</v>
      </c>
      <c r="D1040" s="5" t="n">
        <v>-0.003588161842569539</v>
      </c>
      <c r="E1040" s="5" t="n">
        <v>-0.001064214819860585</v>
      </c>
      <c r="F1040" s="5" t="n">
        <v>-0.00589084636859022</v>
      </c>
      <c r="G1040" s="5" t="n">
        <v>0.008688382198230126</v>
      </c>
      <c r="H1040" s="5" t="n">
        <v>0.006990188856388102</v>
      </c>
      <c r="I1040" s="5" t="n">
        <v>-0.0006348420741808424</v>
      </c>
      <c r="J1040" s="5" t="n">
        <v>0.01008345292329624</v>
      </c>
      <c r="K1040" s="5" t="n">
        <v>0.004795073790292172</v>
      </c>
      <c r="L1040" s="5" t="n">
        <v>0.001888590725843982</v>
      </c>
      <c r="M1040" s="5">
        <f>SUMPRODUCT(Exposures!$B$6:$K$6,B1040:K1040)</f>
        <v/>
      </c>
      <c r="N1040" s="5">
        <f>IF(AND($A1040&gt;=DATE(2020,2,1),$A1040&lt;=DATE(2020,5,31)),$M1040,"")</f>
        <v/>
      </c>
      <c r="O1040" s="5">
        <f>IF(AND($A1040&gt;=DATE(2022,1,1),$A1040&lt;=DATE(2022,10,31)),$M1040,"")</f>
        <v/>
      </c>
      <c r="P1040" s="5">
        <f>IF(AND($A1040&gt;=DATE(2018,10,1),$A1040&lt;=DATE(2018,12,31)),$M1040,"")</f>
        <v/>
      </c>
      <c r="Q1040" s="5">
        <f>SUMPRODUCT(Exposures!$B$8:$K$8,B1040:K1040)</f>
        <v/>
      </c>
      <c r="R1040" s="5">
        <f>SUMPRODUCT(Exposures!$B$9:$K$9,B1040:K1040)</f>
        <v/>
      </c>
      <c r="S1040" s="5">
        <f>SUMPRODUCT(Exposures!$B$10:$K$10,B1040:K1040)</f>
        <v/>
      </c>
    </row>
    <row r="1041">
      <c r="A1041" s="1" t="n">
        <v>43969</v>
      </c>
      <c r="B1041" s="5" t="n">
        <v>0.01950488882118009</v>
      </c>
      <c r="C1041" s="5" t="n">
        <v>0.003956192668359452</v>
      </c>
      <c r="D1041" s="5" t="n">
        <v>0.006976448923891618</v>
      </c>
      <c r="E1041" s="5" t="n">
        <v>0.0009824608551430307</v>
      </c>
      <c r="F1041" s="5" t="n">
        <v>0.001885055376494589</v>
      </c>
      <c r="G1041" s="5" t="n">
        <v>0.05682943112533186</v>
      </c>
      <c r="H1041" s="5" t="n">
        <v>-0.01585048860161568</v>
      </c>
      <c r="I1041" s="5" t="n">
        <v>-0.003239049338421679</v>
      </c>
      <c r="J1041" s="5" t="n">
        <v>0.006316244224215395</v>
      </c>
      <c r="K1041" s="5" t="n">
        <v>-0.005675519760015166</v>
      </c>
      <c r="L1041" s="5" t="n">
        <v>-0.002029900053706096</v>
      </c>
      <c r="M1041" s="5">
        <f>SUMPRODUCT(Exposures!$B$6:$K$6,B1041:K1041)</f>
        <v/>
      </c>
      <c r="N1041" s="5">
        <f>IF(AND($A1041&gt;=DATE(2020,2,1),$A1041&lt;=DATE(2020,5,31)),$M1041,"")</f>
        <v/>
      </c>
      <c r="O1041" s="5">
        <f>IF(AND($A1041&gt;=DATE(2022,1,1),$A1041&lt;=DATE(2022,10,31)),$M1041,"")</f>
        <v/>
      </c>
      <c r="P1041" s="5">
        <f>IF(AND($A1041&gt;=DATE(2018,10,1),$A1041&lt;=DATE(2018,12,31)),$M1041,"")</f>
        <v/>
      </c>
      <c r="Q1041" s="5">
        <f>SUMPRODUCT(Exposures!$B$8:$K$8,B1041:K1041)</f>
        <v/>
      </c>
      <c r="R1041" s="5">
        <f>SUMPRODUCT(Exposures!$B$9:$K$9,B1041:K1041)</f>
        <v/>
      </c>
      <c r="S1041" s="5">
        <f>SUMPRODUCT(Exposures!$B$10:$K$10,B1041:K1041)</f>
        <v/>
      </c>
    </row>
    <row r="1042">
      <c r="A1042" s="1" t="n">
        <v>43970</v>
      </c>
      <c r="B1042" s="5" t="n">
        <v>-0.000720830249679431</v>
      </c>
      <c r="C1042" s="5" t="n">
        <v>0.0008679184277307296</v>
      </c>
      <c r="D1042" s="5" t="n">
        <v>0.001045382882235175</v>
      </c>
      <c r="E1042" s="5" t="n">
        <v>-0.004612290971089572</v>
      </c>
      <c r="F1042" s="5" t="n">
        <v>-0.0006063496680978218</v>
      </c>
      <c r="G1042" s="5" t="n">
        <v>-0.01370258249593575</v>
      </c>
      <c r="H1042" s="5" t="n">
        <v>0.003602329905325913</v>
      </c>
      <c r="I1042" s="5" t="n">
        <v>0.0002126091840573888</v>
      </c>
      <c r="J1042" s="5" t="n">
        <v>0.0002201069306295477</v>
      </c>
      <c r="K1042" s="5" t="n">
        <v>0.0009648117366762722</v>
      </c>
      <c r="L1042" s="5" t="n">
        <v>-0.002736179790211802</v>
      </c>
      <c r="M1042" s="5">
        <f>SUMPRODUCT(Exposures!$B$6:$K$6,B1042:K1042)</f>
        <v/>
      </c>
      <c r="N1042" s="5">
        <f>IF(AND($A1042&gt;=DATE(2020,2,1),$A1042&lt;=DATE(2020,5,31)),$M1042,"")</f>
        <v/>
      </c>
      <c r="O1042" s="5">
        <f>IF(AND($A1042&gt;=DATE(2022,1,1),$A1042&lt;=DATE(2022,10,31)),$M1042,"")</f>
        <v/>
      </c>
      <c r="P1042" s="5">
        <f>IF(AND($A1042&gt;=DATE(2018,10,1),$A1042&lt;=DATE(2018,12,31)),$M1042,"")</f>
        <v/>
      </c>
      <c r="Q1042" s="5">
        <f>SUMPRODUCT(Exposures!$B$8:$K$8,B1042:K1042)</f>
        <v/>
      </c>
      <c r="R1042" s="5">
        <f>SUMPRODUCT(Exposures!$B$9:$K$9,B1042:K1042)</f>
        <v/>
      </c>
      <c r="S1042" s="5">
        <f>SUMPRODUCT(Exposures!$B$10:$K$10,B1042:K1042)</f>
        <v/>
      </c>
    </row>
    <row r="1043">
      <c r="A1043" s="1" t="n">
        <v>43971</v>
      </c>
      <c r="B1043" s="5" t="n">
        <v>0.007944652555088298</v>
      </c>
      <c r="C1043" s="5" t="n">
        <v>-0.001369476138298128</v>
      </c>
      <c r="D1043" s="5" t="n">
        <v>-0.001204629490478703</v>
      </c>
      <c r="E1043" s="5" t="n">
        <v>-0.0002404781924439433</v>
      </c>
      <c r="F1043" s="5" t="n">
        <v>0.003967488115355407</v>
      </c>
      <c r="G1043" s="5" t="n">
        <v>0.02338438013838332</v>
      </c>
      <c r="H1043" s="5" t="n">
        <v>-0.005249192384802451</v>
      </c>
      <c r="I1043" s="5" t="n">
        <v>0.000889238491888249</v>
      </c>
      <c r="J1043" s="5" t="n">
        <v>-0.001678008055449019</v>
      </c>
      <c r="K1043" s="5" t="n">
        <v>-0.009892094702526106</v>
      </c>
      <c r="L1043" s="5" t="n">
        <v>0.0004278660149774497</v>
      </c>
      <c r="M1043" s="5">
        <f>SUMPRODUCT(Exposures!$B$6:$K$6,B1043:K1043)</f>
        <v/>
      </c>
      <c r="N1043" s="5">
        <f>IF(AND($A1043&gt;=DATE(2020,2,1),$A1043&lt;=DATE(2020,5,31)),$M1043,"")</f>
        <v/>
      </c>
      <c r="O1043" s="5">
        <f>IF(AND($A1043&gt;=DATE(2022,1,1),$A1043&lt;=DATE(2022,10,31)),$M1043,"")</f>
        <v/>
      </c>
      <c r="P1043" s="5">
        <f>IF(AND($A1043&gt;=DATE(2018,10,1),$A1043&lt;=DATE(2018,12,31)),$M1043,"")</f>
        <v/>
      </c>
      <c r="Q1043" s="5">
        <f>SUMPRODUCT(Exposures!$B$8:$K$8,B1043:K1043)</f>
        <v/>
      </c>
      <c r="R1043" s="5">
        <f>SUMPRODUCT(Exposures!$B$9:$K$9,B1043:K1043)</f>
        <v/>
      </c>
      <c r="S1043" s="5">
        <f>SUMPRODUCT(Exposures!$B$10:$K$10,B1043:K1043)</f>
        <v/>
      </c>
    </row>
    <row r="1044">
      <c r="A1044" s="1" t="n">
        <v>43972</v>
      </c>
      <c r="B1044" s="5" t="n">
        <v>-0.001074104125589466</v>
      </c>
      <c r="C1044" s="5" t="n">
        <v>0.004495942707172997</v>
      </c>
      <c r="D1044" s="5" t="n">
        <v>-0.00155834244150507</v>
      </c>
      <c r="E1044" s="5" t="n">
        <v>-0.003450403872807383</v>
      </c>
      <c r="F1044" s="5" t="n">
        <v>-0.0006136838615477243</v>
      </c>
      <c r="G1044" s="5" t="n">
        <v>-6.298934310687617e-05</v>
      </c>
      <c r="H1044" s="5" t="n">
        <v>-0.004745917959643462</v>
      </c>
      <c r="I1044" s="5" t="n">
        <v>0.002606763137649056</v>
      </c>
      <c r="J1044" s="5" t="n">
        <v>0.002913811290465067</v>
      </c>
      <c r="K1044" s="5" t="n">
        <v>-0.004074552981973942</v>
      </c>
      <c r="L1044" s="5" t="n">
        <v>-0.003161681359460852</v>
      </c>
      <c r="M1044" s="5">
        <f>SUMPRODUCT(Exposures!$B$6:$K$6,B1044:K1044)</f>
        <v/>
      </c>
      <c r="N1044" s="5">
        <f>IF(AND($A1044&gt;=DATE(2020,2,1),$A1044&lt;=DATE(2020,5,31)),$M1044,"")</f>
        <v/>
      </c>
      <c r="O1044" s="5">
        <f>IF(AND($A1044&gt;=DATE(2022,1,1),$A1044&lt;=DATE(2022,10,31)),$M1044,"")</f>
        <v/>
      </c>
      <c r="P1044" s="5">
        <f>IF(AND($A1044&gt;=DATE(2018,10,1),$A1044&lt;=DATE(2018,12,31)),$M1044,"")</f>
        <v/>
      </c>
      <c r="Q1044" s="5">
        <f>SUMPRODUCT(Exposures!$B$8:$K$8,B1044:K1044)</f>
        <v/>
      </c>
      <c r="R1044" s="5">
        <f>SUMPRODUCT(Exposures!$B$9:$K$9,B1044:K1044)</f>
        <v/>
      </c>
      <c r="S1044" s="5">
        <f>SUMPRODUCT(Exposures!$B$10:$K$10,B1044:K1044)</f>
        <v/>
      </c>
    </row>
    <row r="1045">
      <c r="A1045" s="1" t="n">
        <v>43973</v>
      </c>
      <c r="B1045" s="5" t="n">
        <v>-0.0006500868581547769</v>
      </c>
      <c r="C1045" s="5" t="n">
        <v>-0.002132714644885292</v>
      </c>
      <c r="D1045" s="5" t="n">
        <v>-0.0005177817837862624</v>
      </c>
      <c r="E1045" s="5" t="n">
        <v>0.00188870882257994</v>
      </c>
      <c r="F1045" s="5" t="n">
        <v>0.002297454212851389</v>
      </c>
      <c r="G1045" s="5" t="n">
        <v>0.003547900327894025</v>
      </c>
      <c r="H1045" s="5" t="n">
        <v>0.002646010631570118</v>
      </c>
      <c r="I1045" s="5" t="n">
        <v>-0.0001400579275698767</v>
      </c>
      <c r="J1045" s="5" t="n">
        <v>-0.001814956707330849</v>
      </c>
      <c r="K1045" s="5" t="n">
        <v>-0.00877812338335018</v>
      </c>
      <c r="L1045" s="5" t="n">
        <v>-0.00529986894860055</v>
      </c>
      <c r="M1045" s="5">
        <f>SUMPRODUCT(Exposures!$B$6:$K$6,B1045:K1045)</f>
        <v/>
      </c>
      <c r="N1045" s="5">
        <f>IF(AND($A1045&gt;=DATE(2020,2,1),$A1045&lt;=DATE(2020,5,31)),$M1045,"")</f>
        <v/>
      </c>
      <c r="O1045" s="5">
        <f>IF(AND($A1045&gt;=DATE(2022,1,1),$A1045&lt;=DATE(2022,10,31)),$M1045,"")</f>
        <v/>
      </c>
      <c r="P1045" s="5">
        <f>IF(AND($A1045&gt;=DATE(2018,10,1),$A1045&lt;=DATE(2018,12,31)),$M1045,"")</f>
        <v/>
      </c>
      <c r="Q1045" s="5">
        <f>SUMPRODUCT(Exposures!$B$8:$K$8,B1045:K1045)</f>
        <v/>
      </c>
      <c r="R1045" s="5">
        <f>SUMPRODUCT(Exposures!$B$9:$K$9,B1045:K1045)</f>
        <v/>
      </c>
      <c r="S1045" s="5">
        <f>SUMPRODUCT(Exposures!$B$10:$K$10,B1045:K1045)</f>
        <v/>
      </c>
    </row>
    <row r="1046">
      <c r="A1046" s="1" t="n">
        <v>43977</v>
      </c>
      <c r="B1046" s="5" t="n">
        <v>0.01211124137988175</v>
      </c>
      <c r="C1046" s="5" t="n">
        <v>0.0008866559160102835</v>
      </c>
      <c r="D1046" s="5" t="n">
        <v>0.006350697964579197</v>
      </c>
      <c r="E1046" s="5" t="n">
        <v>0.005397488805085065</v>
      </c>
      <c r="F1046" s="5" t="n">
        <v>-0.001076278272514435</v>
      </c>
      <c r="G1046" s="5" t="n">
        <v>0.0329033550625057</v>
      </c>
      <c r="H1046" s="5" t="n">
        <v>-0.0179626290194052</v>
      </c>
      <c r="I1046" s="5" t="n">
        <v>-0.006694214207807881</v>
      </c>
      <c r="J1046" s="5" t="n">
        <v>-0.0004457525978212133</v>
      </c>
      <c r="K1046" s="5" t="n">
        <v>0.001356613833743959</v>
      </c>
      <c r="L1046" s="5" t="n">
        <v>0.006000159831260296</v>
      </c>
      <c r="M1046" s="5">
        <f>SUMPRODUCT(Exposures!$B$6:$K$6,B1046:K1046)</f>
        <v/>
      </c>
      <c r="N1046" s="5">
        <f>IF(AND($A1046&gt;=DATE(2020,2,1),$A1046&lt;=DATE(2020,5,31)),$M1046,"")</f>
        <v/>
      </c>
      <c r="O1046" s="5">
        <f>IF(AND($A1046&gt;=DATE(2022,1,1),$A1046&lt;=DATE(2022,10,31)),$M1046,"")</f>
        <v/>
      </c>
      <c r="P1046" s="5">
        <f>IF(AND($A1046&gt;=DATE(2018,10,1),$A1046&lt;=DATE(2018,12,31)),$M1046,"")</f>
        <v/>
      </c>
      <c r="Q1046" s="5">
        <f>SUMPRODUCT(Exposures!$B$8:$K$8,B1046:K1046)</f>
        <v/>
      </c>
      <c r="R1046" s="5">
        <f>SUMPRODUCT(Exposures!$B$9:$K$9,B1046:K1046)</f>
        <v/>
      </c>
      <c r="S1046" s="5">
        <f>SUMPRODUCT(Exposures!$B$10:$K$10,B1046:K1046)</f>
        <v/>
      </c>
    </row>
    <row r="1047">
      <c r="A1047" s="1" t="n">
        <v>43978</v>
      </c>
      <c r="B1047" s="5" t="n">
        <v>0.006707125805846295</v>
      </c>
      <c r="C1047" s="5" t="n">
        <v>0.004125346294339786</v>
      </c>
      <c r="D1047" s="5" t="n">
        <v>0.004303717614539081</v>
      </c>
      <c r="E1047" s="5" t="n">
        <v>0.006973866405094842</v>
      </c>
      <c r="F1047" s="5" t="n">
        <v>-0.004401844591581766</v>
      </c>
      <c r="G1047" s="5" t="n">
        <v>0.02626677806481236</v>
      </c>
      <c r="H1047" s="5" t="n">
        <v>-0.01064953838599664</v>
      </c>
      <c r="I1047" s="5" t="n">
        <v>0.003190633544522567</v>
      </c>
      <c r="J1047" s="5" t="n">
        <v>-0.00175738343619835</v>
      </c>
      <c r="K1047" s="5" t="n">
        <v>-0.001712267632850186</v>
      </c>
      <c r="L1047" s="5" t="n">
        <v>-0.003596888900080667</v>
      </c>
      <c r="M1047" s="5">
        <f>SUMPRODUCT(Exposures!$B$6:$K$6,B1047:K1047)</f>
        <v/>
      </c>
      <c r="N1047" s="5">
        <f>IF(AND($A1047&gt;=DATE(2020,2,1),$A1047&lt;=DATE(2020,5,31)),$M1047,"")</f>
        <v/>
      </c>
      <c r="O1047" s="5">
        <f>IF(AND($A1047&gt;=DATE(2022,1,1),$A1047&lt;=DATE(2022,10,31)),$M1047,"")</f>
        <v/>
      </c>
      <c r="P1047" s="5">
        <f>IF(AND($A1047&gt;=DATE(2018,10,1),$A1047&lt;=DATE(2018,12,31)),$M1047,"")</f>
        <v/>
      </c>
      <c r="Q1047" s="5">
        <f>SUMPRODUCT(Exposures!$B$8:$K$8,B1047:K1047)</f>
        <v/>
      </c>
      <c r="R1047" s="5">
        <f>SUMPRODUCT(Exposures!$B$9:$K$9,B1047:K1047)</f>
        <v/>
      </c>
      <c r="S1047" s="5">
        <f>SUMPRODUCT(Exposures!$B$10:$K$10,B1047:K1047)</f>
        <v/>
      </c>
    </row>
    <row r="1048">
      <c r="A1048" s="1" t="n">
        <v>43979</v>
      </c>
      <c r="B1048" s="5" t="n">
        <v>-0.006655537813267924</v>
      </c>
      <c r="C1048" s="5" t="n">
        <v>-0.004304359646933154</v>
      </c>
      <c r="D1048" s="5" t="n">
        <v>-0.001691496521354521</v>
      </c>
      <c r="E1048" s="5" t="n">
        <v>-0.001395449530951827</v>
      </c>
      <c r="F1048" s="5" t="n">
        <v>-0.006376321356328801</v>
      </c>
      <c r="G1048" s="5" t="n">
        <v>-0.01397389662130246</v>
      </c>
      <c r="H1048" s="5" t="n">
        <v>0.01005647503296711</v>
      </c>
      <c r="I1048" s="5" t="n">
        <v>-0.003206648079979182</v>
      </c>
      <c r="J1048" s="5" t="n">
        <v>-0.006495750235635705</v>
      </c>
      <c r="K1048" s="5" t="n">
        <v>0.00959648869272688</v>
      </c>
      <c r="L1048" s="5" t="n">
        <v>0.001913867019105242</v>
      </c>
      <c r="M1048" s="5">
        <f>SUMPRODUCT(Exposures!$B$6:$K$6,B1048:K1048)</f>
        <v/>
      </c>
      <c r="N1048" s="5">
        <f>IF(AND($A1048&gt;=DATE(2020,2,1),$A1048&lt;=DATE(2020,5,31)),$M1048,"")</f>
        <v/>
      </c>
      <c r="O1048" s="5">
        <f>IF(AND($A1048&gt;=DATE(2022,1,1),$A1048&lt;=DATE(2022,10,31)),$M1048,"")</f>
        <v/>
      </c>
      <c r="P1048" s="5">
        <f>IF(AND($A1048&gt;=DATE(2018,10,1),$A1048&lt;=DATE(2018,12,31)),$M1048,"")</f>
        <v/>
      </c>
      <c r="Q1048" s="5">
        <f>SUMPRODUCT(Exposures!$B$8:$K$8,B1048:K1048)</f>
        <v/>
      </c>
      <c r="R1048" s="5">
        <f>SUMPRODUCT(Exposures!$B$9:$K$9,B1048:K1048)</f>
        <v/>
      </c>
      <c r="S1048" s="5">
        <f>SUMPRODUCT(Exposures!$B$10:$K$10,B1048:K1048)</f>
        <v/>
      </c>
    </row>
    <row r="1049">
      <c r="A1049" s="1" t="n">
        <v>43980</v>
      </c>
      <c r="B1049" s="5" t="n">
        <v>-0.003676475240193555</v>
      </c>
      <c r="C1049" s="5" t="n">
        <v>-0.001212556446926998</v>
      </c>
      <c r="D1049" s="5" t="n">
        <v>-0.003251357409160868</v>
      </c>
      <c r="E1049" s="5" t="n">
        <v>-0.003657124945127529</v>
      </c>
      <c r="F1049" s="5" t="n">
        <v>0.002596573764720288</v>
      </c>
      <c r="G1049" s="5" t="n">
        <v>-0.002110899584942021</v>
      </c>
      <c r="H1049" s="5" t="n">
        <v>0.006882694223692467</v>
      </c>
      <c r="I1049" s="5" t="n">
        <v>0.0008016207550791835</v>
      </c>
      <c r="J1049" s="5" t="n">
        <v>-0.001834215124634569</v>
      </c>
      <c r="K1049" s="5" t="n">
        <v>0.000153531255111845</v>
      </c>
      <c r="L1049" s="5" t="n">
        <v>-0.002458617967000034</v>
      </c>
      <c r="M1049" s="5">
        <f>SUMPRODUCT(Exposures!$B$6:$K$6,B1049:K1049)</f>
        <v/>
      </c>
      <c r="N1049" s="5">
        <f>IF(AND($A1049&gt;=DATE(2020,2,1),$A1049&lt;=DATE(2020,5,31)),$M1049,"")</f>
        <v/>
      </c>
      <c r="O1049" s="5">
        <f>IF(AND($A1049&gt;=DATE(2022,1,1),$A1049&lt;=DATE(2022,10,31)),$M1049,"")</f>
        <v/>
      </c>
      <c r="P1049" s="5">
        <f>IF(AND($A1049&gt;=DATE(2018,10,1),$A1049&lt;=DATE(2018,12,31)),$M1049,"")</f>
        <v/>
      </c>
      <c r="Q1049" s="5">
        <f>SUMPRODUCT(Exposures!$B$8:$K$8,B1049:K1049)</f>
        <v/>
      </c>
      <c r="R1049" s="5">
        <f>SUMPRODUCT(Exposures!$B$9:$K$9,B1049:K1049)</f>
        <v/>
      </c>
      <c r="S1049" s="5">
        <f>SUMPRODUCT(Exposures!$B$10:$K$10,B1049:K1049)</f>
        <v/>
      </c>
    </row>
    <row r="1050">
      <c r="A1050" s="1" t="n">
        <v>43983</v>
      </c>
      <c r="B1050" s="5" t="n">
        <v>0.002223456871158239</v>
      </c>
      <c r="C1050" s="5" t="n">
        <v>-0.001731398172951885</v>
      </c>
      <c r="D1050" s="5" t="n">
        <v>0.001942064919206759</v>
      </c>
      <c r="E1050" s="5" t="n">
        <v>-0.0008959781115518571</v>
      </c>
      <c r="F1050" s="5" t="n">
        <v>0.002544501251536911</v>
      </c>
      <c r="G1050" s="5" t="n">
        <v>0.01357568886889229</v>
      </c>
      <c r="H1050" s="5" t="n">
        <v>-0.004765636021726978</v>
      </c>
      <c r="I1050" s="5" t="n">
        <v>-0.0007675924853842778</v>
      </c>
      <c r="J1050" s="5" t="n">
        <v>0.005496294329193472</v>
      </c>
      <c r="K1050" s="5" t="n">
        <v>-0.002824793020163426</v>
      </c>
      <c r="L1050" s="5" t="n">
        <v>0.002566511195367101</v>
      </c>
      <c r="M1050" s="5">
        <f>SUMPRODUCT(Exposures!$B$6:$K$6,B1050:K1050)</f>
        <v/>
      </c>
      <c r="N1050" s="5">
        <f>IF(AND($A1050&gt;=DATE(2020,2,1),$A1050&lt;=DATE(2020,5,31)),$M1050,"")</f>
        <v/>
      </c>
      <c r="O1050" s="5">
        <f>IF(AND($A1050&gt;=DATE(2022,1,1),$A1050&lt;=DATE(2022,10,31)),$M1050,"")</f>
        <v/>
      </c>
      <c r="P1050" s="5">
        <f>IF(AND($A1050&gt;=DATE(2018,10,1),$A1050&lt;=DATE(2018,12,31)),$M1050,"")</f>
        <v/>
      </c>
      <c r="Q1050" s="5">
        <f>SUMPRODUCT(Exposures!$B$8:$K$8,B1050:K1050)</f>
        <v/>
      </c>
      <c r="R1050" s="5">
        <f>SUMPRODUCT(Exposures!$B$9:$K$9,B1050:K1050)</f>
        <v/>
      </c>
      <c r="S1050" s="5">
        <f>SUMPRODUCT(Exposures!$B$10:$K$10,B1050:K1050)</f>
        <v/>
      </c>
    </row>
    <row r="1051">
      <c r="A1051" s="1" t="n">
        <v>43984</v>
      </c>
      <c r="B1051" s="5" t="n">
        <v>0.003936899166779826</v>
      </c>
      <c r="C1051" s="5" t="n">
        <v>0.003548196133549993</v>
      </c>
      <c r="D1051" s="5" t="n">
        <v>-0.004188691615103996</v>
      </c>
      <c r="E1051" s="5" t="n">
        <v>0.003115637711545765</v>
      </c>
      <c r="F1051" s="5" t="n">
        <v>-0.000600039171012911</v>
      </c>
      <c r="G1051" s="5" t="n">
        <v>0.01258635679995026</v>
      </c>
      <c r="H1051" s="5" t="n">
        <v>-8.300043522366848e-05</v>
      </c>
      <c r="I1051" s="5" t="n">
        <v>-0.001459409570164397</v>
      </c>
      <c r="J1051" s="5" t="n">
        <v>0.00687669322759792</v>
      </c>
      <c r="K1051" s="5" t="n">
        <v>0.00386010647261145</v>
      </c>
      <c r="L1051" s="5" t="n">
        <v>-0.0006965530551208048</v>
      </c>
      <c r="M1051" s="5">
        <f>SUMPRODUCT(Exposures!$B$6:$K$6,B1051:K1051)</f>
        <v/>
      </c>
      <c r="N1051" s="5">
        <f>IF(AND($A1051&gt;=DATE(2020,2,1),$A1051&lt;=DATE(2020,5,31)),$M1051,"")</f>
        <v/>
      </c>
      <c r="O1051" s="5">
        <f>IF(AND($A1051&gt;=DATE(2022,1,1),$A1051&lt;=DATE(2022,10,31)),$M1051,"")</f>
        <v/>
      </c>
      <c r="P1051" s="5">
        <f>IF(AND($A1051&gt;=DATE(2018,10,1),$A1051&lt;=DATE(2018,12,31)),$M1051,"")</f>
        <v/>
      </c>
      <c r="Q1051" s="5">
        <f>SUMPRODUCT(Exposures!$B$8:$K$8,B1051:K1051)</f>
        <v/>
      </c>
      <c r="R1051" s="5">
        <f>SUMPRODUCT(Exposures!$B$9:$K$9,B1051:K1051)</f>
        <v/>
      </c>
      <c r="S1051" s="5">
        <f>SUMPRODUCT(Exposures!$B$10:$K$10,B1051:K1051)</f>
        <v/>
      </c>
    </row>
    <row r="1052">
      <c r="A1052" s="1" t="n">
        <v>43985</v>
      </c>
      <c r="B1052" s="5" t="n">
        <v>0.01367115735887597</v>
      </c>
      <c r="C1052" s="5" t="n">
        <v>-0.0001995985877387696</v>
      </c>
      <c r="D1052" s="5" t="n">
        <v>-0.002111177879181494</v>
      </c>
      <c r="E1052" s="5" t="n">
        <v>-0.002241547933832882</v>
      </c>
      <c r="F1052" s="5" t="n">
        <v>0.006538310963273144</v>
      </c>
      <c r="G1052" s="5" t="n">
        <v>0.02946384613550235</v>
      </c>
      <c r="H1052" s="5" t="n">
        <v>-0.01768121118796752</v>
      </c>
      <c r="I1052" s="5" t="n">
        <v>0.004522443768437179</v>
      </c>
      <c r="J1052" s="5" t="n">
        <v>-0.005694706446964654</v>
      </c>
      <c r="K1052" s="5" t="n">
        <v>-0.01488056357995694</v>
      </c>
      <c r="L1052" s="5" t="n">
        <v>-0.0008972117020383057</v>
      </c>
      <c r="M1052" s="5">
        <f>SUMPRODUCT(Exposures!$B$6:$K$6,B1052:K1052)</f>
        <v/>
      </c>
      <c r="N1052" s="5">
        <f>IF(AND($A1052&gt;=DATE(2020,2,1),$A1052&lt;=DATE(2020,5,31)),$M1052,"")</f>
        <v/>
      </c>
      <c r="O1052" s="5">
        <f>IF(AND($A1052&gt;=DATE(2022,1,1),$A1052&lt;=DATE(2022,10,31)),$M1052,"")</f>
        <v/>
      </c>
      <c r="P1052" s="5">
        <f>IF(AND($A1052&gt;=DATE(2018,10,1),$A1052&lt;=DATE(2018,12,31)),$M1052,"")</f>
        <v/>
      </c>
      <c r="Q1052" s="5">
        <f>SUMPRODUCT(Exposures!$B$8:$K$8,B1052:K1052)</f>
        <v/>
      </c>
      <c r="R1052" s="5">
        <f>SUMPRODUCT(Exposures!$B$9:$K$9,B1052:K1052)</f>
        <v/>
      </c>
      <c r="S1052" s="5">
        <f>SUMPRODUCT(Exposures!$B$10:$K$10,B1052:K1052)</f>
        <v/>
      </c>
    </row>
    <row r="1053">
      <c r="A1053" s="1" t="n">
        <v>43986</v>
      </c>
      <c r="B1053" s="5" t="n">
        <v>0.003154344275621633</v>
      </c>
      <c r="C1053" s="5" t="n">
        <v>-0.009171245453958879</v>
      </c>
      <c r="D1053" s="5" t="n">
        <v>-0.001261663684527772</v>
      </c>
      <c r="E1053" s="5" t="n">
        <v>0.0005850725146678154</v>
      </c>
      <c r="F1053" s="5" t="n">
        <v>0.01828181871630042</v>
      </c>
      <c r="G1053" s="5" t="n">
        <v>0.007225317912573232</v>
      </c>
      <c r="H1053" s="5" t="n">
        <v>-0.01449365320655352</v>
      </c>
      <c r="I1053" s="5" t="n">
        <v>0.001988405939122509</v>
      </c>
      <c r="J1053" s="5" t="n">
        <v>0.006078765696189536</v>
      </c>
      <c r="K1053" s="5" t="n">
        <v>-0.01238297817615552</v>
      </c>
      <c r="L1053" s="5" t="n">
        <v>0.002159024669054867</v>
      </c>
      <c r="M1053" s="5">
        <f>SUMPRODUCT(Exposures!$B$6:$K$6,B1053:K1053)</f>
        <v/>
      </c>
      <c r="N1053" s="5">
        <f>IF(AND($A1053&gt;=DATE(2020,2,1),$A1053&lt;=DATE(2020,5,31)),$M1053,"")</f>
        <v/>
      </c>
      <c r="O1053" s="5">
        <f>IF(AND($A1053&gt;=DATE(2022,1,1),$A1053&lt;=DATE(2022,10,31)),$M1053,"")</f>
        <v/>
      </c>
      <c r="P1053" s="5">
        <f>IF(AND($A1053&gt;=DATE(2018,10,1),$A1053&lt;=DATE(2018,12,31)),$M1053,"")</f>
        <v/>
      </c>
      <c r="Q1053" s="5">
        <f>SUMPRODUCT(Exposures!$B$8:$K$8,B1053:K1053)</f>
        <v/>
      </c>
      <c r="R1053" s="5">
        <f>SUMPRODUCT(Exposures!$B$9:$K$9,B1053:K1053)</f>
        <v/>
      </c>
      <c r="S1053" s="5">
        <f>SUMPRODUCT(Exposures!$B$10:$K$10,B1053:K1053)</f>
        <v/>
      </c>
    </row>
    <row r="1054">
      <c r="A1054" s="1" t="n">
        <v>43987</v>
      </c>
      <c r="B1054" s="5" t="n">
        <v>0.0108461569144185</v>
      </c>
      <c r="C1054" s="5" t="n">
        <v>-0.0005260777357077823</v>
      </c>
      <c r="D1054" s="5" t="n">
        <v>0.00841775282009578</v>
      </c>
      <c r="E1054" s="5" t="n">
        <v>-0.001405549005505001</v>
      </c>
      <c r="F1054" s="5" t="n">
        <v>0.008179153671677809</v>
      </c>
      <c r="G1054" s="5" t="n">
        <v>0.02823752567256961</v>
      </c>
      <c r="H1054" s="5" t="n">
        <v>-0.01218950174037411</v>
      </c>
      <c r="I1054" s="5" t="n">
        <v>0.005287497513781449</v>
      </c>
      <c r="J1054" s="5" t="n">
        <v>-0.001529118031571958</v>
      </c>
      <c r="K1054" s="5" t="n">
        <v>-0.008891363991517281</v>
      </c>
      <c r="L1054" s="5" t="n">
        <v>0.001778696110771322</v>
      </c>
      <c r="M1054" s="5">
        <f>SUMPRODUCT(Exposures!$B$6:$K$6,B1054:K1054)</f>
        <v/>
      </c>
      <c r="N1054" s="5">
        <f>IF(AND($A1054&gt;=DATE(2020,2,1),$A1054&lt;=DATE(2020,5,31)),$M1054,"")</f>
        <v/>
      </c>
      <c r="O1054" s="5">
        <f>IF(AND($A1054&gt;=DATE(2022,1,1),$A1054&lt;=DATE(2022,10,31)),$M1054,"")</f>
        <v/>
      </c>
      <c r="P1054" s="5">
        <f>IF(AND($A1054&gt;=DATE(2018,10,1),$A1054&lt;=DATE(2018,12,31)),$M1054,"")</f>
        <v/>
      </c>
      <c r="Q1054" s="5">
        <f>SUMPRODUCT(Exposures!$B$8:$K$8,B1054:K1054)</f>
        <v/>
      </c>
      <c r="R1054" s="5">
        <f>SUMPRODUCT(Exposures!$B$9:$K$9,B1054:K1054)</f>
        <v/>
      </c>
      <c r="S1054" s="5">
        <f>SUMPRODUCT(Exposures!$B$10:$K$10,B1054:K1054)</f>
        <v/>
      </c>
    </row>
    <row r="1055">
      <c r="A1055" s="1" t="n">
        <v>43990</v>
      </c>
      <c r="B1055" s="5" t="n">
        <v>-0.001032388783357685</v>
      </c>
      <c r="C1055" s="5" t="n">
        <v>-0.007064613771894051</v>
      </c>
      <c r="D1055" s="5" t="n">
        <v>-0.005140668517738161</v>
      </c>
      <c r="E1055" s="5" t="n">
        <v>0.002872325834707329</v>
      </c>
      <c r="F1055" s="5" t="n">
        <v>0.01167439021703626</v>
      </c>
      <c r="G1055" s="5" t="n">
        <v>0.02452395497094905</v>
      </c>
      <c r="H1055" s="5" t="n">
        <v>-0.01365010167981564</v>
      </c>
      <c r="I1055" s="5" t="n">
        <v>-0.0001840712141149573</v>
      </c>
      <c r="J1055" s="5" t="n">
        <v>0.01109497202315083</v>
      </c>
      <c r="K1055" s="5" t="n">
        <v>-0.003245118309107118</v>
      </c>
      <c r="L1055" s="5" t="n">
        <v>0.0008374037256163761</v>
      </c>
      <c r="M1055" s="5">
        <f>SUMPRODUCT(Exposures!$B$6:$K$6,B1055:K1055)</f>
        <v/>
      </c>
      <c r="N1055" s="5">
        <f>IF(AND($A1055&gt;=DATE(2020,2,1),$A1055&lt;=DATE(2020,5,31)),$M1055,"")</f>
        <v/>
      </c>
      <c r="O1055" s="5">
        <f>IF(AND($A1055&gt;=DATE(2022,1,1),$A1055&lt;=DATE(2022,10,31)),$M1055,"")</f>
        <v/>
      </c>
      <c r="P1055" s="5">
        <f>IF(AND($A1055&gt;=DATE(2018,10,1),$A1055&lt;=DATE(2018,12,31)),$M1055,"")</f>
        <v/>
      </c>
      <c r="Q1055" s="5">
        <f>SUMPRODUCT(Exposures!$B$8:$K$8,B1055:K1055)</f>
        <v/>
      </c>
      <c r="R1055" s="5">
        <f>SUMPRODUCT(Exposures!$B$9:$K$9,B1055:K1055)</f>
        <v/>
      </c>
      <c r="S1055" s="5">
        <f>SUMPRODUCT(Exposures!$B$10:$K$10,B1055:K1055)</f>
        <v/>
      </c>
    </row>
    <row r="1056">
      <c r="A1056" s="1" t="n">
        <v>43991</v>
      </c>
      <c r="B1056" s="5" t="n">
        <v>-0.0001448123742250869</v>
      </c>
      <c r="C1056" s="5" t="n">
        <v>0.003680709471352705</v>
      </c>
      <c r="D1056" s="5" t="n">
        <v>0.005706828539541571</v>
      </c>
      <c r="E1056" s="5" t="n">
        <v>-0.003058946570722205</v>
      </c>
      <c r="F1056" s="5" t="n">
        <v>0.002606753413773978</v>
      </c>
      <c r="G1056" s="5" t="n">
        <v>-0.02048235978696044</v>
      </c>
      <c r="H1056" s="5" t="n">
        <v>0.01481011630578616</v>
      </c>
      <c r="I1056" s="5" t="n">
        <v>0.001799135044082677</v>
      </c>
      <c r="J1056" s="5" t="n">
        <v>-0.003727969557730147</v>
      </c>
      <c r="K1056" s="5" t="n">
        <v>-0.003950894914229964</v>
      </c>
      <c r="L1056" s="5" t="n">
        <v>-0.000270786928556839</v>
      </c>
      <c r="M1056" s="5">
        <f>SUMPRODUCT(Exposures!$B$6:$K$6,B1056:K1056)</f>
        <v/>
      </c>
      <c r="N1056" s="5">
        <f>IF(AND($A1056&gt;=DATE(2020,2,1),$A1056&lt;=DATE(2020,5,31)),$M1056,"")</f>
        <v/>
      </c>
      <c r="O1056" s="5">
        <f>IF(AND($A1056&gt;=DATE(2022,1,1),$A1056&lt;=DATE(2022,10,31)),$M1056,"")</f>
        <v/>
      </c>
      <c r="P1056" s="5">
        <f>IF(AND($A1056&gt;=DATE(2018,10,1),$A1056&lt;=DATE(2018,12,31)),$M1056,"")</f>
        <v/>
      </c>
      <c r="Q1056" s="5">
        <f>SUMPRODUCT(Exposures!$B$8:$K$8,B1056:K1056)</f>
        <v/>
      </c>
      <c r="R1056" s="5">
        <f>SUMPRODUCT(Exposures!$B$9:$K$9,B1056:K1056)</f>
        <v/>
      </c>
      <c r="S1056" s="5">
        <f>SUMPRODUCT(Exposures!$B$10:$K$10,B1056:K1056)</f>
        <v/>
      </c>
    </row>
    <row r="1057">
      <c r="A1057" s="1" t="n">
        <v>43992</v>
      </c>
      <c r="B1057" s="5" t="n">
        <v>-0.009308597821988196</v>
      </c>
      <c r="C1057" s="5" t="n">
        <v>0.0005061246584395634</v>
      </c>
      <c r="D1057" s="5" t="n">
        <v>0.002457137532821685</v>
      </c>
      <c r="E1057" s="5" t="n">
        <v>-0.001291123296612988</v>
      </c>
      <c r="F1057" s="5" t="n">
        <v>0.003353265260900984</v>
      </c>
      <c r="G1057" s="5" t="n">
        <v>-0.02329401394566878</v>
      </c>
      <c r="H1057" s="5" t="n">
        <v>0.01482346220910943</v>
      </c>
      <c r="I1057" s="5" t="n">
        <v>-0.0005135407995452679</v>
      </c>
      <c r="J1057" s="5" t="n">
        <v>-0.002412705492752355</v>
      </c>
      <c r="K1057" s="5" t="n">
        <v>-0.001135898043613134</v>
      </c>
      <c r="L1057" s="5" t="n">
        <v>-0.006346067482900747</v>
      </c>
      <c r="M1057" s="5">
        <f>SUMPRODUCT(Exposures!$B$6:$K$6,B1057:K1057)</f>
        <v/>
      </c>
      <c r="N1057" s="5">
        <f>IF(AND($A1057&gt;=DATE(2020,2,1),$A1057&lt;=DATE(2020,5,31)),$M1057,"")</f>
        <v/>
      </c>
      <c r="O1057" s="5">
        <f>IF(AND($A1057&gt;=DATE(2022,1,1),$A1057&lt;=DATE(2022,10,31)),$M1057,"")</f>
        <v/>
      </c>
      <c r="P1057" s="5">
        <f>IF(AND($A1057&gt;=DATE(2018,10,1),$A1057&lt;=DATE(2018,12,31)),$M1057,"")</f>
        <v/>
      </c>
      <c r="Q1057" s="5">
        <f>SUMPRODUCT(Exposures!$B$8:$K$8,B1057:K1057)</f>
        <v/>
      </c>
      <c r="R1057" s="5">
        <f>SUMPRODUCT(Exposures!$B$9:$K$9,B1057:K1057)</f>
        <v/>
      </c>
      <c r="S1057" s="5">
        <f>SUMPRODUCT(Exposures!$B$10:$K$10,B1057:K1057)</f>
        <v/>
      </c>
    </row>
    <row r="1058">
      <c r="A1058" s="1" t="n">
        <v>43993</v>
      </c>
      <c r="B1058" s="5" t="n">
        <v>-0.01879395373782916</v>
      </c>
      <c r="C1058" s="5" t="n">
        <v>0.001158132716385541</v>
      </c>
      <c r="D1058" s="5" t="n">
        <v>-0.005021368308323002</v>
      </c>
      <c r="E1058" s="5" t="n">
        <v>-0.0002329190165359907</v>
      </c>
      <c r="F1058" s="5" t="n">
        <v>-0.003084296505822837</v>
      </c>
      <c r="G1058" s="5" t="n">
        <v>-0.07409819958681077</v>
      </c>
      <c r="H1058" s="5" t="n">
        <v>0.01065760868386698</v>
      </c>
      <c r="I1058" s="5" t="n">
        <v>-0.003725571644114743</v>
      </c>
      <c r="J1058" s="5" t="n">
        <v>-0.009754945578469138</v>
      </c>
      <c r="K1058" s="5" t="n">
        <v>0.001232030605993107</v>
      </c>
      <c r="L1058" s="5" t="n">
        <v>0.0001854032630424413</v>
      </c>
      <c r="M1058" s="5">
        <f>SUMPRODUCT(Exposures!$B$6:$K$6,B1058:K1058)</f>
        <v/>
      </c>
      <c r="N1058" s="5">
        <f>IF(AND($A1058&gt;=DATE(2020,2,1),$A1058&lt;=DATE(2020,5,31)),$M1058,"")</f>
        <v/>
      </c>
      <c r="O1058" s="5">
        <f>IF(AND($A1058&gt;=DATE(2022,1,1),$A1058&lt;=DATE(2022,10,31)),$M1058,"")</f>
        <v/>
      </c>
      <c r="P1058" s="5">
        <f>IF(AND($A1058&gt;=DATE(2018,10,1),$A1058&lt;=DATE(2018,12,31)),$M1058,"")</f>
        <v/>
      </c>
      <c r="Q1058" s="5">
        <f>SUMPRODUCT(Exposures!$B$8:$K$8,B1058:K1058)</f>
        <v/>
      </c>
      <c r="R1058" s="5">
        <f>SUMPRODUCT(Exposures!$B$9:$K$9,B1058:K1058)</f>
        <v/>
      </c>
      <c r="S1058" s="5">
        <f>SUMPRODUCT(Exposures!$B$10:$K$10,B1058:K1058)</f>
        <v/>
      </c>
    </row>
    <row r="1059">
      <c r="A1059" s="1" t="n">
        <v>43994</v>
      </c>
      <c r="B1059" s="5" t="n">
        <v>0.01443131780603593</v>
      </c>
      <c r="C1059" s="5" t="n">
        <v>-0.001701027360348044</v>
      </c>
      <c r="D1059" s="5" t="n">
        <v>-0.00217362418666145</v>
      </c>
      <c r="E1059" s="5" t="n">
        <v>-0.001539261189136006</v>
      </c>
      <c r="F1059" s="5" t="n">
        <v>0.002093194528890688</v>
      </c>
      <c r="G1059" s="5" t="n">
        <v>0.02846893279919865</v>
      </c>
      <c r="H1059" s="5" t="n">
        <v>-0.01102570757023095</v>
      </c>
      <c r="I1059" s="5" t="n">
        <v>0.0003935993660595253</v>
      </c>
      <c r="J1059" s="5" t="n">
        <v>0.009710249269423469</v>
      </c>
      <c r="K1059" s="5" t="n">
        <v>0.004086449352168878</v>
      </c>
      <c r="L1059" s="5" t="n">
        <v>0.0006698818027172744</v>
      </c>
      <c r="M1059" s="5">
        <f>SUMPRODUCT(Exposures!$B$6:$K$6,B1059:K1059)</f>
        <v/>
      </c>
      <c r="N1059" s="5">
        <f>IF(AND($A1059&gt;=DATE(2020,2,1),$A1059&lt;=DATE(2020,5,31)),$M1059,"")</f>
        <v/>
      </c>
      <c r="O1059" s="5">
        <f>IF(AND($A1059&gt;=DATE(2022,1,1),$A1059&lt;=DATE(2022,10,31)),$M1059,"")</f>
        <v/>
      </c>
      <c r="P1059" s="5">
        <f>IF(AND($A1059&gt;=DATE(2018,10,1),$A1059&lt;=DATE(2018,12,31)),$M1059,"")</f>
        <v/>
      </c>
      <c r="Q1059" s="5">
        <f>SUMPRODUCT(Exposures!$B$8:$K$8,B1059:K1059)</f>
        <v/>
      </c>
      <c r="R1059" s="5">
        <f>SUMPRODUCT(Exposures!$B$9:$K$9,B1059:K1059)</f>
        <v/>
      </c>
      <c r="S1059" s="5">
        <f>SUMPRODUCT(Exposures!$B$10:$K$10,B1059:K1059)</f>
        <v/>
      </c>
    </row>
    <row r="1060">
      <c r="A1060" s="1" t="n">
        <v>43997</v>
      </c>
      <c r="B1060" s="5" t="n">
        <v>0.004085415356221228</v>
      </c>
      <c r="C1060" s="5" t="n">
        <v>0.0009908648277671646</v>
      </c>
      <c r="D1060" s="5" t="n">
        <v>-0.0008050875658146936</v>
      </c>
      <c r="E1060" s="5" t="n">
        <v>0.0001751578470740684</v>
      </c>
      <c r="F1060" s="5" t="n">
        <v>-0.003102743257341381</v>
      </c>
      <c r="G1060" s="5" t="n">
        <v>0.011394038914769</v>
      </c>
      <c r="H1060" s="5" t="n">
        <v>0.004981524572876996</v>
      </c>
      <c r="I1060" s="5" t="n">
        <v>-0.002582175542014605</v>
      </c>
      <c r="J1060" s="5" t="n">
        <v>0.00352160814456602</v>
      </c>
      <c r="K1060" s="5" t="n">
        <v>0.001000464997215309</v>
      </c>
      <c r="L1060" s="5" t="n">
        <v>-0.003116860260386668</v>
      </c>
      <c r="M1060" s="5">
        <f>SUMPRODUCT(Exposures!$B$6:$K$6,B1060:K1060)</f>
        <v/>
      </c>
      <c r="N1060" s="5">
        <f>IF(AND($A1060&gt;=DATE(2020,2,1),$A1060&lt;=DATE(2020,5,31)),$M1060,"")</f>
        <v/>
      </c>
      <c r="O1060" s="5">
        <f>IF(AND($A1060&gt;=DATE(2022,1,1),$A1060&lt;=DATE(2022,10,31)),$M1060,"")</f>
        <v/>
      </c>
      <c r="P1060" s="5">
        <f>IF(AND($A1060&gt;=DATE(2018,10,1),$A1060&lt;=DATE(2018,12,31)),$M1060,"")</f>
        <v/>
      </c>
      <c r="Q1060" s="5">
        <f>SUMPRODUCT(Exposures!$B$8:$K$8,B1060:K1060)</f>
        <v/>
      </c>
      <c r="R1060" s="5">
        <f>SUMPRODUCT(Exposures!$B$9:$K$9,B1060:K1060)</f>
        <v/>
      </c>
      <c r="S1060" s="5">
        <f>SUMPRODUCT(Exposures!$B$10:$K$10,B1060:K1060)</f>
        <v/>
      </c>
    </row>
    <row r="1061">
      <c r="A1061" s="1" t="n">
        <v>43998</v>
      </c>
      <c r="B1061" s="5" t="n">
        <v>0.004498491084094687</v>
      </c>
      <c r="C1061" s="5" t="n">
        <v>0.00370020759360816</v>
      </c>
      <c r="D1061" s="5" t="n">
        <v>-0.006945535057193332</v>
      </c>
      <c r="E1061" s="5" t="n">
        <v>0.0005179322299192406</v>
      </c>
      <c r="F1061" s="5" t="n">
        <v>-0.001035586961528243</v>
      </c>
      <c r="G1061" s="5" t="n">
        <v>0.02062220775119323</v>
      </c>
      <c r="H1061" s="5" t="n">
        <v>-0.001946683374507135</v>
      </c>
      <c r="I1061" s="5" t="n">
        <v>0.003635265212149333</v>
      </c>
      <c r="J1061" s="5" t="n">
        <v>0.002177381901693419</v>
      </c>
      <c r="K1061" s="5" t="n">
        <v>-0.0003041777352451886</v>
      </c>
      <c r="L1061" s="5" t="n">
        <v>-0.002399350941591719</v>
      </c>
      <c r="M1061" s="5">
        <f>SUMPRODUCT(Exposures!$B$6:$K$6,B1061:K1061)</f>
        <v/>
      </c>
      <c r="N1061" s="5">
        <f>IF(AND($A1061&gt;=DATE(2020,2,1),$A1061&lt;=DATE(2020,5,31)),$M1061,"")</f>
        <v/>
      </c>
      <c r="O1061" s="5">
        <f>IF(AND($A1061&gt;=DATE(2022,1,1),$A1061&lt;=DATE(2022,10,31)),$M1061,"")</f>
        <v/>
      </c>
      <c r="P1061" s="5">
        <f>IF(AND($A1061&gt;=DATE(2018,10,1),$A1061&lt;=DATE(2018,12,31)),$M1061,"")</f>
        <v/>
      </c>
      <c r="Q1061" s="5">
        <f>SUMPRODUCT(Exposures!$B$8:$K$8,B1061:K1061)</f>
        <v/>
      </c>
      <c r="R1061" s="5">
        <f>SUMPRODUCT(Exposures!$B$9:$K$9,B1061:K1061)</f>
        <v/>
      </c>
      <c r="S1061" s="5">
        <f>SUMPRODUCT(Exposures!$B$10:$K$10,B1061:K1061)</f>
        <v/>
      </c>
    </row>
    <row r="1062">
      <c r="A1062" s="1" t="n">
        <v>43999</v>
      </c>
      <c r="B1062" s="5" t="n">
        <v>-0.004153450706491957</v>
      </c>
      <c r="C1062" s="5" t="n">
        <v>-0.001315046226637166</v>
      </c>
      <c r="D1062" s="5" t="n">
        <v>-0.004932801532826296</v>
      </c>
      <c r="E1062" s="5" t="n">
        <v>-0.002744568071899135</v>
      </c>
      <c r="F1062" s="5" t="n">
        <v>0.003627230338760091</v>
      </c>
      <c r="G1062" s="5" t="n">
        <v>-0.01096224311550381</v>
      </c>
      <c r="H1062" s="5" t="n">
        <v>0.005839332748029652</v>
      </c>
      <c r="I1062" s="5" t="n">
        <v>-0.004223962372406956</v>
      </c>
      <c r="J1062" s="5" t="n">
        <v>-0.00193788995286825</v>
      </c>
      <c r="K1062" s="5" t="n">
        <v>0.001097506501608731</v>
      </c>
      <c r="L1062" s="5" t="n">
        <v>-0.0003119449695626741</v>
      </c>
      <c r="M1062" s="5">
        <f>SUMPRODUCT(Exposures!$B$6:$K$6,B1062:K1062)</f>
        <v/>
      </c>
      <c r="N1062" s="5">
        <f>IF(AND($A1062&gt;=DATE(2020,2,1),$A1062&lt;=DATE(2020,5,31)),$M1062,"")</f>
        <v/>
      </c>
      <c r="O1062" s="5">
        <f>IF(AND($A1062&gt;=DATE(2022,1,1),$A1062&lt;=DATE(2022,10,31)),$M1062,"")</f>
        <v/>
      </c>
      <c r="P1062" s="5">
        <f>IF(AND($A1062&gt;=DATE(2018,10,1),$A1062&lt;=DATE(2018,12,31)),$M1062,"")</f>
        <v/>
      </c>
      <c r="Q1062" s="5">
        <f>SUMPRODUCT(Exposures!$B$8:$K$8,B1062:K1062)</f>
        <v/>
      </c>
      <c r="R1062" s="5">
        <f>SUMPRODUCT(Exposures!$B$9:$K$9,B1062:K1062)</f>
        <v/>
      </c>
      <c r="S1062" s="5">
        <f>SUMPRODUCT(Exposures!$B$10:$K$10,B1062:K1062)</f>
        <v/>
      </c>
    </row>
    <row r="1063">
      <c r="A1063" s="1" t="n">
        <v>44000</v>
      </c>
      <c r="B1063" s="5" t="n">
        <v>-0.001041499506747564</v>
      </c>
      <c r="C1063" s="5" t="n">
        <v>-0.0003335976521308001</v>
      </c>
      <c r="D1063" s="5" t="n">
        <v>0.0006986960796719256</v>
      </c>
      <c r="E1063" s="5" t="n">
        <v>-0.0001611170455012074</v>
      </c>
      <c r="F1063" s="5" t="n">
        <v>-0.003175714596232989</v>
      </c>
      <c r="G1063" s="5" t="n">
        <v>-0.00131394533170419</v>
      </c>
      <c r="H1063" s="5" t="n">
        <v>0.002273370427059938</v>
      </c>
      <c r="I1063" s="5" t="n">
        <v>-0.001012265043374423</v>
      </c>
      <c r="J1063" s="5" t="n">
        <v>0.003377307621582944</v>
      </c>
      <c r="K1063" s="5" t="n">
        <v>0.004932394583945831</v>
      </c>
      <c r="L1063" s="5" t="n">
        <v>0.0006936391664881333</v>
      </c>
      <c r="M1063" s="5">
        <f>SUMPRODUCT(Exposures!$B$6:$K$6,B1063:K1063)</f>
        <v/>
      </c>
      <c r="N1063" s="5">
        <f>IF(AND($A1063&gt;=DATE(2020,2,1),$A1063&lt;=DATE(2020,5,31)),$M1063,"")</f>
        <v/>
      </c>
      <c r="O1063" s="5">
        <f>IF(AND($A1063&gt;=DATE(2022,1,1),$A1063&lt;=DATE(2022,10,31)),$M1063,"")</f>
        <v/>
      </c>
      <c r="P1063" s="5">
        <f>IF(AND($A1063&gt;=DATE(2018,10,1),$A1063&lt;=DATE(2018,12,31)),$M1063,"")</f>
        <v/>
      </c>
      <c r="Q1063" s="5">
        <f>SUMPRODUCT(Exposures!$B$8:$K$8,B1063:K1063)</f>
        <v/>
      </c>
      <c r="R1063" s="5">
        <f>SUMPRODUCT(Exposures!$B$9:$K$9,B1063:K1063)</f>
        <v/>
      </c>
      <c r="S1063" s="5">
        <f>SUMPRODUCT(Exposures!$B$10:$K$10,B1063:K1063)</f>
        <v/>
      </c>
    </row>
    <row r="1064">
      <c r="A1064" s="1" t="n">
        <v>44001</v>
      </c>
      <c r="B1064" s="5" t="n">
        <v>-0.004009402517661591</v>
      </c>
      <c r="C1064" s="5" t="n">
        <v>-0.003177578575748633</v>
      </c>
      <c r="D1064" s="5" t="n">
        <v>0.004976436507066645</v>
      </c>
      <c r="E1064" s="5" t="n">
        <v>0.0001616276170777279</v>
      </c>
      <c r="F1064" s="5" t="n">
        <v>-0.01431078752833333</v>
      </c>
      <c r="G1064" s="5" t="n">
        <v>-0.006140711940030575</v>
      </c>
      <c r="H1064" s="5" t="n">
        <v>0.0111109750449454</v>
      </c>
      <c r="I1064" s="5" t="n">
        <v>-0.001457759416559277</v>
      </c>
      <c r="J1064" s="5" t="n">
        <v>0.009839053790092752</v>
      </c>
      <c r="K1064" s="5" t="n">
        <v>0.02089249206289377</v>
      </c>
      <c r="L1064" s="5" t="n">
        <v>0.002700243828850136</v>
      </c>
      <c r="M1064" s="5">
        <f>SUMPRODUCT(Exposures!$B$6:$K$6,B1064:K1064)</f>
        <v/>
      </c>
      <c r="N1064" s="5">
        <f>IF(AND($A1064&gt;=DATE(2020,2,1),$A1064&lt;=DATE(2020,5,31)),$M1064,"")</f>
        <v/>
      </c>
      <c r="O1064" s="5">
        <f>IF(AND($A1064&gt;=DATE(2022,1,1),$A1064&lt;=DATE(2022,10,31)),$M1064,"")</f>
        <v/>
      </c>
      <c r="P1064" s="5">
        <f>IF(AND($A1064&gt;=DATE(2018,10,1),$A1064&lt;=DATE(2018,12,31)),$M1064,"")</f>
        <v/>
      </c>
      <c r="Q1064" s="5">
        <f>SUMPRODUCT(Exposures!$B$8:$K$8,B1064:K1064)</f>
        <v/>
      </c>
      <c r="R1064" s="5">
        <f>SUMPRODUCT(Exposures!$B$9:$K$9,B1064:K1064)</f>
        <v/>
      </c>
      <c r="S1064" s="5">
        <f>SUMPRODUCT(Exposures!$B$10:$K$10,B1064:K1064)</f>
        <v/>
      </c>
    </row>
    <row r="1065">
      <c r="A1065" s="1" t="n">
        <v>44004</v>
      </c>
      <c r="B1065" s="5" t="n">
        <v>-0.002264282244489756</v>
      </c>
      <c r="C1065" s="5" t="n">
        <v>0.002034921862832763</v>
      </c>
      <c r="D1065" s="5" t="n">
        <v>-0.007342832845367874</v>
      </c>
      <c r="E1065" s="5" t="n">
        <v>-0.002130623438790385</v>
      </c>
      <c r="F1065" s="5" t="n">
        <v>-0.0003687226508080536</v>
      </c>
      <c r="G1065" s="5" t="n">
        <v>0.00407733476912668</v>
      </c>
      <c r="H1065" s="5" t="n">
        <v>0.002586299660697278</v>
      </c>
      <c r="I1065" s="5" t="n">
        <v>-0.002329549870999075</v>
      </c>
      <c r="J1065" s="5" t="n">
        <v>0.001720093580953181</v>
      </c>
      <c r="K1065" s="5" t="n">
        <v>-0.0007780941543418635</v>
      </c>
      <c r="L1065" s="5" t="n">
        <v>0.001886070525694569</v>
      </c>
      <c r="M1065" s="5">
        <f>SUMPRODUCT(Exposures!$B$6:$K$6,B1065:K1065)</f>
        <v/>
      </c>
      <c r="N1065" s="5">
        <f>IF(AND($A1065&gt;=DATE(2020,2,1),$A1065&lt;=DATE(2020,5,31)),$M1065,"")</f>
        <v/>
      </c>
      <c r="O1065" s="5">
        <f>IF(AND($A1065&gt;=DATE(2022,1,1),$A1065&lt;=DATE(2022,10,31)),$M1065,"")</f>
        <v/>
      </c>
      <c r="P1065" s="5">
        <f>IF(AND($A1065&gt;=DATE(2018,10,1),$A1065&lt;=DATE(2018,12,31)),$M1065,"")</f>
        <v/>
      </c>
      <c r="Q1065" s="5">
        <f>SUMPRODUCT(Exposures!$B$8:$K$8,B1065:K1065)</f>
        <v/>
      </c>
      <c r="R1065" s="5">
        <f>SUMPRODUCT(Exposures!$B$9:$K$9,B1065:K1065)</f>
        <v/>
      </c>
      <c r="S1065" s="5">
        <f>SUMPRODUCT(Exposures!$B$10:$K$10,B1065:K1065)</f>
        <v/>
      </c>
    </row>
    <row r="1066">
      <c r="A1066" s="1" t="n">
        <v>44005</v>
      </c>
      <c r="B1066" s="5" t="n">
        <v>0.0008415799339469162</v>
      </c>
      <c r="C1066" s="5" t="n">
        <v>0.001036401246755312</v>
      </c>
      <c r="D1066" s="5" t="n">
        <v>0.0008408804722398447</v>
      </c>
      <c r="E1066" s="5" t="n">
        <v>0.001510874398535688</v>
      </c>
      <c r="F1066" s="5" t="n">
        <v>0.009821094710946348</v>
      </c>
      <c r="G1066" s="5" t="n">
        <v>0.001409224158586267</v>
      </c>
      <c r="H1066" s="5" t="n">
        <v>-0.001922444706091488</v>
      </c>
      <c r="I1066" s="5" t="n">
        <v>0.004012135483976173</v>
      </c>
      <c r="J1066" s="5" t="n">
        <v>0.001056790572471915</v>
      </c>
      <c r="K1066" s="5" t="n">
        <v>-0.008123928287533133</v>
      </c>
      <c r="L1066" s="5" t="n">
        <v>-0.0004928402534118255</v>
      </c>
      <c r="M1066" s="5">
        <f>SUMPRODUCT(Exposures!$B$6:$K$6,B1066:K1066)</f>
        <v/>
      </c>
      <c r="N1066" s="5">
        <f>IF(AND($A1066&gt;=DATE(2020,2,1),$A1066&lt;=DATE(2020,5,31)),$M1066,"")</f>
        <v/>
      </c>
      <c r="O1066" s="5">
        <f>IF(AND($A1066&gt;=DATE(2022,1,1),$A1066&lt;=DATE(2022,10,31)),$M1066,"")</f>
        <v/>
      </c>
      <c r="P1066" s="5">
        <f>IF(AND($A1066&gt;=DATE(2018,10,1),$A1066&lt;=DATE(2018,12,31)),$M1066,"")</f>
        <v/>
      </c>
      <c r="Q1066" s="5">
        <f>SUMPRODUCT(Exposures!$B$8:$K$8,B1066:K1066)</f>
        <v/>
      </c>
      <c r="R1066" s="5">
        <f>SUMPRODUCT(Exposures!$B$9:$K$9,B1066:K1066)</f>
        <v/>
      </c>
      <c r="S1066" s="5">
        <f>SUMPRODUCT(Exposures!$B$10:$K$10,B1066:K1066)</f>
        <v/>
      </c>
    </row>
    <row r="1067">
      <c r="A1067" s="1" t="n">
        <v>44006</v>
      </c>
      <c r="B1067" s="5" t="n">
        <v>-0.0109251312993496</v>
      </c>
      <c r="C1067" s="5" t="n">
        <v>0.0008107516332743971</v>
      </c>
      <c r="D1067" s="5" t="n">
        <v>-0.004766844619493233</v>
      </c>
      <c r="E1067" s="5" t="n">
        <v>-0.001210196754570351</v>
      </c>
      <c r="F1067" s="5" t="n">
        <v>-0.0004353239644229196</v>
      </c>
      <c r="G1067" s="5" t="n">
        <v>-0.03498827498349193</v>
      </c>
      <c r="H1067" s="5" t="n">
        <v>0.004508656482971982</v>
      </c>
      <c r="I1067" s="5" t="n">
        <v>-0.0004740177944100492</v>
      </c>
      <c r="J1067" s="5" t="n">
        <v>-0.006017669863877507</v>
      </c>
      <c r="K1067" s="5" t="n">
        <v>-0.0009809290185926484</v>
      </c>
      <c r="L1067" s="5" t="n">
        <v>-0.001239328596329889</v>
      </c>
      <c r="M1067" s="5">
        <f>SUMPRODUCT(Exposures!$B$6:$K$6,B1067:K1067)</f>
        <v/>
      </c>
      <c r="N1067" s="5">
        <f>IF(AND($A1067&gt;=DATE(2020,2,1),$A1067&lt;=DATE(2020,5,31)),$M1067,"")</f>
        <v/>
      </c>
      <c r="O1067" s="5">
        <f>IF(AND($A1067&gt;=DATE(2022,1,1),$A1067&lt;=DATE(2022,10,31)),$M1067,"")</f>
        <v/>
      </c>
      <c r="P1067" s="5">
        <f>IF(AND($A1067&gt;=DATE(2018,10,1),$A1067&lt;=DATE(2018,12,31)),$M1067,"")</f>
        <v/>
      </c>
      <c r="Q1067" s="5">
        <f>SUMPRODUCT(Exposures!$B$8:$K$8,B1067:K1067)</f>
        <v/>
      </c>
      <c r="R1067" s="5">
        <f>SUMPRODUCT(Exposures!$B$9:$K$9,B1067:K1067)</f>
        <v/>
      </c>
      <c r="S1067" s="5">
        <f>SUMPRODUCT(Exposures!$B$10:$K$10,B1067:K1067)</f>
        <v/>
      </c>
    </row>
    <row r="1068">
      <c r="A1068" s="1" t="n">
        <v>44007</v>
      </c>
      <c r="B1068" s="5" t="n">
        <v>0.005966444367776819</v>
      </c>
      <c r="C1068" s="5" t="n">
        <v>-0.002590718428720649</v>
      </c>
      <c r="D1068" s="5" t="n">
        <v>0.00583619612304481</v>
      </c>
      <c r="E1068" s="5" t="n">
        <v>0.003665605342582462</v>
      </c>
      <c r="F1068" s="5" t="n">
        <v>-0.009457955336498016</v>
      </c>
      <c r="G1068" s="5" t="n">
        <v>0.01229605759947186</v>
      </c>
      <c r="H1068" s="5" t="n">
        <v>0.0008182661169856551</v>
      </c>
      <c r="I1068" s="5" t="n">
        <v>0.000132471984877647</v>
      </c>
      <c r="J1068" s="5" t="n">
        <v>-0.002358983318140563</v>
      </c>
      <c r="K1068" s="5" t="n">
        <v>0.008621004531929471</v>
      </c>
      <c r="L1068" s="5" t="n">
        <v>0.005826438927101992</v>
      </c>
      <c r="M1068" s="5">
        <f>SUMPRODUCT(Exposures!$B$6:$K$6,B1068:K1068)</f>
        <v/>
      </c>
      <c r="N1068" s="5">
        <f>IF(AND($A1068&gt;=DATE(2020,2,1),$A1068&lt;=DATE(2020,5,31)),$M1068,"")</f>
        <v/>
      </c>
      <c r="O1068" s="5">
        <f>IF(AND($A1068&gt;=DATE(2022,1,1),$A1068&lt;=DATE(2022,10,31)),$M1068,"")</f>
        <v/>
      </c>
      <c r="P1068" s="5">
        <f>IF(AND($A1068&gt;=DATE(2018,10,1),$A1068&lt;=DATE(2018,12,31)),$M1068,"")</f>
        <v/>
      </c>
      <c r="Q1068" s="5">
        <f>SUMPRODUCT(Exposures!$B$8:$K$8,B1068:K1068)</f>
        <v/>
      </c>
      <c r="R1068" s="5">
        <f>SUMPRODUCT(Exposures!$B$9:$K$9,B1068:K1068)</f>
        <v/>
      </c>
      <c r="S1068" s="5">
        <f>SUMPRODUCT(Exposures!$B$10:$K$10,B1068:K1068)</f>
        <v/>
      </c>
    </row>
    <row r="1069">
      <c r="A1069" s="1" t="n">
        <v>44008</v>
      </c>
      <c r="B1069" s="5" t="n">
        <v>-0.004276942244764272</v>
      </c>
      <c r="C1069" s="5" t="n">
        <v>8.67852626584213e-06</v>
      </c>
      <c r="D1069" s="5" t="n">
        <v>0.000527178940013486</v>
      </c>
      <c r="E1069" s="5" t="n">
        <v>-0.005247015177060653</v>
      </c>
      <c r="F1069" s="5" t="n">
        <v>-3.423636338640386e-05</v>
      </c>
      <c r="G1069" s="5" t="n">
        <v>-0.02358604351333505</v>
      </c>
      <c r="H1069" s="5" t="n">
        <v>0.001991324545566255</v>
      </c>
      <c r="I1069" s="5" t="n">
        <v>0.002886141031784733</v>
      </c>
      <c r="J1069" s="5" t="n">
        <v>-0.005613985272632026</v>
      </c>
      <c r="K1069" s="5" t="n">
        <v>-0.00782501683950295</v>
      </c>
      <c r="L1069" s="5" t="n">
        <v>-0.008872910710642791</v>
      </c>
      <c r="M1069" s="5">
        <f>SUMPRODUCT(Exposures!$B$6:$K$6,B1069:K1069)</f>
        <v/>
      </c>
      <c r="N1069" s="5">
        <f>IF(AND($A1069&gt;=DATE(2020,2,1),$A1069&lt;=DATE(2020,5,31)),$M1069,"")</f>
        <v/>
      </c>
      <c r="O1069" s="5">
        <f>IF(AND($A1069&gt;=DATE(2022,1,1),$A1069&lt;=DATE(2022,10,31)),$M1069,"")</f>
        <v/>
      </c>
      <c r="P1069" s="5">
        <f>IF(AND($A1069&gt;=DATE(2018,10,1),$A1069&lt;=DATE(2018,12,31)),$M1069,"")</f>
        <v/>
      </c>
      <c r="Q1069" s="5">
        <f>SUMPRODUCT(Exposures!$B$8:$K$8,B1069:K1069)</f>
        <v/>
      </c>
      <c r="R1069" s="5">
        <f>SUMPRODUCT(Exposures!$B$9:$K$9,B1069:K1069)</f>
        <v/>
      </c>
      <c r="S1069" s="5">
        <f>SUMPRODUCT(Exposures!$B$10:$K$10,B1069:K1069)</f>
        <v/>
      </c>
    </row>
    <row r="1070">
      <c r="A1070" s="1" t="n">
        <v>44011</v>
      </c>
      <c r="B1070" s="5" t="n">
        <v>0.006814427115573291</v>
      </c>
      <c r="C1070" s="5" t="n">
        <v>0.00107304541235808</v>
      </c>
      <c r="D1070" s="5" t="n">
        <v>0.002209918615845727</v>
      </c>
      <c r="E1070" s="5" t="n">
        <v>-0.00239779249131514</v>
      </c>
      <c r="F1070" s="5" t="n">
        <v>0.01222790429845027</v>
      </c>
      <c r="G1070" s="5" t="n">
        <v>0.02511253927680402</v>
      </c>
      <c r="H1070" s="5" t="n">
        <v>-0.01101500264894554</v>
      </c>
      <c r="I1070" s="5" t="n">
        <v>0.000815707329873809</v>
      </c>
      <c r="J1070" s="5" t="n">
        <v>0.004550784924714962</v>
      </c>
      <c r="K1070" s="5" t="n">
        <v>-0.01298703171179115</v>
      </c>
      <c r="L1070" s="5" t="n">
        <v>-0.004781588053207313</v>
      </c>
      <c r="M1070" s="5">
        <f>SUMPRODUCT(Exposures!$B$6:$K$6,B1070:K1070)</f>
        <v/>
      </c>
      <c r="N1070" s="5">
        <f>IF(AND($A1070&gt;=DATE(2020,2,1),$A1070&lt;=DATE(2020,5,31)),$M1070,"")</f>
        <v/>
      </c>
      <c r="O1070" s="5">
        <f>IF(AND($A1070&gt;=DATE(2022,1,1),$A1070&lt;=DATE(2022,10,31)),$M1070,"")</f>
        <v/>
      </c>
      <c r="P1070" s="5">
        <f>IF(AND($A1070&gt;=DATE(2018,10,1),$A1070&lt;=DATE(2018,12,31)),$M1070,"")</f>
        <v/>
      </c>
      <c r="Q1070" s="5">
        <f>SUMPRODUCT(Exposures!$B$8:$K$8,B1070:K1070)</f>
        <v/>
      </c>
      <c r="R1070" s="5">
        <f>SUMPRODUCT(Exposures!$B$9:$K$9,B1070:K1070)</f>
        <v/>
      </c>
      <c r="S1070" s="5">
        <f>SUMPRODUCT(Exposures!$B$10:$K$10,B1070:K1070)</f>
        <v/>
      </c>
    </row>
    <row r="1071">
      <c r="A1071" s="1" t="n">
        <v>44012</v>
      </c>
      <c r="B1071" s="5" t="n">
        <v>0.002649209834753389</v>
      </c>
      <c r="C1071" s="5" t="n">
        <v>-0.001318762345192185</v>
      </c>
      <c r="D1071" s="5" t="n">
        <v>-0.003671352076934315</v>
      </c>
      <c r="E1071" s="5" t="n">
        <v>0.001042491485150878</v>
      </c>
      <c r="F1071" s="5" t="n">
        <v>-0.004922444311320977</v>
      </c>
      <c r="G1071" s="5" t="n">
        <v>0.01215589640591164</v>
      </c>
      <c r="H1071" s="5" t="n">
        <v>0.007321898036043321</v>
      </c>
      <c r="I1071" s="5" t="n">
        <v>-0.001068619718205185</v>
      </c>
      <c r="J1071" s="5" t="n">
        <v>-0.006531081501617415</v>
      </c>
      <c r="K1071" s="5" t="n">
        <v>0.0006102470955577776</v>
      </c>
      <c r="L1071" s="5" t="n">
        <v>0.003201844037970069</v>
      </c>
      <c r="M1071" s="5">
        <f>SUMPRODUCT(Exposures!$B$6:$K$6,B1071:K1071)</f>
        <v/>
      </c>
      <c r="N1071" s="5">
        <f>IF(AND($A1071&gt;=DATE(2020,2,1),$A1071&lt;=DATE(2020,5,31)),$M1071,"")</f>
        <v/>
      </c>
      <c r="O1071" s="5">
        <f>IF(AND($A1071&gt;=DATE(2022,1,1),$A1071&lt;=DATE(2022,10,31)),$M1071,"")</f>
        <v/>
      </c>
      <c r="P1071" s="5">
        <f>IF(AND($A1071&gt;=DATE(2018,10,1),$A1071&lt;=DATE(2018,12,31)),$M1071,"")</f>
        <v/>
      </c>
      <c r="Q1071" s="5">
        <f>SUMPRODUCT(Exposures!$B$8:$K$8,B1071:K1071)</f>
        <v/>
      </c>
      <c r="R1071" s="5">
        <f>SUMPRODUCT(Exposures!$B$9:$K$9,B1071:K1071)</f>
        <v/>
      </c>
      <c r="S1071" s="5">
        <f>SUMPRODUCT(Exposures!$B$10:$K$10,B1071:K1071)</f>
        <v/>
      </c>
    </row>
    <row r="1072">
      <c r="A1072" s="1" t="n">
        <v>44013</v>
      </c>
      <c r="B1072" s="5" t="n">
        <v>-0.01215986775864829</v>
      </c>
      <c r="C1072" s="5" t="n">
        <v>0.002294890838448562</v>
      </c>
      <c r="D1072" s="5" t="n">
        <v>0.0012925931672534</v>
      </c>
      <c r="E1072" s="5" t="n">
        <v>0.001027994511650719</v>
      </c>
      <c r="F1072" s="5" t="n">
        <v>0.004369667893341237</v>
      </c>
      <c r="G1072" s="5" t="n">
        <v>-0.00109977185899289</v>
      </c>
      <c r="H1072" s="5" t="n">
        <v>0.001977287578129277</v>
      </c>
      <c r="I1072" s="5" t="n">
        <v>0.0003401226796518704</v>
      </c>
      <c r="J1072" s="5" t="n">
        <v>0.004910649641775094</v>
      </c>
      <c r="K1072" s="5" t="n">
        <v>-0.001114482112239167</v>
      </c>
      <c r="L1072" s="5" t="n">
        <v>-0.004262571312593258</v>
      </c>
      <c r="M1072" s="5">
        <f>SUMPRODUCT(Exposures!$B$6:$K$6,B1072:K1072)</f>
        <v/>
      </c>
      <c r="N1072" s="5">
        <f>IF(AND($A1072&gt;=DATE(2020,2,1),$A1072&lt;=DATE(2020,5,31)),$M1072,"")</f>
        <v/>
      </c>
      <c r="O1072" s="5">
        <f>IF(AND($A1072&gt;=DATE(2022,1,1),$A1072&lt;=DATE(2022,10,31)),$M1072,"")</f>
        <v/>
      </c>
      <c r="P1072" s="5">
        <f>IF(AND($A1072&gt;=DATE(2018,10,1),$A1072&lt;=DATE(2018,12,31)),$M1072,"")</f>
        <v/>
      </c>
      <c r="Q1072" s="5">
        <f>SUMPRODUCT(Exposures!$B$8:$K$8,B1072:K1072)</f>
        <v/>
      </c>
      <c r="R1072" s="5">
        <f>SUMPRODUCT(Exposures!$B$9:$K$9,B1072:K1072)</f>
        <v/>
      </c>
      <c r="S1072" s="5">
        <f>SUMPRODUCT(Exposures!$B$10:$K$10,B1072:K1072)</f>
        <v/>
      </c>
    </row>
    <row r="1073">
      <c r="A1073" s="1" t="n">
        <v>44014</v>
      </c>
      <c r="B1073" s="5" t="n">
        <v>0.001583519734107632</v>
      </c>
      <c r="C1073" s="5" t="n">
        <v>0.002371339764691996</v>
      </c>
      <c r="D1073" s="5" t="n">
        <v>9.313006673501102e-05</v>
      </c>
      <c r="E1073" s="5" t="n">
        <v>-0.0002039161871843279</v>
      </c>
      <c r="F1073" s="5" t="n">
        <v>-0.0002453847409928844</v>
      </c>
      <c r="G1073" s="5" t="n">
        <v>0.00433152518239977</v>
      </c>
      <c r="H1073" s="5" t="n">
        <v>0.0003481750276050352</v>
      </c>
      <c r="I1073" s="5" t="n">
        <v>-0.0002001057788232982</v>
      </c>
      <c r="J1073" s="5" t="n">
        <v>-0.003094509072983606</v>
      </c>
      <c r="K1073" s="5" t="n">
        <v>-0.0008001080018321959</v>
      </c>
      <c r="L1073" s="5" t="n">
        <v>-0.000672754934389091</v>
      </c>
      <c r="M1073" s="5">
        <f>SUMPRODUCT(Exposures!$B$6:$K$6,B1073:K1073)</f>
        <v/>
      </c>
      <c r="N1073" s="5">
        <f>IF(AND($A1073&gt;=DATE(2020,2,1),$A1073&lt;=DATE(2020,5,31)),$M1073,"")</f>
        <v/>
      </c>
      <c r="O1073" s="5">
        <f>IF(AND($A1073&gt;=DATE(2022,1,1),$A1073&lt;=DATE(2022,10,31)),$M1073,"")</f>
        <v/>
      </c>
      <c r="P1073" s="5">
        <f>IF(AND($A1073&gt;=DATE(2018,10,1),$A1073&lt;=DATE(2018,12,31)),$M1073,"")</f>
        <v/>
      </c>
      <c r="Q1073" s="5">
        <f>SUMPRODUCT(Exposures!$B$8:$K$8,B1073:K1073)</f>
        <v/>
      </c>
      <c r="R1073" s="5">
        <f>SUMPRODUCT(Exposures!$B$9:$K$9,B1073:K1073)</f>
        <v/>
      </c>
      <c r="S1073" s="5">
        <f>SUMPRODUCT(Exposures!$B$10:$K$10,B1073:K1073)</f>
        <v/>
      </c>
    </row>
    <row r="1074">
      <c r="A1074" s="1" t="n">
        <v>44018</v>
      </c>
      <c r="B1074" s="5" t="n">
        <v>0.002126858459539603</v>
      </c>
      <c r="C1074" s="5" t="n">
        <v>0.001808537561758738</v>
      </c>
      <c r="D1074" s="5" t="n">
        <v>-0.000953959161729092</v>
      </c>
      <c r="E1074" s="5" t="n">
        <v>-0.001428028462660984</v>
      </c>
      <c r="F1074" s="5" t="n">
        <v>0.008902643646995712</v>
      </c>
      <c r="G1074" s="5" t="n">
        <v>0.01183063573916598</v>
      </c>
      <c r="H1074" s="5" t="n">
        <v>0.00163109717747814</v>
      </c>
      <c r="I1074" s="5" t="n">
        <v>0.001266339086213749</v>
      </c>
      <c r="J1074" s="5" t="n">
        <v>0.002682540791064857</v>
      </c>
      <c r="K1074" s="5" t="n">
        <v>-0.003790732905744775</v>
      </c>
      <c r="L1074" s="5" t="n">
        <v>0.003382042388826624</v>
      </c>
      <c r="M1074" s="5">
        <f>SUMPRODUCT(Exposures!$B$6:$K$6,B1074:K1074)</f>
        <v/>
      </c>
      <c r="N1074" s="5">
        <f>IF(AND($A1074&gt;=DATE(2020,2,1),$A1074&lt;=DATE(2020,5,31)),$M1074,"")</f>
        <v/>
      </c>
      <c r="O1074" s="5">
        <f>IF(AND($A1074&gt;=DATE(2022,1,1),$A1074&lt;=DATE(2022,10,31)),$M1074,"")</f>
        <v/>
      </c>
      <c r="P1074" s="5">
        <f>IF(AND($A1074&gt;=DATE(2018,10,1),$A1074&lt;=DATE(2018,12,31)),$M1074,"")</f>
        <v/>
      </c>
      <c r="Q1074" s="5">
        <f>SUMPRODUCT(Exposures!$B$8:$K$8,B1074:K1074)</f>
        <v/>
      </c>
      <c r="R1074" s="5">
        <f>SUMPRODUCT(Exposures!$B$9:$K$9,B1074:K1074)</f>
        <v/>
      </c>
      <c r="S1074" s="5">
        <f>SUMPRODUCT(Exposures!$B$10:$K$10,B1074:K1074)</f>
        <v/>
      </c>
    </row>
    <row r="1075">
      <c r="A1075" s="1" t="n">
        <v>44019</v>
      </c>
      <c r="B1075" s="5" t="n">
        <v>-0.009472105795540718</v>
      </c>
      <c r="C1075" s="5" t="n">
        <v>-0.0003477798357145439</v>
      </c>
      <c r="D1075" s="5" t="n">
        <v>-0.0002330926240434703</v>
      </c>
      <c r="E1075" s="5" t="n">
        <v>-0.001126662922374776</v>
      </c>
      <c r="F1075" s="5" t="n">
        <v>-0.004872423749956081</v>
      </c>
      <c r="G1075" s="5" t="n">
        <v>-0.01934535861664291</v>
      </c>
      <c r="H1075" s="5" t="n">
        <v>0.007640081582106205</v>
      </c>
      <c r="I1075" s="5" t="n">
        <v>-0.003251120833786998</v>
      </c>
      <c r="J1075" s="5" t="n">
        <v>0.002670728816085051</v>
      </c>
      <c r="K1075" s="5" t="n">
        <v>0.009922649090758181</v>
      </c>
      <c r="L1075" s="5" t="n">
        <v>-0.0008609150755193979</v>
      </c>
      <c r="M1075" s="5">
        <f>SUMPRODUCT(Exposures!$B$6:$K$6,B1075:K1075)</f>
        <v/>
      </c>
      <c r="N1075" s="5">
        <f>IF(AND($A1075&gt;=DATE(2020,2,1),$A1075&lt;=DATE(2020,5,31)),$M1075,"")</f>
        <v/>
      </c>
      <c r="O1075" s="5">
        <f>IF(AND($A1075&gt;=DATE(2022,1,1),$A1075&lt;=DATE(2022,10,31)),$M1075,"")</f>
        <v/>
      </c>
      <c r="P1075" s="5">
        <f>IF(AND($A1075&gt;=DATE(2018,10,1),$A1075&lt;=DATE(2018,12,31)),$M1075,"")</f>
        <v/>
      </c>
      <c r="Q1075" s="5">
        <f>SUMPRODUCT(Exposures!$B$8:$K$8,B1075:K1075)</f>
        <v/>
      </c>
      <c r="R1075" s="5">
        <f>SUMPRODUCT(Exposures!$B$9:$K$9,B1075:K1075)</f>
        <v/>
      </c>
      <c r="S1075" s="5">
        <f>SUMPRODUCT(Exposures!$B$10:$K$10,B1075:K1075)</f>
        <v/>
      </c>
    </row>
    <row r="1076">
      <c r="A1076" s="1" t="n">
        <v>44020</v>
      </c>
      <c r="B1076" s="5" t="n">
        <v>-0.0009069988362121971</v>
      </c>
      <c r="C1076" s="5" t="n">
        <v>4.435578930575773e-05</v>
      </c>
      <c r="D1076" s="5" t="n">
        <v>0.003374457805112764</v>
      </c>
      <c r="E1076" s="5" t="n">
        <v>-0.0007842576759849424</v>
      </c>
      <c r="F1076" s="5" t="n">
        <v>0.00459561160238731</v>
      </c>
      <c r="G1076" s="5" t="n">
        <v>0.005019256137603826</v>
      </c>
      <c r="H1076" s="5" t="n">
        <v>0.005740790655220521</v>
      </c>
      <c r="I1076" s="5" t="n">
        <v>-0.002254280184542181</v>
      </c>
      <c r="J1076" s="5" t="n">
        <v>0.00903086677776339</v>
      </c>
      <c r="K1076" s="5" t="n">
        <v>0.00519077362599836</v>
      </c>
      <c r="L1076" s="5" t="n">
        <v>0.004409669543135296</v>
      </c>
      <c r="M1076" s="5">
        <f>SUMPRODUCT(Exposures!$B$6:$K$6,B1076:K1076)</f>
        <v/>
      </c>
      <c r="N1076" s="5">
        <f>IF(AND($A1076&gt;=DATE(2020,2,1),$A1076&lt;=DATE(2020,5,31)),$M1076,"")</f>
        <v/>
      </c>
      <c r="O1076" s="5">
        <f>IF(AND($A1076&gt;=DATE(2022,1,1),$A1076&lt;=DATE(2022,10,31)),$M1076,"")</f>
        <v/>
      </c>
      <c r="P1076" s="5">
        <f>IF(AND($A1076&gt;=DATE(2018,10,1),$A1076&lt;=DATE(2018,12,31)),$M1076,"")</f>
        <v/>
      </c>
      <c r="Q1076" s="5">
        <f>SUMPRODUCT(Exposures!$B$8:$K$8,B1076:K1076)</f>
        <v/>
      </c>
      <c r="R1076" s="5">
        <f>SUMPRODUCT(Exposures!$B$9:$K$9,B1076:K1076)</f>
        <v/>
      </c>
      <c r="S1076" s="5">
        <f>SUMPRODUCT(Exposures!$B$10:$K$10,B1076:K1076)</f>
        <v/>
      </c>
    </row>
    <row r="1077">
      <c r="A1077" s="1" t="n">
        <v>44021</v>
      </c>
      <c r="B1077" s="5" t="n">
        <v>-0.00686934293880128</v>
      </c>
      <c r="C1077" s="5" t="n">
        <v>-0.0001735322815676153</v>
      </c>
      <c r="D1077" s="5" t="n">
        <v>-0.0002564751189916527</v>
      </c>
      <c r="E1077" s="5" t="n">
        <v>-0.001642691138115404</v>
      </c>
      <c r="F1077" s="5" t="n">
        <v>0.01071271490700609</v>
      </c>
      <c r="G1077" s="5" t="n">
        <v>-0.01552218875597528</v>
      </c>
      <c r="H1077" s="5" t="n">
        <v>0.009661545120688808</v>
      </c>
      <c r="I1077" s="5" t="n">
        <v>0.001040617639923706</v>
      </c>
      <c r="J1077" s="5" t="n">
        <v>-0.001648244226845613</v>
      </c>
      <c r="K1077" s="5" t="n">
        <v>-0.009035111461193649</v>
      </c>
      <c r="L1077" s="5" t="n">
        <v>-0.004861522802681456</v>
      </c>
      <c r="M1077" s="5">
        <f>SUMPRODUCT(Exposures!$B$6:$K$6,B1077:K1077)</f>
        <v/>
      </c>
      <c r="N1077" s="5">
        <f>IF(AND($A1077&gt;=DATE(2020,2,1),$A1077&lt;=DATE(2020,5,31)),$M1077,"")</f>
        <v/>
      </c>
      <c r="O1077" s="5">
        <f>IF(AND($A1077&gt;=DATE(2022,1,1),$A1077&lt;=DATE(2022,10,31)),$M1077,"")</f>
        <v/>
      </c>
      <c r="P1077" s="5">
        <f>IF(AND($A1077&gt;=DATE(2018,10,1),$A1077&lt;=DATE(2018,12,31)),$M1077,"")</f>
        <v/>
      </c>
      <c r="Q1077" s="5">
        <f>SUMPRODUCT(Exposures!$B$8:$K$8,B1077:K1077)</f>
        <v/>
      </c>
      <c r="R1077" s="5">
        <f>SUMPRODUCT(Exposures!$B$9:$K$9,B1077:K1077)</f>
        <v/>
      </c>
      <c r="S1077" s="5">
        <f>SUMPRODUCT(Exposures!$B$10:$K$10,B1077:K1077)</f>
        <v/>
      </c>
    </row>
    <row r="1078">
      <c r="A1078" s="1" t="n">
        <v>44022</v>
      </c>
      <c r="B1078" s="5" t="n">
        <v>0.004174070151052856</v>
      </c>
      <c r="C1078" s="5" t="n">
        <v>0.00127171338864549</v>
      </c>
      <c r="D1078" s="5" t="n">
        <v>-0.001176101797359725</v>
      </c>
      <c r="E1078" s="5" t="n">
        <v>0.00581915581345135</v>
      </c>
      <c r="F1078" s="5" t="n">
        <v>-0.001577330639795267</v>
      </c>
      <c r="G1078" s="5" t="n">
        <v>0.01611534367293611</v>
      </c>
      <c r="H1078" s="5" t="n">
        <v>-0.00939393194262474</v>
      </c>
      <c r="I1078" s="5" t="n">
        <v>0.000684432589967814</v>
      </c>
      <c r="J1078" s="5" t="n">
        <v>0.001021186558938107</v>
      </c>
      <c r="K1078" s="5" t="n">
        <v>0.0008281466239334814</v>
      </c>
      <c r="L1078" s="5" t="n">
        <v>0.006134745471216598</v>
      </c>
      <c r="M1078" s="5">
        <f>SUMPRODUCT(Exposures!$B$6:$K$6,B1078:K1078)</f>
        <v/>
      </c>
      <c r="N1078" s="5">
        <f>IF(AND($A1078&gt;=DATE(2020,2,1),$A1078&lt;=DATE(2020,5,31)),$M1078,"")</f>
        <v/>
      </c>
      <c r="O1078" s="5">
        <f>IF(AND($A1078&gt;=DATE(2022,1,1),$A1078&lt;=DATE(2022,10,31)),$M1078,"")</f>
        <v/>
      </c>
      <c r="P1078" s="5">
        <f>IF(AND($A1078&gt;=DATE(2018,10,1),$A1078&lt;=DATE(2018,12,31)),$M1078,"")</f>
        <v/>
      </c>
      <c r="Q1078" s="5">
        <f>SUMPRODUCT(Exposures!$B$8:$K$8,B1078:K1078)</f>
        <v/>
      </c>
      <c r="R1078" s="5">
        <f>SUMPRODUCT(Exposures!$B$9:$K$9,B1078:K1078)</f>
        <v/>
      </c>
      <c r="S1078" s="5">
        <f>SUMPRODUCT(Exposures!$B$10:$K$10,B1078:K1078)</f>
        <v/>
      </c>
    </row>
    <row r="1079">
      <c r="A1079" s="1" t="n">
        <v>44025</v>
      </c>
      <c r="B1079" s="5" t="n">
        <v>0.00284488759219414</v>
      </c>
      <c r="C1079" s="5" t="n">
        <v>0.001135964672782232</v>
      </c>
      <c r="D1079" s="5" t="n">
        <v>0.0001448805088022209</v>
      </c>
      <c r="E1079" s="5" t="n">
        <v>0.0008583991358688271</v>
      </c>
      <c r="F1079" s="5" t="n">
        <v>-0.006073542807994539</v>
      </c>
      <c r="G1079" s="5" t="n">
        <v>-0.009783357611615119</v>
      </c>
      <c r="H1079" s="5" t="n">
        <v>-0.01023831883835478</v>
      </c>
      <c r="I1079" s="5" t="n">
        <v>9.078384182823065e-05</v>
      </c>
      <c r="J1079" s="5" t="n">
        <v>-0.0131412763983747</v>
      </c>
      <c r="K1079" s="5" t="n">
        <v>0.0009808956797036142</v>
      </c>
      <c r="L1079" s="5" t="n">
        <v>0.001765353546257838</v>
      </c>
      <c r="M1079" s="5">
        <f>SUMPRODUCT(Exposures!$B$6:$K$6,B1079:K1079)</f>
        <v/>
      </c>
      <c r="N1079" s="5">
        <f>IF(AND($A1079&gt;=DATE(2020,2,1),$A1079&lt;=DATE(2020,5,31)),$M1079,"")</f>
        <v/>
      </c>
      <c r="O1079" s="5">
        <f>IF(AND($A1079&gt;=DATE(2022,1,1),$A1079&lt;=DATE(2022,10,31)),$M1079,"")</f>
        <v/>
      </c>
      <c r="P1079" s="5">
        <f>IF(AND($A1079&gt;=DATE(2018,10,1),$A1079&lt;=DATE(2018,12,31)),$M1079,"")</f>
        <v/>
      </c>
      <c r="Q1079" s="5">
        <f>SUMPRODUCT(Exposures!$B$8:$K$8,B1079:K1079)</f>
        <v/>
      </c>
      <c r="R1079" s="5">
        <f>SUMPRODUCT(Exposures!$B$9:$K$9,B1079:K1079)</f>
        <v/>
      </c>
      <c r="S1079" s="5">
        <f>SUMPRODUCT(Exposures!$B$10:$K$10,B1079:K1079)</f>
        <v/>
      </c>
    </row>
    <row r="1080">
      <c r="A1080" s="1" t="n">
        <v>44026</v>
      </c>
      <c r="B1080" s="5" t="n">
        <v>0.002199744295948115</v>
      </c>
      <c r="C1080" s="5" t="n">
        <v>-0.0025630908140636</v>
      </c>
      <c r="D1080" s="5" t="n">
        <v>-0.00037890616304077</v>
      </c>
      <c r="E1080" s="5" t="n">
        <v>-0.001588025620087681</v>
      </c>
      <c r="F1080" s="5" t="n">
        <v>0.004323312073772534</v>
      </c>
      <c r="G1080" s="5" t="n">
        <v>0.01361028187480274</v>
      </c>
      <c r="H1080" s="5" t="n">
        <v>0.002775097320281501</v>
      </c>
      <c r="I1080" s="5" t="n">
        <v>-0.003564406980373459</v>
      </c>
      <c r="J1080" s="5" t="n">
        <v>-0.003119819021561045</v>
      </c>
      <c r="K1080" s="5" t="n">
        <v>-0.005102735554198263</v>
      </c>
      <c r="L1080" s="5" t="n">
        <v>-0.003460202868593701</v>
      </c>
      <c r="M1080" s="5">
        <f>SUMPRODUCT(Exposures!$B$6:$K$6,B1080:K1080)</f>
        <v/>
      </c>
      <c r="N1080" s="5">
        <f>IF(AND($A1080&gt;=DATE(2020,2,1),$A1080&lt;=DATE(2020,5,31)),$M1080,"")</f>
        <v/>
      </c>
      <c r="O1080" s="5">
        <f>IF(AND($A1080&gt;=DATE(2022,1,1),$A1080&lt;=DATE(2022,10,31)),$M1080,"")</f>
        <v/>
      </c>
      <c r="P1080" s="5">
        <f>IF(AND($A1080&gt;=DATE(2018,10,1),$A1080&lt;=DATE(2018,12,31)),$M1080,"")</f>
        <v/>
      </c>
      <c r="Q1080" s="5">
        <f>SUMPRODUCT(Exposures!$B$8:$K$8,B1080:K1080)</f>
        <v/>
      </c>
      <c r="R1080" s="5">
        <f>SUMPRODUCT(Exposures!$B$9:$K$9,B1080:K1080)</f>
        <v/>
      </c>
      <c r="S1080" s="5">
        <f>SUMPRODUCT(Exposures!$B$10:$K$10,B1080:K1080)</f>
        <v/>
      </c>
    </row>
    <row r="1081">
      <c r="A1081" s="1" t="n">
        <v>44027</v>
      </c>
      <c r="B1081" s="5" t="n">
        <v>0.005631788798325972</v>
      </c>
      <c r="C1081" s="5" t="n">
        <v>-0.003495969553008061</v>
      </c>
      <c r="D1081" s="5" t="n">
        <v>0.0008187192203332868</v>
      </c>
      <c r="E1081" s="5" t="n">
        <v>-0.0008945262724288168</v>
      </c>
      <c r="F1081" s="5" t="n">
        <v>0.007700388036158985</v>
      </c>
      <c r="G1081" s="5" t="n">
        <v>0.02722325273002545</v>
      </c>
      <c r="H1081" s="5" t="n">
        <v>-0.009276527093143663</v>
      </c>
      <c r="I1081" s="5" t="n">
        <v>0.0001189037069082564</v>
      </c>
      <c r="J1081" s="5" t="n">
        <v>0.00767248122593394</v>
      </c>
      <c r="K1081" s="5" t="n">
        <v>-0.01140496531377599</v>
      </c>
      <c r="L1081" s="5" t="n">
        <v>-0.002082058713677381</v>
      </c>
      <c r="M1081" s="5">
        <f>SUMPRODUCT(Exposures!$B$6:$K$6,B1081:K1081)</f>
        <v/>
      </c>
      <c r="N1081" s="5">
        <f>IF(AND($A1081&gt;=DATE(2020,2,1),$A1081&lt;=DATE(2020,5,31)),$M1081,"")</f>
        <v/>
      </c>
      <c r="O1081" s="5">
        <f>IF(AND($A1081&gt;=DATE(2022,1,1),$A1081&lt;=DATE(2022,10,31)),$M1081,"")</f>
        <v/>
      </c>
      <c r="P1081" s="5">
        <f>IF(AND($A1081&gt;=DATE(2018,10,1),$A1081&lt;=DATE(2018,12,31)),$M1081,"")</f>
        <v/>
      </c>
      <c r="Q1081" s="5">
        <f>SUMPRODUCT(Exposures!$B$8:$K$8,B1081:K1081)</f>
        <v/>
      </c>
      <c r="R1081" s="5">
        <f>SUMPRODUCT(Exposures!$B$9:$K$9,B1081:K1081)</f>
        <v/>
      </c>
      <c r="S1081" s="5">
        <f>SUMPRODUCT(Exposures!$B$10:$K$10,B1081:K1081)</f>
        <v/>
      </c>
    </row>
    <row r="1082">
      <c r="A1082" s="1" t="n">
        <v>44028</v>
      </c>
      <c r="B1082" s="5" t="n">
        <v>-0.002361257752601786</v>
      </c>
      <c r="C1082" s="5" t="n">
        <v>-4.514660603411686e-05</v>
      </c>
      <c r="D1082" s="5" t="n">
        <v>-0.0005386350009633555</v>
      </c>
      <c r="E1082" s="5" t="n">
        <v>0.001977310947446283</v>
      </c>
      <c r="F1082" s="5" t="n">
        <v>-0.007129882420847283</v>
      </c>
      <c r="G1082" s="5" t="n">
        <v>-0.00528063190291096</v>
      </c>
      <c r="H1082" s="5" t="n">
        <v>0.001950805032977025</v>
      </c>
      <c r="I1082" s="5" t="n">
        <v>-0.002427714444593367</v>
      </c>
      <c r="J1082" s="5" t="n">
        <v>-0.006198944268214798</v>
      </c>
      <c r="K1082" s="5" t="n">
        <v>0.003236866136790087</v>
      </c>
      <c r="L1082" s="5" t="n">
        <v>0.003423384361566837</v>
      </c>
      <c r="M1082" s="5">
        <f>SUMPRODUCT(Exposures!$B$6:$K$6,B1082:K1082)</f>
        <v/>
      </c>
      <c r="N1082" s="5">
        <f>IF(AND($A1082&gt;=DATE(2020,2,1),$A1082&lt;=DATE(2020,5,31)),$M1082,"")</f>
        <v/>
      </c>
      <c r="O1082" s="5">
        <f>IF(AND($A1082&gt;=DATE(2022,1,1),$A1082&lt;=DATE(2022,10,31)),$M1082,"")</f>
        <v/>
      </c>
      <c r="P1082" s="5">
        <f>IF(AND($A1082&gt;=DATE(2018,10,1),$A1082&lt;=DATE(2018,12,31)),$M1082,"")</f>
        <v/>
      </c>
      <c r="Q1082" s="5">
        <f>SUMPRODUCT(Exposures!$B$8:$K$8,B1082:K1082)</f>
        <v/>
      </c>
      <c r="R1082" s="5">
        <f>SUMPRODUCT(Exposures!$B$9:$K$9,B1082:K1082)</f>
        <v/>
      </c>
      <c r="S1082" s="5">
        <f>SUMPRODUCT(Exposures!$B$10:$K$10,B1082:K1082)</f>
        <v/>
      </c>
    </row>
    <row r="1083">
      <c r="A1083" s="1" t="n">
        <v>44029</v>
      </c>
      <c r="B1083" s="5" t="n">
        <v>-0.003053044967670776</v>
      </c>
      <c r="C1083" s="5" t="n">
        <v>0.003146868951577292</v>
      </c>
      <c r="D1083" s="5" t="n">
        <v>0.0006623122310477183</v>
      </c>
      <c r="E1083" s="5" t="n">
        <v>-0.003045126057298918</v>
      </c>
      <c r="F1083" s="5" t="n">
        <v>-0.008541798618821379</v>
      </c>
      <c r="G1083" s="5" t="n">
        <v>0.00436914576778111</v>
      </c>
      <c r="H1083" s="5" t="n">
        <v>0.005063495113845903</v>
      </c>
      <c r="I1083" s="5" t="n">
        <v>0.001728776463260944</v>
      </c>
      <c r="J1083" s="5" t="n">
        <v>-0.004905888099256454</v>
      </c>
      <c r="K1083" s="5" t="n">
        <v>0.00103412903811111</v>
      </c>
      <c r="L1083" s="5" t="n">
        <v>-0.00508982461574335</v>
      </c>
      <c r="M1083" s="5">
        <f>SUMPRODUCT(Exposures!$B$6:$K$6,B1083:K1083)</f>
        <v/>
      </c>
      <c r="N1083" s="5">
        <f>IF(AND($A1083&gt;=DATE(2020,2,1),$A1083&lt;=DATE(2020,5,31)),$M1083,"")</f>
        <v/>
      </c>
      <c r="O1083" s="5">
        <f>IF(AND($A1083&gt;=DATE(2022,1,1),$A1083&lt;=DATE(2022,10,31)),$M1083,"")</f>
        <v/>
      </c>
      <c r="P1083" s="5">
        <f>IF(AND($A1083&gt;=DATE(2018,10,1),$A1083&lt;=DATE(2018,12,31)),$M1083,"")</f>
        <v/>
      </c>
      <c r="Q1083" s="5">
        <f>SUMPRODUCT(Exposures!$B$8:$K$8,B1083:K1083)</f>
        <v/>
      </c>
      <c r="R1083" s="5">
        <f>SUMPRODUCT(Exposures!$B$9:$K$9,B1083:K1083)</f>
        <v/>
      </c>
      <c r="S1083" s="5">
        <f>SUMPRODUCT(Exposures!$B$10:$K$10,B1083:K1083)</f>
        <v/>
      </c>
    </row>
    <row r="1084">
      <c r="A1084" s="1" t="n">
        <v>44032</v>
      </c>
      <c r="B1084" s="5" t="n">
        <v>-0.003523497464914167</v>
      </c>
      <c r="C1084" s="5" t="n">
        <v>-0.002682107010766762</v>
      </c>
      <c r="D1084" s="5" t="n">
        <v>-0.001465248392173695</v>
      </c>
      <c r="E1084" s="5" t="n">
        <v>-0.001361955165860761</v>
      </c>
      <c r="F1084" s="5" t="n">
        <v>0.01014312808679583</v>
      </c>
      <c r="G1084" s="5" t="n">
        <v>-0.003569040487499243</v>
      </c>
      <c r="H1084" s="5" t="n">
        <v>0.01494784849770619</v>
      </c>
      <c r="I1084" s="5" t="n">
        <v>0.002904644303568958</v>
      </c>
      <c r="J1084" s="5" t="n">
        <v>0.0004739720288142756</v>
      </c>
      <c r="K1084" s="5" t="n">
        <v>-0.009033701827790893</v>
      </c>
      <c r="L1084" s="5" t="n">
        <v>0.00130347758187576</v>
      </c>
      <c r="M1084" s="5">
        <f>SUMPRODUCT(Exposures!$B$6:$K$6,B1084:K1084)</f>
        <v/>
      </c>
      <c r="N1084" s="5">
        <f>IF(AND($A1084&gt;=DATE(2020,2,1),$A1084&lt;=DATE(2020,5,31)),$M1084,"")</f>
        <v/>
      </c>
      <c r="O1084" s="5">
        <f>IF(AND($A1084&gt;=DATE(2022,1,1),$A1084&lt;=DATE(2022,10,31)),$M1084,"")</f>
        <v/>
      </c>
      <c r="P1084" s="5">
        <f>IF(AND($A1084&gt;=DATE(2018,10,1),$A1084&lt;=DATE(2018,12,31)),$M1084,"")</f>
        <v/>
      </c>
      <c r="Q1084" s="5">
        <f>SUMPRODUCT(Exposures!$B$8:$K$8,B1084:K1084)</f>
        <v/>
      </c>
      <c r="R1084" s="5">
        <f>SUMPRODUCT(Exposures!$B$9:$K$9,B1084:K1084)</f>
        <v/>
      </c>
      <c r="S1084" s="5">
        <f>SUMPRODUCT(Exposures!$B$10:$K$10,B1084:K1084)</f>
        <v/>
      </c>
    </row>
    <row r="1085">
      <c r="A1085" s="1" t="n">
        <v>44033</v>
      </c>
      <c r="B1085" s="5" t="n">
        <v>0.006697537988594677</v>
      </c>
      <c r="C1085" s="5" t="n">
        <v>0.00165005893102722</v>
      </c>
      <c r="D1085" s="5" t="n">
        <v>0.002810944486389619</v>
      </c>
      <c r="E1085" s="5" t="n">
        <v>0.001140630773342818</v>
      </c>
      <c r="F1085" s="5" t="n">
        <v>-0.007129536932394553</v>
      </c>
      <c r="G1085" s="5" t="n">
        <v>0.008649366381638117</v>
      </c>
      <c r="H1085" s="5" t="n">
        <v>-0.0122129390805225</v>
      </c>
      <c r="I1085" s="5" t="n">
        <v>0.004255881978759416</v>
      </c>
      <c r="J1085" s="5" t="n">
        <v>-0.007781836778107051</v>
      </c>
      <c r="K1085" s="5" t="n">
        <v>0.001445949421080814</v>
      </c>
      <c r="L1085" s="5" t="n">
        <v>0.002798028112556044</v>
      </c>
      <c r="M1085" s="5">
        <f>SUMPRODUCT(Exposures!$B$6:$K$6,B1085:K1085)</f>
        <v/>
      </c>
      <c r="N1085" s="5">
        <f>IF(AND($A1085&gt;=DATE(2020,2,1),$A1085&lt;=DATE(2020,5,31)),$M1085,"")</f>
        <v/>
      </c>
      <c r="O1085" s="5">
        <f>IF(AND($A1085&gt;=DATE(2022,1,1),$A1085&lt;=DATE(2022,10,31)),$M1085,"")</f>
        <v/>
      </c>
      <c r="P1085" s="5">
        <f>IF(AND($A1085&gt;=DATE(2018,10,1),$A1085&lt;=DATE(2018,12,31)),$M1085,"")</f>
        <v/>
      </c>
      <c r="Q1085" s="5">
        <f>SUMPRODUCT(Exposures!$B$8:$K$8,B1085:K1085)</f>
        <v/>
      </c>
      <c r="R1085" s="5">
        <f>SUMPRODUCT(Exposures!$B$9:$K$9,B1085:K1085)</f>
        <v/>
      </c>
      <c r="S1085" s="5">
        <f>SUMPRODUCT(Exposures!$B$10:$K$10,B1085:K1085)</f>
        <v/>
      </c>
    </row>
    <row r="1086">
      <c r="A1086" s="1" t="n">
        <v>44034</v>
      </c>
      <c r="B1086" s="5" t="n">
        <v>0.004905750877243865</v>
      </c>
      <c r="C1086" s="5" t="n">
        <v>-0.001119051665348181</v>
      </c>
      <c r="D1086" s="5" t="n">
        <v>0.001702326406188045</v>
      </c>
      <c r="E1086" s="5" t="n">
        <v>0.0002929828041627629</v>
      </c>
      <c r="F1086" s="5" t="n">
        <v>0.005402391675628516</v>
      </c>
      <c r="G1086" s="5" t="n">
        <v>0.008046620275082723</v>
      </c>
      <c r="H1086" s="5" t="n">
        <v>0.004057148731263342</v>
      </c>
      <c r="I1086" s="5" t="n">
        <v>0.00103107942518306</v>
      </c>
      <c r="J1086" s="5" t="n">
        <v>-0.006799256325395955</v>
      </c>
      <c r="K1086" s="5" t="n">
        <v>-0.01302570478221366</v>
      </c>
      <c r="L1086" s="5" t="n">
        <v>-0.003939549106626699</v>
      </c>
      <c r="M1086" s="5">
        <f>SUMPRODUCT(Exposures!$B$6:$K$6,B1086:K1086)</f>
        <v/>
      </c>
      <c r="N1086" s="5">
        <f>IF(AND($A1086&gt;=DATE(2020,2,1),$A1086&lt;=DATE(2020,5,31)),$M1086,"")</f>
        <v/>
      </c>
      <c r="O1086" s="5">
        <f>IF(AND($A1086&gt;=DATE(2022,1,1),$A1086&lt;=DATE(2022,10,31)),$M1086,"")</f>
        <v/>
      </c>
      <c r="P1086" s="5">
        <f>IF(AND($A1086&gt;=DATE(2018,10,1),$A1086&lt;=DATE(2018,12,31)),$M1086,"")</f>
        <v/>
      </c>
      <c r="Q1086" s="5">
        <f>SUMPRODUCT(Exposures!$B$8:$K$8,B1086:K1086)</f>
        <v/>
      </c>
      <c r="R1086" s="5">
        <f>SUMPRODUCT(Exposures!$B$9:$K$9,B1086:K1086)</f>
        <v/>
      </c>
      <c r="S1086" s="5">
        <f>SUMPRODUCT(Exposures!$B$10:$K$10,B1086:K1086)</f>
        <v/>
      </c>
    </row>
    <row r="1087">
      <c r="A1087" s="1" t="n">
        <v>44035</v>
      </c>
      <c r="B1087" s="5" t="n">
        <v>-0.001918552908635433</v>
      </c>
      <c r="C1087" s="5" t="n">
        <v>-0.001034835958176543</v>
      </c>
      <c r="D1087" s="5" t="n">
        <v>0.002871951221193187</v>
      </c>
      <c r="E1087" s="5" t="n">
        <v>0.0003722821872109478</v>
      </c>
      <c r="F1087" s="5" t="n">
        <v>-0.01093916979307682</v>
      </c>
      <c r="G1087" s="5" t="n">
        <v>-0.0009654025095984041</v>
      </c>
      <c r="H1087" s="5" t="n">
        <v>-0.007207603736496702</v>
      </c>
      <c r="I1087" s="5" t="n">
        <v>-0.0005723309600333137</v>
      </c>
      <c r="J1087" s="5" t="n">
        <v>-0.0006235554767482588</v>
      </c>
      <c r="K1087" s="5" t="n">
        <v>0.008288357999136005</v>
      </c>
      <c r="L1087" s="5" t="n">
        <v>0.002478882586655391</v>
      </c>
      <c r="M1087" s="5">
        <f>SUMPRODUCT(Exposures!$B$6:$K$6,B1087:K1087)</f>
        <v/>
      </c>
      <c r="N1087" s="5">
        <f>IF(AND($A1087&gt;=DATE(2020,2,1),$A1087&lt;=DATE(2020,5,31)),$M1087,"")</f>
        <v/>
      </c>
      <c r="O1087" s="5">
        <f>IF(AND($A1087&gt;=DATE(2022,1,1),$A1087&lt;=DATE(2022,10,31)),$M1087,"")</f>
        <v/>
      </c>
      <c r="P1087" s="5">
        <f>IF(AND($A1087&gt;=DATE(2018,10,1),$A1087&lt;=DATE(2018,12,31)),$M1087,"")</f>
        <v/>
      </c>
      <c r="Q1087" s="5">
        <f>SUMPRODUCT(Exposures!$B$8:$K$8,B1087:K1087)</f>
        <v/>
      </c>
      <c r="R1087" s="5">
        <f>SUMPRODUCT(Exposures!$B$9:$K$9,B1087:K1087)</f>
        <v/>
      </c>
      <c r="S1087" s="5">
        <f>SUMPRODUCT(Exposures!$B$10:$K$10,B1087:K1087)</f>
        <v/>
      </c>
    </row>
    <row r="1088">
      <c r="A1088" s="1" t="n">
        <v>44036</v>
      </c>
      <c r="B1088" s="5" t="n">
        <v>0.0001822569206265331</v>
      </c>
      <c r="C1088" s="5" t="n">
        <v>0.001097138325753986</v>
      </c>
      <c r="D1088" s="5" t="n">
        <v>-0.0008935969743590615</v>
      </c>
      <c r="E1088" s="5" t="n">
        <v>0.00215299980728128</v>
      </c>
      <c r="F1088" s="5" t="n">
        <v>0.0093323481907987</v>
      </c>
      <c r="G1088" s="5" t="n">
        <v>-0.008549847503512766</v>
      </c>
      <c r="H1088" s="5" t="n">
        <v>0.006193443592499456</v>
      </c>
      <c r="I1088" s="5" t="n">
        <v>0.002303512325536747</v>
      </c>
      <c r="J1088" s="5" t="n">
        <v>-0.004010621723810855</v>
      </c>
      <c r="K1088" s="5" t="n">
        <v>-0.01299048313356926</v>
      </c>
      <c r="L1088" s="5" t="n">
        <v>-0.002673082359292281</v>
      </c>
      <c r="M1088" s="5">
        <f>SUMPRODUCT(Exposures!$B$6:$K$6,B1088:K1088)</f>
        <v/>
      </c>
      <c r="N1088" s="5">
        <f>IF(AND($A1088&gt;=DATE(2020,2,1),$A1088&lt;=DATE(2020,5,31)),$M1088,"")</f>
        <v/>
      </c>
      <c r="O1088" s="5">
        <f>IF(AND($A1088&gt;=DATE(2022,1,1),$A1088&lt;=DATE(2022,10,31)),$M1088,"")</f>
        <v/>
      </c>
      <c r="P1088" s="5">
        <f>IF(AND($A1088&gt;=DATE(2018,10,1),$A1088&lt;=DATE(2018,12,31)),$M1088,"")</f>
        <v/>
      </c>
      <c r="Q1088" s="5">
        <f>SUMPRODUCT(Exposures!$B$8:$K$8,B1088:K1088)</f>
        <v/>
      </c>
      <c r="R1088" s="5">
        <f>SUMPRODUCT(Exposures!$B$9:$K$9,B1088:K1088)</f>
        <v/>
      </c>
      <c r="S1088" s="5">
        <f>SUMPRODUCT(Exposures!$B$10:$K$10,B1088:K1088)</f>
        <v/>
      </c>
    </row>
    <row r="1089">
      <c r="A1089" s="1" t="n">
        <v>44039</v>
      </c>
      <c r="B1089" s="5" t="n">
        <v>-0.0001678918597402724</v>
      </c>
      <c r="C1089" s="5" t="n">
        <v>0.003948957738740202</v>
      </c>
      <c r="D1089" s="5" t="n">
        <v>-0.0001200374366403688</v>
      </c>
      <c r="E1089" s="5" t="n">
        <v>-0.002394550279741763</v>
      </c>
      <c r="F1089" s="5" t="n">
        <v>-0.003537446480265874</v>
      </c>
      <c r="G1089" s="5" t="n">
        <v>0.006300809031204611</v>
      </c>
      <c r="H1089" s="5" t="n">
        <v>0.007556537346688692</v>
      </c>
      <c r="I1089" s="5" t="n">
        <v>0.001193629550101948</v>
      </c>
      <c r="J1089" s="5" t="n">
        <v>0.001012808330280494</v>
      </c>
      <c r="K1089" s="5" t="n">
        <v>-0.001019750738897934</v>
      </c>
      <c r="L1089" s="5" t="n">
        <v>-0.003098183497582239</v>
      </c>
      <c r="M1089" s="5">
        <f>SUMPRODUCT(Exposures!$B$6:$K$6,B1089:K1089)</f>
        <v/>
      </c>
      <c r="N1089" s="5">
        <f>IF(AND($A1089&gt;=DATE(2020,2,1),$A1089&lt;=DATE(2020,5,31)),$M1089,"")</f>
        <v/>
      </c>
      <c r="O1089" s="5">
        <f>IF(AND($A1089&gt;=DATE(2022,1,1),$A1089&lt;=DATE(2022,10,31)),$M1089,"")</f>
        <v/>
      </c>
      <c r="P1089" s="5">
        <f>IF(AND($A1089&gt;=DATE(2018,10,1),$A1089&lt;=DATE(2018,12,31)),$M1089,"")</f>
        <v/>
      </c>
      <c r="Q1089" s="5">
        <f>SUMPRODUCT(Exposures!$B$8:$K$8,B1089:K1089)</f>
        <v/>
      </c>
      <c r="R1089" s="5">
        <f>SUMPRODUCT(Exposures!$B$9:$K$9,B1089:K1089)</f>
        <v/>
      </c>
      <c r="S1089" s="5">
        <f>SUMPRODUCT(Exposures!$B$10:$K$10,B1089:K1089)</f>
        <v/>
      </c>
    </row>
    <row r="1090">
      <c r="A1090" s="1" t="n">
        <v>44040</v>
      </c>
      <c r="B1090" s="5" t="n">
        <v>-0.008467624326046917</v>
      </c>
      <c r="C1090" s="5" t="n">
        <v>-0.002584718852186749</v>
      </c>
      <c r="D1090" s="5" t="n">
        <v>-0.0007359381802191114</v>
      </c>
      <c r="E1090" s="5" t="n">
        <v>0.002771757954654261</v>
      </c>
      <c r="F1090" s="5" t="n">
        <v>0.003954770431730308</v>
      </c>
      <c r="G1090" s="5" t="n">
        <v>-0.006498851438858108</v>
      </c>
      <c r="H1090" s="5" t="n">
        <v>-0.009265001385990847</v>
      </c>
      <c r="I1090" s="5" t="n">
        <v>0.00220404271632225</v>
      </c>
      <c r="J1090" s="5" t="n">
        <v>0.0007263420837822347</v>
      </c>
      <c r="K1090" s="5" t="n">
        <v>-0.002094765370811017</v>
      </c>
      <c r="L1090" s="5" t="n">
        <v>-0.0001246556982625167</v>
      </c>
      <c r="M1090" s="5">
        <f>SUMPRODUCT(Exposures!$B$6:$K$6,B1090:K1090)</f>
        <v/>
      </c>
      <c r="N1090" s="5">
        <f>IF(AND($A1090&gt;=DATE(2020,2,1),$A1090&lt;=DATE(2020,5,31)),$M1090,"")</f>
        <v/>
      </c>
      <c r="O1090" s="5">
        <f>IF(AND($A1090&gt;=DATE(2022,1,1),$A1090&lt;=DATE(2022,10,31)),$M1090,"")</f>
        <v/>
      </c>
      <c r="P1090" s="5">
        <f>IF(AND($A1090&gt;=DATE(2018,10,1),$A1090&lt;=DATE(2018,12,31)),$M1090,"")</f>
        <v/>
      </c>
      <c r="Q1090" s="5">
        <f>SUMPRODUCT(Exposures!$B$8:$K$8,B1090:K1090)</f>
        <v/>
      </c>
      <c r="R1090" s="5">
        <f>SUMPRODUCT(Exposures!$B$9:$K$9,B1090:K1090)</f>
        <v/>
      </c>
      <c r="S1090" s="5">
        <f>SUMPRODUCT(Exposures!$B$10:$K$10,B1090:K1090)</f>
        <v/>
      </c>
    </row>
    <row r="1091">
      <c r="A1091" s="1" t="n">
        <v>44041</v>
      </c>
      <c r="B1091" s="5" t="n">
        <v>0.01122268444327915</v>
      </c>
      <c r="C1091" s="5" t="n">
        <v>-0.001038628861840847</v>
      </c>
      <c r="D1091" s="5" t="n">
        <v>-0.001109001228552511</v>
      </c>
      <c r="E1091" s="5" t="n">
        <v>6.112330710843954e-05</v>
      </c>
      <c r="F1091" s="5" t="n">
        <v>0.002823908557297123</v>
      </c>
      <c r="G1091" s="5" t="n">
        <v>0.01724447948267883</v>
      </c>
      <c r="H1091" s="5" t="n">
        <v>0.009777037739424732</v>
      </c>
      <c r="I1091" s="5" t="n">
        <v>0.0007344708696853425</v>
      </c>
      <c r="J1091" s="5" t="n">
        <v>-0.001080478019603105</v>
      </c>
      <c r="K1091" s="5" t="n">
        <v>-0.007493653444102922</v>
      </c>
      <c r="L1091" s="5" t="n">
        <v>0.003327779065894669</v>
      </c>
      <c r="M1091" s="5">
        <f>SUMPRODUCT(Exposures!$B$6:$K$6,B1091:K1091)</f>
        <v/>
      </c>
      <c r="N1091" s="5">
        <f>IF(AND($A1091&gt;=DATE(2020,2,1),$A1091&lt;=DATE(2020,5,31)),$M1091,"")</f>
        <v/>
      </c>
      <c r="O1091" s="5">
        <f>IF(AND($A1091&gt;=DATE(2022,1,1),$A1091&lt;=DATE(2022,10,31)),$M1091,"")</f>
        <v/>
      </c>
      <c r="P1091" s="5">
        <f>IF(AND($A1091&gt;=DATE(2018,10,1),$A1091&lt;=DATE(2018,12,31)),$M1091,"")</f>
        <v/>
      </c>
      <c r="Q1091" s="5">
        <f>SUMPRODUCT(Exposures!$B$8:$K$8,B1091:K1091)</f>
        <v/>
      </c>
      <c r="R1091" s="5">
        <f>SUMPRODUCT(Exposures!$B$9:$K$9,B1091:K1091)</f>
        <v/>
      </c>
      <c r="S1091" s="5">
        <f>SUMPRODUCT(Exposures!$B$10:$K$10,B1091:K1091)</f>
        <v/>
      </c>
    </row>
    <row r="1092">
      <c r="A1092" s="1" t="n">
        <v>44042</v>
      </c>
      <c r="B1092" s="5" t="n">
        <v>-0.00141919324883859</v>
      </c>
      <c r="C1092" s="5" t="n">
        <v>0.001062866567648468</v>
      </c>
      <c r="D1092" s="5" t="n">
        <v>0.002639002340333931</v>
      </c>
      <c r="E1092" s="5" t="n">
        <v>-0.001262101574201291</v>
      </c>
      <c r="F1092" s="5" t="n">
        <v>0.001401928152298761</v>
      </c>
      <c r="G1092" s="5" t="n">
        <v>-0.003526093543634671</v>
      </c>
      <c r="H1092" s="5" t="n">
        <v>0.008975222769119285</v>
      </c>
      <c r="I1092" s="5" t="n">
        <v>0.0009871854368365578</v>
      </c>
      <c r="J1092" s="5" t="n">
        <v>0.005122955170363405</v>
      </c>
      <c r="K1092" s="5" t="n">
        <v>-0.00477938849068972</v>
      </c>
      <c r="L1092" s="5" t="n">
        <v>-0.0006098809315615846</v>
      </c>
      <c r="M1092" s="5">
        <f>SUMPRODUCT(Exposures!$B$6:$K$6,B1092:K1092)</f>
        <v/>
      </c>
      <c r="N1092" s="5">
        <f>IF(AND($A1092&gt;=DATE(2020,2,1),$A1092&lt;=DATE(2020,5,31)),$M1092,"")</f>
        <v/>
      </c>
      <c r="O1092" s="5">
        <f>IF(AND($A1092&gt;=DATE(2022,1,1),$A1092&lt;=DATE(2022,10,31)),$M1092,"")</f>
        <v/>
      </c>
      <c r="P1092" s="5">
        <f>IF(AND($A1092&gt;=DATE(2018,10,1),$A1092&lt;=DATE(2018,12,31)),$M1092,"")</f>
        <v/>
      </c>
      <c r="Q1092" s="5">
        <f>SUMPRODUCT(Exposures!$B$8:$K$8,B1092:K1092)</f>
        <v/>
      </c>
      <c r="R1092" s="5">
        <f>SUMPRODUCT(Exposures!$B$9:$K$9,B1092:K1092)</f>
        <v/>
      </c>
      <c r="S1092" s="5">
        <f>SUMPRODUCT(Exposures!$B$10:$K$10,B1092:K1092)</f>
        <v/>
      </c>
    </row>
    <row r="1093">
      <c r="A1093" s="1" t="n">
        <v>44043</v>
      </c>
      <c r="B1093" s="5" t="n">
        <v>-0.003838309604602011</v>
      </c>
      <c r="C1093" s="5" t="n">
        <v>0.002631621272828667</v>
      </c>
      <c r="D1093" s="5" t="n">
        <v>-0.003224634646663782</v>
      </c>
      <c r="E1093" s="5" t="n">
        <v>0.00391380728643867</v>
      </c>
      <c r="F1093" s="5" t="n">
        <v>0.006364495045912062</v>
      </c>
      <c r="G1093" s="5" t="n">
        <v>-0.004478221218873641</v>
      </c>
      <c r="H1093" s="5" t="n">
        <v>0.001121032111016327</v>
      </c>
      <c r="I1093" s="5" t="n">
        <v>-0.001397687795055581</v>
      </c>
      <c r="J1093" s="5" t="n">
        <v>-0.004574967348837215</v>
      </c>
      <c r="K1093" s="5" t="n">
        <v>-0.004987688297917998</v>
      </c>
      <c r="L1093" s="5" t="n">
        <v>-0.003878209399740927</v>
      </c>
      <c r="M1093" s="5">
        <f>SUMPRODUCT(Exposures!$B$6:$K$6,B1093:K1093)</f>
        <v/>
      </c>
      <c r="N1093" s="5">
        <f>IF(AND($A1093&gt;=DATE(2020,2,1),$A1093&lt;=DATE(2020,5,31)),$M1093,"")</f>
        <v/>
      </c>
      <c r="O1093" s="5">
        <f>IF(AND($A1093&gt;=DATE(2022,1,1),$A1093&lt;=DATE(2022,10,31)),$M1093,"")</f>
        <v/>
      </c>
      <c r="P1093" s="5">
        <f>IF(AND($A1093&gt;=DATE(2018,10,1),$A1093&lt;=DATE(2018,12,31)),$M1093,"")</f>
        <v/>
      </c>
      <c r="Q1093" s="5">
        <f>SUMPRODUCT(Exposures!$B$8:$K$8,B1093:K1093)</f>
        <v/>
      </c>
      <c r="R1093" s="5">
        <f>SUMPRODUCT(Exposures!$B$9:$K$9,B1093:K1093)</f>
        <v/>
      </c>
      <c r="S1093" s="5">
        <f>SUMPRODUCT(Exposures!$B$10:$K$10,B1093:K1093)</f>
        <v/>
      </c>
    </row>
    <row r="1094">
      <c r="A1094" s="1" t="n">
        <v>44046</v>
      </c>
      <c r="B1094" s="5" t="n">
        <v>0.005576959423210353</v>
      </c>
      <c r="C1094" s="5" t="n">
        <v>-0.001244872908919831</v>
      </c>
      <c r="D1094" s="5" t="n">
        <v>0.00253707973730161</v>
      </c>
      <c r="E1094" s="5" t="n">
        <v>-0.0002000473208731847</v>
      </c>
      <c r="F1094" s="5" t="n">
        <v>-0.005328003769787226</v>
      </c>
      <c r="G1094" s="5" t="n">
        <v>0.009273729794147137</v>
      </c>
      <c r="H1094" s="5" t="n">
        <v>0.01124665788379623</v>
      </c>
      <c r="I1094" s="5" t="n">
        <v>0.0002977570108798407</v>
      </c>
      <c r="J1094" s="5" t="n">
        <v>0.0102999801481004</v>
      </c>
      <c r="K1094" s="5" t="n">
        <v>0.005448651937790093</v>
      </c>
      <c r="L1094" s="5" t="n">
        <v>0.002391546645995381</v>
      </c>
      <c r="M1094" s="5">
        <f>SUMPRODUCT(Exposures!$B$6:$K$6,B1094:K1094)</f>
        <v/>
      </c>
      <c r="N1094" s="5">
        <f>IF(AND($A1094&gt;=DATE(2020,2,1),$A1094&lt;=DATE(2020,5,31)),$M1094,"")</f>
        <v/>
      </c>
      <c r="O1094" s="5">
        <f>IF(AND($A1094&gt;=DATE(2022,1,1),$A1094&lt;=DATE(2022,10,31)),$M1094,"")</f>
        <v/>
      </c>
      <c r="P1094" s="5">
        <f>IF(AND($A1094&gt;=DATE(2018,10,1),$A1094&lt;=DATE(2018,12,31)),$M1094,"")</f>
        <v/>
      </c>
      <c r="Q1094" s="5">
        <f>SUMPRODUCT(Exposures!$B$8:$K$8,B1094:K1094)</f>
        <v/>
      </c>
      <c r="R1094" s="5">
        <f>SUMPRODUCT(Exposures!$B$9:$K$9,B1094:K1094)</f>
        <v/>
      </c>
      <c r="S1094" s="5">
        <f>SUMPRODUCT(Exposures!$B$10:$K$10,B1094:K1094)</f>
        <v/>
      </c>
    </row>
    <row r="1095">
      <c r="A1095" s="1" t="n">
        <v>44047</v>
      </c>
      <c r="B1095" s="5" t="n">
        <v>-0.004935424256525508</v>
      </c>
      <c r="C1095" s="5" t="n">
        <v>0.0007634378874681548</v>
      </c>
      <c r="D1095" s="5" t="n">
        <v>0.006327416193291688</v>
      </c>
      <c r="E1095" s="5" t="n">
        <v>0.001033488430208317</v>
      </c>
      <c r="F1095" s="5" t="n">
        <v>0.01332912807762909</v>
      </c>
      <c r="G1095" s="5" t="n">
        <v>0.004426895598880796</v>
      </c>
      <c r="H1095" s="5" t="n">
        <v>-0.005447569755007637</v>
      </c>
      <c r="I1095" s="5" t="n">
        <v>0.002817744086670868</v>
      </c>
      <c r="J1095" s="5" t="n">
        <v>0.004132251693665108</v>
      </c>
      <c r="K1095" s="5" t="n">
        <v>-0.01174411672032724</v>
      </c>
      <c r="L1095" s="5" t="n">
        <v>-0.006960260015393446</v>
      </c>
      <c r="M1095" s="5">
        <f>SUMPRODUCT(Exposures!$B$6:$K$6,B1095:K1095)</f>
        <v/>
      </c>
      <c r="N1095" s="5">
        <f>IF(AND($A1095&gt;=DATE(2020,2,1),$A1095&lt;=DATE(2020,5,31)),$M1095,"")</f>
        <v/>
      </c>
      <c r="O1095" s="5">
        <f>IF(AND($A1095&gt;=DATE(2022,1,1),$A1095&lt;=DATE(2022,10,31)),$M1095,"")</f>
        <v/>
      </c>
      <c r="P1095" s="5">
        <f>IF(AND($A1095&gt;=DATE(2018,10,1),$A1095&lt;=DATE(2018,12,31)),$M1095,"")</f>
        <v/>
      </c>
      <c r="Q1095" s="5">
        <f>SUMPRODUCT(Exposures!$B$8:$K$8,B1095:K1095)</f>
        <v/>
      </c>
      <c r="R1095" s="5">
        <f>SUMPRODUCT(Exposures!$B$9:$K$9,B1095:K1095)</f>
        <v/>
      </c>
      <c r="S1095" s="5">
        <f>SUMPRODUCT(Exposures!$B$10:$K$10,B1095:K1095)</f>
        <v/>
      </c>
    </row>
    <row r="1096">
      <c r="A1096" s="1" t="n">
        <v>44048</v>
      </c>
      <c r="B1096" s="5" t="n">
        <v>0.008899983960551772</v>
      </c>
      <c r="C1096" s="5" t="n">
        <v>-0.003151074454298428</v>
      </c>
      <c r="D1096" s="5" t="n">
        <v>0.006968320485477324</v>
      </c>
      <c r="E1096" s="5" t="n">
        <v>-0.002586603981537712</v>
      </c>
      <c r="F1096" s="5" t="n">
        <v>0.004352902200642589</v>
      </c>
      <c r="G1096" s="5" t="n">
        <v>0.01111212792403696</v>
      </c>
      <c r="H1096" s="5" t="n">
        <v>0.0005289637094744244</v>
      </c>
      <c r="I1096" s="5" t="n">
        <v>-0.0015428344351935</v>
      </c>
      <c r="J1096" s="5" t="n">
        <v>0.005411074729147912</v>
      </c>
      <c r="K1096" s="5" t="n">
        <v>-0.0005680100763585834</v>
      </c>
      <c r="L1096" s="5" t="n">
        <v>0.001446350161601839</v>
      </c>
      <c r="M1096" s="5">
        <f>SUMPRODUCT(Exposures!$B$6:$K$6,B1096:K1096)</f>
        <v/>
      </c>
      <c r="N1096" s="5">
        <f>IF(AND($A1096&gt;=DATE(2020,2,1),$A1096&lt;=DATE(2020,5,31)),$M1096,"")</f>
        <v/>
      </c>
      <c r="O1096" s="5">
        <f>IF(AND($A1096&gt;=DATE(2022,1,1),$A1096&lt;=DATE(2022,10,31)),$M1096,"")</f>
        <v/>
      </c>
      <c r="P1096" s="5">
        <f>IF(AND($A1096&gt;=DATE(2018,10,1),$A1096&lt;=DATE(2018,12,31)),$M1096,"")</f>
        <v/>
      </c>
      <c r="Q1096" s="5">
        <f>SUMPRODUCT(Exposures!$B$8:$K$8,B1096:K1096)</f>
        <v/>
      </c>
      <c r="R1096" s="5">
        <f>SUMPRODUCT(Exposures!$B$9:$K$9,B1096:K1096)</f>
        <v/>
      </c>
      <c r="S1096" s="5">
        <f>SUMPRODUCT(Exposures!$B$10:$K$10,B1096:K1096)</f>
        <v/>
      </c>
    </row>
    <row r="1097">
      <c r="A1097" s="1" t="n">
        <v>44049</v>
      </c>
      <c r="B1097" s="5" t="n">
        <v>0.001237007196071142</v>
      </c>
      <c r="C1097" s="5" t="n">
        <v>-0.001120760394034564</v>
      </c>
      <c r="D1097" s="5" t="n">
        <v>0.001475107791566997</v>
      </c>
      <c r="E1097" s="5" t="n">
        <v>0.00308938718408208</v>
      </c>
      <c r="F1097" s="5" t="n">
        <v>0.01803223886522134</v>
      </c>
      <c r="G1097" s="5" t="n">
        <v>-0.004196298627860068</v>
      </c>
      <c r="H1097" s="5" t="n">
        <v>-0.008799897731852848</v>
      </c>
      <c r="I1097" s="5" t="n">
        <v>0.001949196195028418</v>
      </c>
      <c r="J1097" s="5" t="n">
        <v>-0.01088011356332167</v>
      </c>
      <c r="K1097" s="5" t="n">
        <v>-0.01770919083774006</v>
      </c>
      <c r="L1097" s="5" t="n">
        <v>-0.007371333790909803</v>
      </c>
      <c r="M1097" s="5">
        <f>SUMPRODUCT(Exposures!$B$6:$K$6,B1097:K1097)</f>
        <v/>
      </c>
      <c r="N1097" s="5">
        <f>IF(AND($A1097&gt;=DATE(2020,2,1),$A1097&lt;=DATE(2020,5,31)),$M1097,"")</f>
        <v/>
      </c>
      <c r="O1097" s="5">
        <f>IF(AND($A1097&gt;=DATE(2022,1,1),$A1097&lt;=DATE(2022,10,31)),$M1097,"")</f>
        <v/>
      </c>
      <c r="P1097" s="5">
        <f>IF(AND($A1097&gt;=DATE(2018,10,1),$A1097&lt;=DATE(2018,12,31)),$M1097,"")</f>
        <v/>
      </c>
      <c r="Q1097" s="5">
        <f>SUMPRODUCT(Exposures!$B$8:$K$8,B1097:K1097)</f>
        <v/>
      </c>
      <c r="R1097" s="5">
        <f>SUMPRODUCT(Exposures!$B$9:$K$9,B1097:K1097)</f>
        <v/>
      </c>
      <c r="S1097" s="5">
        <f>SUMPRODUCT(Exposures!$B$10:$K$10,B1097:K1097)</f>
        <v/>
      </c>
    </row>
    <row r="1098">
      <c r="A1098" s="1" t="n">
        <v>44050</v>
      </c>
      <c r="B1098" s="5" t="n">
        <v>0.003288704016387503</v>
      </c>
      <c r="C1098" s="5" t="n">
        <v>0.003329455367955786</v>
      </c>
      <c r="D1098" s="5" t="n">
        <v>-0.006901367098719888</v>
      </c>
      <c r="E1098" s="5" t="n">
        <v>0.004891405422867865</v>
      </c>
      <c r="F1098" s="5" t="n">
        <v>-0.007731651628118388</v>
      </c>
      <c r="G1098" s="5" t="n">
        <v>0.01144033687378038</v>
      </c>
      <c r="H1098" s="5" t="n">
        <v>-0.008895283548119092</v>
      </c>
      <c r="I1098" s="5" t="n">
        <v>0.003851030860129291</v>
      </c>
      <c r="J1098" s="5" t="n">
        <v>-0.005658769143689433</v>
      </c>
      <c r="K1098" s="5" t="n">
        <v>-0.004542222562343176</v>
      </c>
      <c r="L1098" s="5" t="n">
        <v>0.001574429885932819</v>
      </c>
      <c r="M1098" s="5">
        <f>SUMPRODUCT(Exposures!$B$6:$K$6,B1098:K1098)</f>
        <v/>
      </c>
      <c r="N1098" s="5">
        <f>IF(AND($A1098&gt;=DATE(2020,2,1),$A1098&lt;=DATE(2020,5,31)),$M1098,"")</f>
        <v/>
      </c>
      <c r="O1098" s="5">
        <f>IF(AND($A1098&gt;=DATE(2022,1,1),$A1098&lt;=DATE(2022,10,31)),$M1098,"")</f>
        <v/>
      </c>
      <c r="P1098" s="5">
        <f>IF(AND($A1098&gt;=DATE(2018,10,1),$A1098&lt;=DATE(2018,12,31)),$M1098,"")</f>
        <v/>
      </c>
      <c r="Q1098" s="5">
        <f>SUMPRODUCT(Exposures!$B$8:$K$8,B1098:K1098)</f>
        <v/>
      </c>
      <c r="R1098" s="5">
        <f>SUMPRODUCT(Exposures!$B$9:$K$9,B1098:K1098)</f>
        <v/>
      </c>
      <c r="S1098" s="5">
        <f>SUMPRODUCT(Exposures!$B$10:$K$10,B1098:K1098)</f>
        <v/>
      </c>
    </row>
    <row r="1099">
      <c r="A1099" s="1" t="n">
        <v>44053</v>
      </c>
      <c r="B1099" s="5" t="n">
        <v>0.007726225505995369</v>
      </c>
      <c r="C1099" s="5" t="n">
        <v>-0.000172843490751266</v>
      </c>
      <c r="D1099" s="5" t="n">
        <v>-0.004067279325744813</v>
      </c>
      <c r="E1099" s="5" t="n">
        <v>0.0001031211820590756</v>
      </c>
      <c r="F1099" s="5" t="n">
        <v>0.008557091459519059</v>
      </c>
      <c r="G1099" s="5" t="n">
        <v>0.005589544886861147</v>
      </c>
      <c r="H1099" s="5" t="n">
        <v>-0.01139489133465738</v>
      </c>
      <c r="I1099" s="5" t="n">
        <v>0.001103161793809583</v>
      </c>
      <c r="J1099" s="5" t="n">
        <v>-0.005142014944620089</v>
      </c>
      <c r="K1099" s="5" t="n">
        <v>-0.008988787921065744</v>
      </c>
      <c r="L1099" s="5" t="n">
        <v>-0.001468926995020119</v>
      </c>
      <c r="M1099" s="5">
        <f>SUMPRODUCT(Exposures!$B$6:$K$6,B1099:K1099)</f>
        <v/>
      </c>
      <c r="N1099" s="5">
        <f>IF(AND($A1099&gt;=DATE(2020,2,1),$A1099&lt;=DATE(2020,5,31)),$M1099,"")</f>
        <v/>
      </c>
      <c r="O1099" s="5">
        <f>IF(AND($A1099&gt;=DATE(2022,1,1),$A1099&lt;=DATE(2022,10,31)),$M1099,"")</f>
        <v/>
      </c>
      <c r="P1099" s="5">
        <f>IF(AND($A1099&gt;=DATE(2018,10,1),$A1099&lt;=DATE(2018,12,31)),$M1099,"")</f>
        <v/>
      </c>
      <c r="Q1099" s="5">
        <f>SUMPRODUCT(Exposures!$B$8:$K$8,B1099:K1099)</f>
        <v/>
      </c>
      <c r="R1099" s="5">
        <f>SUMPRODUCT(Exposures!$B$9:$K$9,B1099:K1099)</f>
        <v/>
      </c>
      <c r="S1099" s="5">
        <f>SUMPRODUCT(Exposures!$B$10:$K$10,B1099:K1099)</f>
        <v/>
      </c>
    </row>
    <row r="1100">
      <c r="A1100" s="1" t="n">
        <v>44054</v>
      </c>
      <c r="B1100" s="5" t="n">
        <v>0.005465751606345694</v>
      </c>
      <c r="C1100" s="5" t="n">
        <v>-0.001140104976896867</v>
      </c>
      <c r="D1100" s="5" t="n">
        <v>-0.004654562581063428</v>
      </c>
      <c r="E1100" s="5" t="n">
        <v>-0.0006658805221473546</v>
      </c>
      <c r="F1100" s="5" t="n">
        <v>0.0003197263846580313</v>
      </c>
      <c r="G1100" s="5" t="n">
        <v>-0.004989775708821029</v>
      </c>
      <c r="H1100" s="5" t="n">
        <v>-0.008323632086939547</v>
      </c>
      <c r="I1100" s="5" t="n">
        <v>-0.001207959220831574</v>
      </c>
      <c r="J1100" s="5" t="n">
        <v>-0.006073559668623382</v>
      </c>
      <c r="K1100" s="5" t="n">
        <v>-0.0005439484462739274</v>
      </c>
      <c r="L1100" s="5" t="n">
        <v>0.003537968188575168</v>
      </c>
      <c r="M1100" s="5">
        <f>SUMPRODUCT(Exposures!$B$6:$K$6,B1100:K1100)</f>
        <v/>
      </c>
      <c r="N1100" s="5">
        <f>IF(AND($A1100&gt;=DATE(2020,2,1),$A1100&lt;=DATE(2020,5,31)),$M1100,"")</f>
        <v/>
      </c>
      <c r="O1100" s="5">
        <f>IF(AND($A1100&gt;=DATE(2022,1,1),$A1100&lt;=DATE(2022,10,31)),$M1100,"")</f>
        <v/>
      </c>
      <c r="P1100" s="5">
        <f>IF(AND($A1100&gt;=DATE(2018,10,1),$A1100&lt;=DATE(2018,12,31)),$M1100,"")</f>
        <v/>
      </c>
      <c r="Q1100" s="5">
        <f>SUMPRODUCT(Exposures!$B$8:$K$8,B1100:K1100)</f>
        <v/>
      </c>
      <c r="R1100" s="5">
        <f>SUMPRODUCT(Exposures!$B$9:$K$9,B1100:K1100)</f>
        <v/>
      </c>
      <c r="S1100" s="5">
        <f>SUMPRODUCT(Exposures!$B$10:$K$10,B1100:K1100)</f>
        <v/>
      </c>
    </row>
    <row r="1101">
      <c r="A1101" s="1" t="n">
        <v>44055</v>
      </c>
      <c r="B1101" s="5" t="n">
        <v>0.001821838606754146</v>
      </c>
      <c r="C1101" s="5" t="n">
        <v>0.004109306392688809</v>
      </c>
      <c r="D1101" s="5" t="n">
        <v>0.002001302654099157</v>
      </c>
      <c r="E1101" s="5" t="n">
        <v>-0.001710250251354631</v>
      </c>
      <c r="F1101" s="5" t="n">
        <v>-0.0004959678607715218</v>
      </c>
      <c r="G1101" s="5" t="n">
        <v>0.005512460194796505</v>
      </c>
      <c r="H1101" s="5" t="n">
        <v>0.009272425381156569</v>
      </c>
      <c r="I1101" s="5" t="n">
        <v>0.00122510789221204</v>
      </c>
      <c r="J1101" s="5" t="n">
        <v>0.0002950092480018059</v>
      </c>
      <c r="K1101" s="5" t="n">
        <v>0.001421052743587868</v>
      </c>
      <c r="L1101" s="5" t="n">
        <v>-0.004983317190929208</v>
      </c>
      <c r="M1101" s="5">
        <f>SUMPRODUCT(Exposures!$B$6:$K$6,B1101:K1101)</f>
        <v/>
      </c>
      <c r="N1101" s="5">
        <f>IF(AND($A1101&gt;=DATE(2020,2,1),$A1101&lt;=DATE(2020,5,31)),$M1101,"")</f>
        <v/>
      </c>
      <c r="O1101" s="5">
        <f>IF(AND($A1101&gt;=DATE(2022,1,1),$A1101&lt;=DATE(2022,10,31)),$M1101,"")</f>
        <v/>
      </c>
      <c r="P1101" s="5">
        <f>IF(AND($A1101&gt;=DATE(2018,10,1),$A1101&lt;=DATE(2018,12,31)),$M1101,"")</f>
        <v/>
      </c>
      <c r="Q1101" s="5">
        <f>SUMPRODUCT(Exposures!$B$8:$K$8,B1101:K1101)</f>
        <v/>
      </c>
      <c r="R1101" s="5">
        <f>SUMPRODUCT(Exposures!$B$9:$K$9,B1101:K1101)</f>
        <v/>
      </c>
      <c r="S1101" s="5">
        <f>SUMPRODUCT(Exposures!$B$10:$K$10,B1101:K1101)</f>
        <v/>
      </c>
    </row>
    <row r="1102">
      <c r="A1102" s="1" t="n">
        <v>44056</v>
      </c>
      <c r="B1102" s="5" t="n">
        <v>-5.859642495314646e-05</v>
      </c>
      <c r="C1102" s="5" t="n">
        <v>-0.0003182341304146669</v>
      </c>
      <c r="D1102" s="5" t="n">
        <v>-0.003389659620919919</v>
      </c>
      <c r="E1102" s="5" t="n">
        <v>0.002379121567765334</v>
      </c>
      <c r="F1102" s="5" t="n">
        <v>0.006227894917589303</v>
      </c>
      <c r="G1102" s="5" t="n">
        <v>-0.002825787476642773</v>
      </c>
      <c r="H1102" s="5" t="n">
        <v>0.008356503022164726</v>
      </c>
      <c r="I1102" s="5" t="n">
        <v>-0.001358263285028</v>
      </c>
      <c r="J1102" s="5" t="n">
        <v>0.003156039738517438</v>
      </c>
      <c r="K1102" s="5" t="n">
        <v>-0.007878504901454926</v>
      </c>
      <c r="L1102" s="5" t="n">
        <v>-0.003357112942053482</v>
      </c>
      <c r="M1102" s="5">
        <f>SUMPRODUCT(Exposures!$B$6:$K$6,B1102:K1102)</f>
        <v/>
      </c>
      <c r="N1102" s="5">
        <f>IF(AND($A1102&gt;=DATE(2020,2,1),$A1102&lt;=DATE(2020,5,31)),$M1102,"")</f>
        <v/>
      </c>
      <c r="O1102" s="5">
        <f>IF(AND($A1102&gt;=DATE(2022,1,1),$A1102&lt;=DATE(2022,10,31)),$M1102,"")</f>
        <v/>
      </c>
      <c r="P1102" s="5">
        <f>IF(AND($A1102&gt;=DATE(2018,10,1),$A1102&lt;=DATE(2018,12,31)),$M1102,"")</f>
        <v/>
      </c>
      <c r="Q1102" s="5">
        <f>SUMPRODUCT(Exposures!$B$8:$K$8,B1102:K1102)</f>
        <v/>
      </c>
      <c r="R1102" s="5">
        <f>SUMPRODUCT(Exposures!$B$9:$K$9,B1102:K1102)</f>
        <v/>
      </c>
      <c r="S1102" s="5">
        <f>SUMPRODUCT(Exposures!$B$10:$K$10,B1102:K1102)</f>
        <v/>
      </c>
    </row>
    <row r="1103">
      <c r="A1103" s="1" t="n">
        <v>44057</v>
      </c>
      <c r="B1103" s="5" t="n">
        <v>0.0006488294532589749</v>
      </c>
      <c r="C1103" s="5" t="n">
        <v>0.000430762177528187</v>
      </c>
      <c r="D1103" s="5" t="n">
        <v>-0.003631588469890605</v>
      </c>
      <c r="E1103" s="5" t="n">
        <v>-2.333551442589684e-05</v>
      </c>
      <c r="F1103" s="5" t="n">
        <v>0.003134744861489033</v>
      </c>
      <c r="G1103" s="5" t="n">
        <v>0.001210532773116544</v>
      </c>
      <c r="H1103" s="5" t="n">
        <v>-0.005271252331229679</v>
      </c>
      <c r="I1103" s="5" t="n">
        <v>-0.000907987799261322</v>
      </c>
      <c r="J1103" s="5" t="n">
        <v>0.001198717757306777</v>
      </c>
      <c r="K1103" s="5" t="n">
        <v>-0.0003297314586663446</v>
      </c>
      <c r="L1103" s="5" t="n">
        <v>0.001243687732117277</v>
      </c>
      <c r="M1103" s="5">
        <f>SUMPRODUCT(Exposures!$B$6:$K$6,B1103:K1103)</f>
        <v/>
      </c>
      <c r="N1103" s="5">
        <f>IF(AND($A1103&gt;=DATE(2020,2,1),$A1103&lt;=DATE(2020,5,31)),$M1103,"")</f>
        <v/>
      </c>
      <c r="O1103" s="5">
        <f>IF(AND($A1103&gt;=DATE(2022,1,1),$A1103&lt;=DATE(2022,10,31)),$M1103,"")</f>
        <v/>
      </c>
      <c r="P1103" s="5">
        <f>IF(AND($A1103&gt;=DATE(2018,10,1),$A1103&lt;=DATE(2018,12,31)),$M1103,"")</f>
        <v/>
      </c>
      <c r="Q1103" s="5">
        <f>SUMPRODUCT(Exposures!$B$8:$K$8,B1103:K1103)</f>
        <v/>
      </c>
      <c r="R1103" s="5">
        <f>SUMPRODUCT(Exposures!$B$9:$K$9,B1103:K1103)</f>
        <v/>
      </c>
      <c r="S1103" s="5">
        <f>SUMPRODUCT(Exposures!$B$10:$K$10,B1103:K1103)</f>
        <v/>
      </c>
    </row>
    <row r="1104">
      <c r="A1104" s="1" t="n">
        <v>44060</v>
      </c>
      <c r="B1104" s="5" t="n">
        <v>-0.004767589029151853</v>
      </c>
      <c r="C1104" s="5" t="n">
        <v>0.00084301085123189</v>
      </c>
      <c r="D1104" s="5" t="n">
        <v>0.000890564058283028</v>
      </c>
      <c r="E1104" s="5" t="n">
        <v>-0.002652110611394151</v>
      </c>
      <c r="F1104" s="5" t="n">
        <v>-0.001989579867903406</v>
      </c>
      <c r="G1104" s="5" t="n">
        <v>0.000811913535445985</v>
      </c>
      <c r="H1104" s="5" t="n">
        <v>0.008642227545831672</v>
      </c>
      <c r="I1104" s="5" t="n">
        <v>-0.002569272623524067</v>
      </c>
      <c r="J1104" s="5" t="n">
        <v>0.003365807415948234</v>
      </c>
      <c r="K1104" s="5" t="n">
        <v>0.001265832746952002</v>
      </c>
      <c r="L1104" s="5" t="n">
        <v>-5.484127572949785e-05</v>
      </c>
      <c r="M1104" s="5">
        <f>SUMPRODUCT(Exposures!$B$6:$K$6,B1104:K1104)</f>
        <v/>
      </c>
      <c r="N1104" s="5">
        <f>IF(AND($A1104&gt;=DATE(2020,2,1),$A1104&lt;=DATE(2020,5,31)),$M1104,"")</f>
        <v/>
      </c>
      <c r="O1104" s="5">
        <f>IF(AND($A1104&gt;=DATE(2022,1,1),$A1104&lt;=DATE(2022,10,31)),$M1104,"")</f>
        <v/>
      </c>
      <c r="P1104" s="5">
        <f>IF(AND($A1104&gt;=DATE(2018,10,1),$A1104&lt;=DATE(2018,12,31)),$M1104,"")</f>
        <v/>
      </c>
      <c r="Q1104" s="5">
        <f>SUMPRODUCT(Exposures!$B$8:$K$8,B1104:K1104)</f>
        <v/>
      </c>
      <c r="R1104" s="5">
        <f>SUMPRODUCT(Exposures!$B$9:$K$9,B1104:K1104)</f>
        <v/>
      </c>
      <c r="S1104" s="5">
        <f>SUMPRODUCT(Exposures!$B$10:$K$10,B1104:K1104)</f>
        <v/>
      </c>
    </row>
    <row r="1105">
      <c r="A1105" s="1" t="n">
        <v>44061</v>
      </c>
      <c r="B1105" s="5" t="n">
        <v>-0.002223708434153241</v>
      </c>
      <c r="C1105" s="5" t="n">
        <v>-0.0009492496922930829</v>
      </c>
      <c r="D1105" s="5" t="n">
        <v>9.999431871675601e-05</v>
      </c>
      <c r="E1105" s="5" t="n">
        <v>-0.00125990859824366</v>
      </c>
      <c r="F1105" s="5" t="n">
        <v>0.00809184640322997</v>
      </c>
      <c r="G1105" s="5" t="n">
        <v>-0.007109164605294226</v>
      </c>
      <c r="H1105" s="5" t="n">
        <v>0.002530184699834516</v>
      </c>
      <c r="I1105" s="5" t="n">
        <v>-0.002069839656944386</v>
      </c>
      <c r="J1105" s="5" t="n">
        <v>-0.004117700930012898</v>
      </c>
      <c r="K1105" s="5" t="n">
        <v>-0.003484218920330916</v>
      </c>
      <c r="L1105" s="5" t="n">
        <v>-0.0004195119050060528</v>
      </c>
      <c r="M1105" s="5">
        <f>SUMPRODUCT(Exposures!$B$6:$K$6,B1105:K1105)</f>
        <v/>
      </c>
      <c r="N1105" s="5">
        <f>IF(AND($A1105&gt;=DATE(2020,2,1),$A1105&lt;=DATE(2020,5,31)),$M1105,"")</f>
        <v/>
      </c>
      <c r="O1105" s="5">
        <f>IF(AND($A1105&gt;=DATE(2022,1,1),$A1105&lt;=DATE(2022,10,31)),$M1105,"")</f>
        <v/>
      </c>
      <c r="P1105" s="5">
        <f>IF(AND($A1105&gt;=DATE(2018,10,1),$A1105&lt;=DATE(2018,12,31)),$M1105,"")</f>
        <v/>
      </c>
      <c r="Q1105" s="5">
        <f>SUMPRODUCT(Exposures!$B$8:$K$8,B1105:K1105)</f>
        <v/>
      </c>
      <c r="R1105" s="5">
        <f>SUMPRODUCT(Exposures!$B$9:$K$9,B1105:K1105)</f>
        <v/>
      </c>
      <c r="S1105" s="5">
        <f>SUMPRODUCT(Exposures!$B$10:$K$10,B1105:K1105)</f>
        <v/>
      </c>
    </row>
    <row r="1106">
      <c r="A1106" s="1" t="n">
        <v>44062</v>
      </c>
      <c r="B1106" s="5" t="n">
        <v>0.00169107097751557</v>
      </c>
      <c r="C1106" s="5" t="n">
        <v>0.0002100304333558803</v>
      </c>
      <c r="D1106" s="5" t="n">
        <v>-0.002308263504600769</v>
      </c>
      <c r="E1106" s="5" t="n">
        <v>0.0007665093363295695</v>
      </c>
      <c r="F1106" s="5" t="n">
        <v>-0.0003696309481004638</v>
      </c>
      <c r="G1106" s="5" t="n">
        <v>-0.00526903882189233</v>
      </c>
      <c r="H1106" s="5" t="n">
        <v>-0.004595307875546402</v>
      </c>
      <c r="I1106" s="5" t="n">
        <v>0.0001174410771788561</v>
      </c>
      <c r="J1106" s="5" t="n">
        <v>0.002280068267511465</v>
      </c>
      <c r="K1106" s="5" t="n">
        <v>0.003127411923885914</v>
      </c>
      <c r="L1106" s="5" t="n">
        <v>0.001769687682943689</v>
      </c>
      <c r="M1106" s="5">
        <f>SUMPRODUCT(Exposures!$B$6:$K$6,B1106:K1106)</f>
        <v/>
      </c>
      <c r="N1106" s="5">
        <f>IF(AND($A1106&gt;=DATE(2020,2,1),$A1106&lt;=DATE(2020,5,31)),$M1106,"")</f>
        <v/>
      </c>
      <c r="O1106" s="5">
        <f>IF(AND($A1106&gt;=DATE(2022,1,1),$A1106&lt;=DATE(2022,10,31)),$M1106,"")</f>
        <v/>
      </c>
      <c r="P1106" s="5">
        <f>IF(AND($A1106&gt;=DATE(2018,10,1),$A1106&lt;=DATE(2018,12,31)),$M1106,"")</f>
        <v/>
      </c>
      <c r="Q1106" s="5">
        <f>SUMPRODUCT(Exposures!$B$8:$K$8,B1106:K1106)</f>
        <v/>
      </c>
      <c r="R1106" s="5">
        <f>SUMPRODUCT(Exposures!$B$9:$K$9,B1106:K1106)</f>
        <v/>
      </c>
      <c r="S1106" s="5">
        <f>SUMPRODUCT(Exposures!$B$10:$K$10,B1106:K1106)</f>
        <v/>
      </c>
    </row>
    <row r="1107">
      <c r="A1107" s="1" t="n">
        <v>44063</v>
      </c>
      <c r="B1107" s="5" t="n">
        <v>-0.004181762811068019</v>
      </c>
      <c r="C1107" s="5" t="n">
        <v>-0.0006411540182240165</v>
      </c>
      <c r="D1107" s="5" t="n">
        <v>0.0001652015922626836</v>
      </c>
      <c r="E1107" s="5" t="n">
        <v>0.0001313546294679974</v>
      </c>
      <c r="F1107" s="5" t="n">
        <v>0.0128367547857728</v>
      </c>
      <c r="G1107" s="5" t="n">
        <v>-0.005272512077140666</v>
      </c>
      <c r="H1107" s="5" t="n">
        <v>-0.001363910650006245</v>
      </c>
      <c r="I1107" s="5" t="n">
        <v>0.001965826873738667</v>
      </c>
      <c r="J1107" s="5" t="n">
        <v>-0.0002732280655837341</v>
      </c>
      <c r="K1107" s="5" t="n">
        <v>-0.01134300629861345</v>
      </c>
      <c r="L1107" s="5" t="n">
        <v>-0.004350966201346623</v>
      </c>
      <c r="M1107" s="5">
        <f>SUMPRODUCT(Exposures!$B$6:$K$6,B1107:K1107)</f>
        <v/>
      </c>
      <c r="N1107" s="5">
        <f>IF(AND($A1107&gt;=DATE(2020,2,1),$A1107&lt;=DATE(2020,5,31)),$M1107,"")</f>
        <v/>
      </c>
      <c r="O1107" s="5">
        <f>IF(AND($A1107&gt;=DATE(2022,1,1),$A1107&lt;=DATE(2022,10,31)),$M1107,"")</f>
        <v/>
      </c>
      <c r="P1107" s="5">
        <f>IF(AND($A1107&gt;=DATE(2018,10,1),$A1107&lt;=DATE(2018,12,31)),$M1107,"")</f>
        <v/>
      </c>
      <c r="Q1107" s="5">
        <f>SUMPRODUCT(Exposures!$B$8:$K$8,B1107:K1107)</f>
        <v/>
      </c>
      <c r="R1107" s="5">
        <f>SUMPRODUCT(Exposures!$B$9:$K$9,B1107:K1107)</f>
        <v/>
      </c>
      <c r="S1107" s="5">
        <f>SUMPRODUCT(Exposures!$B$10:$K$10,B1107:K1107)</f>
        <v/>
      </c>
    </row>
    <row r="1108">
      <c r="A1108" s="1" t="n">
        <v>44064</v>
      </c>
      <c r="B1108" s="5" t="n">
        <v>-0.0007643378373229379</v>
      </c>
      <c r="C1108" s="5" t="n">
        <v>0.002524959856927494</v>
      </c>
      <c r="D1108" s="5" t="n">
        <v>0.002108322756908628</v>
      </c>
      <c r="E1108" s="5" t="n">
        <v>-0.001377035321059012</v>
      </c>
      <c r="F1108" s="5" t="n">
        <v>0.001598975370039272</v>
      </c>
      <c r="G1108" s="5" t="n">
        <v>-0.005543961659930039</v>
      </c>
      <c r="H1108" s="5" t="n">
        <v>0.00108632920633627</v>
      </c>
      <c r="I1108" s="5" t="n">
        <v>-0.002853184574572899</v>
      </c>
      <c r="J1108" s="5" t="n">
        <v>-0.00211699872426993</v>
      </c>
      <c r="K1108" s="5" t="n">
        <v>0.004476754441992936</v>
      </c>
      <c r="L1108" s="5" t="n">
        <v>-0.0007294428775162312</v>
      </c>
      <c r="M1108" s="5">
        <f>SUMPRODUCT(Exposures!$B$6:$K$6,B1108:K1108)</f>
        <v/>
      </c>
      <c r="N1108" s="5">
        <f>IF(AND($A1108&gt;=DATE(2020,2,1),$A1108&lt;=DATE(2020,5,31)),$M1108,"")</f>
        <v/>
      </c>
      <c r="O1108" s="5">
        <f>IF(AND($A1108&gt;=DATE(2022,1,1),$A1108&lt;=DATE(2022,10,31)),$M1108,"")</f>
        <v/>
      </c>
      <c r="P1108" s="5">
        <f>IF(AND($A1108&gt;=DATE(2018,10,1),$A1108&lt;=DATE(2018,12,31)),$M1108,"")</f>
        <v/>
      </c>
      <c r="Q1108" s="5">
        <f>SUMPRODUCT(Exposures!$B$8:$K$8,B1108:K1108)</f>
        <v/>
      </c>
      <c r="R1108" s="5">
        <f>SUMPRODUCT(Exposures!$B$9:$K$9,B1108:K1108)</f>
        <v/>
      </c>
      <c r="S1108" s="5">
        <f>SUMPRODUCT(Exposures!$B$10:$K$10,B1108:K1108)</f>
        <v/>
      </c>
    </row>
    <row r="1109">
      <c r="A1109" s="1" t="n">
        <v>44067</v>
      </c>
      <c r="B1109" s="5" t="n">
        <v>0.005731095713378943</v>
      </c>
      <c r="C1109" s="5" t="n">
        <v>-0.0004469598408062855</v>
      </c>
      <c r="D1109" s="5" t="n">
        <v>-0.002951982036401031</v>
      </c>
      <c r="E1109" s="5" t="n">
        <v>-0.0008676853894789665</v>
      </c>
      <c r="F1109" s="5" t="n">
        <v>0.004241695571942609</v>
      </c>
      <c r="G1109" s="5" t="n">
        <v>0.01359597162872662</v>
      </c>
      <c r="H1109" s="5" t="n">
        <v>-0.01364413664206494</v>
      </c>
      <c r="I1109" s="5" t="n">
        <v>-0.00233490296999574</v>
      </c>
      <c r="J1109" s="5" t="n">
        <v>0.00325849556563551</v>
      </c>
      <c r="K1109" s="5" t="n">
        <v>0.002714060889061249</v>
      </c>
      <c r="L1109" s="5" t="n">
        <v>0.002701400479583</v>
      </c>
      <c r="M1109" s="5">
        <f>SUMPRODUCT(Exposures!$B$6:$K$6,B1109:K1109)</f>
        <v/>
      </c>
      <c r="N1109" s="5">
        <f>IF(AND($A1109&gt;=DATE(2020,2,1),$A1109&lt;=DATE(2020,5,31)),$M1109,"")</f>
        <v/>
      </c>
      <c r="O1109" s="5">
        <f>IF(AND($A1109&gt;=DATE(2022,1,1),$A1109&lt;=DATE(2022,10,31)),$M1109,"")</f>
        <v/>
      </c>
      <c r="P1109" s="5">
        <f>IF(AND($A1109&gt;=DATE(2018,10,1),$A1109&lt;=DATE(2018,12,31)),$M1109,"")</f>
        <v/>
      </c>
      <c r="Q1109" s="5">
        <f>SUMPRODUCT(Exposures!$B$8:$K$8,B1109:K1109)</f>
        <v/>
      </c>
      <c r="R1109" s="5">
        <f>SUMPRODUCT(Exposures!$B$9:$K$9,B1109:K1109)</f>
        <v/>
      </c>
      <c r="S1109" s="5">
        <f>SUMPRODUCT(Exposures!$B$10:$K$10,B1109:K1109)</f>
        <v/>
      </c>
    </row>
    <row r="1110">
      <c r="A1110" s="1" t="n">
        <v>44068</v>
      </c>
      <c r="B1110" s="5" t="n">
        <v>-0.003047928122659016</v>
      </c>
      <c r="C1110" s="5" t="n">
        <v>-0.003300958982458247</v>
      </c>
      <c r="D1110" s="5" t="n">
        <v>0.002548101054930888</v>
      </c>
      <c r="E1110" s="5" t="n">
        <v>0.00143928654075598</v>
      </c>
      <c r="F1110" s="5" t="n">
        <v>0.00505210874957264</v>
      </c>
      <c r="G1110" s="5" t="n">
        <v>-0.0007627785385458821</v>
      </c>
      <c r="H1110" s="5" t="n">
        <v>0.00240050766924627</v>
      </c>
      <c r="I1110" s="5" t="n">
        <v>0.001624778065742022</v>
      </c>
      <c r="J1110" s="5" t="n">
        <v>-0.000427190591195933</v>
      </c>
      <c r="K1110" s="5" t="n">
        <v>-0.002185686098236376</v>
      </c>
      <c r="L1110" s="5" t="n">
        <v>0.002120847320000326</v>
      </c>
      <c r="M1110" s="5">
        <f>SUMPRODUCT(Exposures!$B$6:$K$6,B1110:K1110)</f>
        <v/>
      </c>
      <c r="N1110" s="5">
        <f>IF(AND($A1110&gt;=DATE(2020,2,1),$A1110&lt;=DATE(2020,5,31)),$M1110,"")</f>
        <v/>
      </c>
      <c r="O1110" s="5">
        <f>IF(AND($A1110&gt;=DATE(2022,1,1),$A1110&lt;=DATE(2022,10,31)),$M1110,"")</f>
        <v/>
      </c>
      <c r="P1110" s="5">
        <f>IF(AND($A1110&gt;=DATE(2018,10,1),$A1110&lt;=DATE(2018,12,31)),$M1110,"")</f>
        <v/>
      </c>
      <c r="Q1110" s="5">
        <f>SUMPRODUCT(Exposures!$B$8:$K$8,B1110:K1110)</f>
        <v/>
      </c>
      <c r="R1110" s="5">
        <f>SUMPRODUCT(Exposures!$B$9:$K$9,B1110:K1110)</f>
        <v/>
      </c>
      <c r="S1110" s="5">
        <f>SUMPRODUCT(Exposures!$B$10:$K$10,B1110:K1110)</f>
        <v/>
      </c>
    </row>
    <row r="1111">
      <c r="A1111" s="1" t="n">
        <v>44069</v>
      </c>
      <c r="B1111" s="5" t="n">
        <v>-0.0009402285785369982</v>
      </c>
      <c r="C1111" s="5" t="n">
        <v>-0.000529593208267582</v>
      </c>
      <c r="D1111" s="5" t="n">
        <v>0.002754201166236348</v>
      </c>
      <c r="E1111" s="5" t="n">
        <v>0.001658166293774305</v>
      </c>
      <c r="F1111" s="5" t="n">
        <v>0.004000579535783753</v>
      </c>
      <c r="G1111" s="5" t="n">
        <v>-0.00205485368562933</v>
      </c>
      <c r="H1111" s="5" t="n">
        <v>0.008803858152951925</v>
      </c>
      <c r="I1111" s="5" t="n">
        <v>-0.0006977785549670692</v>
      </c>
      <c r="J1111" s="5" t="n">
        <v>0.001556011917732627</v>
      </c>
      <c r="K1111" s="5" t="n">
        <v>-0.001101828007152705</v>
      </c>
      <c r="L1111" s="5" t="n">
        <v>-0.001353803623263499</v>
      </c>
      <c r="M1111" s="5">
        <f>SUMPRODUCT(Exposures!$B$6:$K$6,B1111:K1111)</f>
        <v/>
      </c>
      <c r="N1111" s="5">
        <f>IF(AND($A1111&gt;=DATE(2020,2,1),$A1111&lt;=DATE(2020,5,31)),$M1111,"")</f>
        <v/>
      </c>
      <c r="O1111" s="5">
        <f>IF(AND($A1111&gt;=DATE(2022,1,1),$A1111&lt;=DATE(2022,10,31)),$M1111,"")</f>
        <v/>
      </c>
      <c r="P1111" s="5">
        <f>IF(AND($A1111&gt;=DATE(2018,10,1),$A1111&lt;=DATE(2018,12,31)),$M1111,"")</f>
        <v/>
      </c>
      <c r="Q1111" s="5">
        <f>SUMPRODUCT(Exposures!$B$8:$K$8,B1111:K1111)</f>
        <v/>
      </c>
      <c r="R1111" s="5">
        <f>SUMPRODUCT(Exposures!$B$9:$K$9,B1111:K1111)</f>
        <v/>
      </c>
      <c r="S1111" s="5">
        <f>SUMPRODUCT(Exposures!$B$10:$K$10,B1111:K1111)</f>
        <v/>
      </c>
    </row>
    <row r="1112">
      <c r="A1112" s="1" t="n">
        <v>44070</v>
      </c>
      <c r="B1112" s="5" t="n">
        <v>-0.0005325116744266845</v>
      </c>
      <c r="C1112" s="5" t="n">
        <v>0.001265060790170953</v>
      </c>
      <c r="D1112" s="5" t="n">
        <v>-0.003648139994132517</v>
      </c>
      <c r="E1112" s="5" t="n">
        <v>0.004800467418158005</v>
      </c>
      <c r="F1112" s="5" t="n">
        <v>0.0005599043250024698</v>
      </c>
      <c r="G1112" s="5" t="n">
        <v>0.009757664627251004</v>
      </c>
      <c r="H1112" s="5" t="n">
        <v>-0.00777332362258996</v>
      </c>
      <c r="I1112" s="5" t="n">
        <v>0.0006250988107627992</v>
      </c>
      <c r="J1112" s="5" t="n">
        <v>0.004739105161496365</v>
      </c>
      <c r="K1112" s="5" t="n">
        <v>-0.002169052704873401</v>
      </c>
      <c r="L1112" s="5" t="n">
        <v>-0.001680413017540723</v>
      </c>
      <c r="M1112" s="5">
        <f>SUMPRODUCT(Exposures!$B$6:$K$6,B1112:K1112)</f>
        <v/>
      </c>
      <c r="N1112" s="5">
        <f>IF(AND($A1112&gt;=DATE(2020,2,1),$A1112&lt;=DATE(2020,5,31)),$M1112,"")</f>
        <v/>
      </c>
      <c r="O1112" s="5">
        <f>IF(AND($A1112&gt;=DATE(2022,1,1),$A1112&lt;=DATE(2022,10,31)),$M1112,"")</f>
        <v/>
      </c>
      <c r="P1112" s="5">
        <f>IF(AND($A1112&gt;=DATE(2018,10,1),$A1112&lt;=DATE(2018,12,31)),$M1112,"")</f>
        <v/>
      </c>
      <c r="Q1112" s="5">
        <f>SUMPRODUCT(Exposures!$B$8:$K$8,B1112:K1112)</f>
        <v/>
      </c>
      <c r="R1112" s="5">
        <f>SUMPRODUCT(Exposures!$B$9:$K$9,B1112:K1112)</f>
        <v/>
      </c>
      <c r="S1112" s="5">
        <f>SUMPRODUCT(Exposures!$B$10:$K$10,B1112:K1112)</f>
        <v/>
      </c>
    </row>
    <row r="1113">
      <c r="A1113" s="1" t="n">
        <v>44071</v>
      </c>
      <c r="B1113" s="5" t="n">
        <v>0.003823539008054668</v>
      </c>
      <c r="C1113" s="5" t="n">
        <v>0.002250879411894636</v>
      </c>
      <c r="D1113" s="5" t="n">
        <v>0.007598545550826002</v>
      </c>
      <c r="E1113" s="5" t="n">
        <v>-0.001982726167250518</v>
      </c>
      <c r="F1113" s="5" t="n">
        <v>-8.281378819728711e-05</v>
      </c>
      <c r="G1113" s="5" t="n">
        <v>0.009205783073558165</v>
      </c>
      <c r="H1113" s="5" t="n">
        <v>-0.0008172447114002545</v>
      </c>
      <c r="I1113" s="5" t="n">
        <v>0.002020517608958576</v>
      </c>
      <c r="J1113" s="5" t="n">
        <v>0.004757856383263851</v>
      </c>
      <c r="K1113" s="5" t="n">
        <v>-0.0005242055369984234</v>
      </c>
      <c r="L1113" s="5" t="n">
        <v>-0.002294913329770463</v>
      </c>
      <c r="M1113" s="5">
        <f>SUMPRODUCT(Exposures!$B$6:$K$6,B1113:K1113)</f>
        <v/>
      </c>
      <c r="N1113" s="5">
        <f>IF(AND($A1113&gt;=DATE(2020,2,1),$A1113&lt;=DATE(2020,5,31)),$M1113,"")</f>
        <v/>
      </c>
      <c r="O1113" s="5">
        <f>IF(AND($A1113&gt;=DATE(2022,1,1),$A1113&lt;=DATE(2022,10,31)),$M1113,"")</f>
        <v/>
      </c>
      <c r="P1113" s="5">
        <f>IF(AND($A1113&gt;=DATE(2018,10,1),$A1113&lt;=DATE(2018,12,31)),$M1113,"")</f>
        <v/>
      </c>
      <c r="Q1113" s="5">
        <f>SUMPRODUCT(Exposures!$B$8:$K$8,B1113:K1113)</f>
        <v/>
      </c>
      <c r="R1113" s="5">
        <f>SUMPRODUCT(Exposures!$B$9:$K$9,B1113:K1113)</f>
        <v/>
      </c>
      <c r="S1113" s="5">
        <f>SUMPRODUCT(Exposures!$B$10:$K$10,B1113:K1113)</f>
        <v/>
      </c>
    </row>
    <row r="1114">
      <c r="A1114" s="1" t="n">
        <v>44074</v>
      </c>
      <c r="B1114" s="5" t="n">
        <v>-0.00770880120741228</v>
      </c>
      <c r="C1114" s="5" t="n">
        <v>0.002212269747968776</v>
      </c>
      <c r="D1114" s="5" t="n">
        <v>-0.0028392721179326</v>
      </c>
      <c r="E1114" s="5" t="n">
        <v>0.001978383444520167</v>
      </c>
      <c r="F1114" s="5" t="n">
        <v>0.004889877964367064</v>
      </c>
      <c r="G1114" s="5" t="n">
        <v>-0.009285055428602921</v>
      </c>
      <c r="H1114" s="5" t="n">
        <v>0.004664078202577518</v>
      </c>
      <c r="I1114" s="5" t="n">
        <v>0.0004887001303436017</v>
      </c>
      <c r="J1114" s="5" t="n">
        <v>0.0003283901937697221</v>
      </c>
      <c r="K1114" s="5" t="n">
        <v>-0.003297552208534203</v>
      </c>
      <c r="L1114" s="5" t="n">
        <v>-0.003549199146050582</v>
      </c>
      <c r="M1114" s="5">
        <f>SUMPRODUCT(Exposures!$B$6:$K$6,B1114:K1114)</f>
        <v/>
      </c>
      <c r="N1114" s="5">
        <f>IF(AND($A1114&gt;=DATE(2020,2,1),$A1114&lt;=DATE(2020,5,31)),$M1114,"")</f>
        <v/>
      </c>
      <c r="O1114" s="5">
        <f>IF(AND($A1114&gt;=DATE(2022,1,1),$A1114&lt;=DATE(2022,10,31)),$M1114,"")</f>
        <v/>
      </c>
      <c r="P1114" s="5">
        <f>IF(AND($A1114&gt;=DATE(2018,10,1),$A1114&lt;=DATE(2018,12,31)),$M1114,"")</f>
        <v/>
      </c>
      <c r="Q1114" s="5">
        <f>SUMPRODUCT(Exposures!$B$8:$K$8,B1114:K1114)</f>
        <v/>
      </c>
      <c r="R1114" s="5">
        <f>SUMPRODUCT(Exposures!$B$9:$K$9,B1114:K1114)</f>
        <v/>
      </c>
      <c r="S1114" s="5">
        <f>SUMPRODUCT(Exposures!$B$10:$K$10,B1114:K1114)</f>
        <v/>
      </c>
    </row>
    <row r="1115">
      <c r="A1115" s="1" t="n">
        <v>44075</v>
      </c>
      <c r="B1115" s="5" t="n">
        <v>0.009743887320045342</v>
      </c>
      <c r="C1115" s="5" t="n">
        <v>0.0001766094685904491</v>
      </c>
      <c r="D1115" s="5" t="n">
        <v>-0.001014505902111779</v>
      </c>
      <c r="E1115" s="5" t="n">
        <v>-0.003472637577817207</v>
      </c>
      <c r="F1115" s="5" t="n">
        <v>0.004457200927382432</v>
      </c>
      <c r="G1115" s="5" t="n">
        <v>0.005162235861975658</v>
      </c>
      <c r="H1115" s="5" t="n">
        <v>0.009575064466172366</v>
      </c>
      <c r="I1115" s="5" t="n">
        <v>-0.004903502350460337</v>
      </c>
      <c r="J1115" s="5" t="n">
        <v>-0.003354022646114304</v>
      </c>
      <c r="K1115" s="5" t="n">
        <v>-0.004932799312824847</v>
      </c>
      <c r="L1115" s="5" t="n">
        <v>0.0009039071668536091</v>
      </c>
      <c r="M1115" s="5">
        <f>SUMPRODUCT(Exposures!$B$6:$K$6,B1115:K1115)</f>
        <v/>
      </c>
      <c r="N1115" s="5">
        <f>IF(AND($A1115&gt;=DATE(2020,2,1),$A1115&lt;=DATE(2020,5,31)),$M1115,"")</f>
        <v/>
      </c>
      <c r="O1115" s="5">
        <f>IF(AND($A1115&gt;=DATE(2022,1,1),$A1115&lt;=DATE(2022,10,31)),$M1115,"")</f>
        <v/>
      </c>
      <c r="P1115" s="5">
        <f>IF(AND($A1115&gt;=DATE(2018,10,1),$A1115&lt;=DATE(2018,12,31)),$M1115,"")</f>
        <v/>
      </c>
      <c r="Q1115" s="5">
        <f>SUMPRODUCT(Exposures!$B$8:$K$8,B1115:K1115)</f>
        <v/>
      </c>
      <c r="R1115" s="5">
        <f>SUMPRODUCT(Exposures!$B$9:$K$9,B1115:K1115)</f>
        <v/>
      </c>
      <c r="S1115" s="5">
        <f>SUMPRODUCT(Exposures!$B$10:$K$10,B1115:K1115)</f>
        <v/>
      </c>
    </row>
    <row r="1116">
      <c r="A1116" s="1" t="n">
        <v>44076</v>
      </c>
      <c r="B1116" s="5" t="n">
        <v>0.002387227010258861</v>
      </c>
      <c r="C1116" s="5" t="n">
        <v>0.001170149005176661</v>
      </c>
      <c r="D1116" s="5" t="n">
        <v>-0.001747019949439437</v>
      </c>
      <c r="E1116" s="5" t="n">
        <v>-0.0007609241180026011</v>
      </c>
      <c r="F1116" s="5" t="n">
        <v>-0.001048680029431149</v>
      </c>
      <c r="G1116" s="5" t="n">
        <v>0.01739929105942861</v>
      </c>
      <c r="H1116" s="5" t="n">
        <v>-0.003762266549063764</v>
      </c>
      <c r="I1116" s="5" t="n">
        <v>0.00254505203935787</v>
      </c>
      <c r="J1116" s="5" t="n">
        <v>-0.004572112210189824</v>
      </c>
      <c r="K1116" s="5" t="n">
        <v>-0.004064308353837123</v>
      </c>
      <c r="L1116" s="5" t="n">
        <v>-0.003386614286055276</v>
      </c>
      <c r="M1116" s="5">
        <f>SUMPRODUCT(Exposures!$B$6:$K$6,B1116:K1116)</f>
        <v/>
      </c>
      <c r="N1116" s="5">
        <f>IF(AND($A1116&gt;=DATE(2020,2,1),$A1116&lt;=DATE(2020,5,31)),$M1116,"")</f>
        <v/>
      </c>
      <c r="O1116" s="5">
        <f>IF(AND($A1116&gt;=DATE(2022,1,1),$A1116&lt;=DATE(2022,10,31)),$M1116,"")</f>
        <v/>
      </c>
      <c r="P1116" s="5">
        <f>IF(AND($A1116&gt;=DATE(2018,10,1),$A1116&lt;=DATE(2018,12,31)),$M1116,"")</f>
        <v/>
      </c>
      <c r="Q1116" s="5">
        <f>SUMPRODUCT(Exposures!$B$8:$K$8,B1116:K1116)</f>
        <v/>
      </c>
      <c r="R1116" s="5">
        <f>SUMPRODUCT(Exposures!$B$9:$K$9,B1116:K1116)</f>
        <v/>
      </c>
      <c r="S1116" s="5">
        <f>SUMPRODUCT(Exposures!$B$10:$K$10,B1116:K1116)</f>
        <v/>
      </c>
    </row>
    <row r="1117">
      <c r="A1117" s="1" t="n">
        <v>44077</v>
      </c>
      <c r="B1117" s="5" t="n">
        <v>-0.002471113214036702</v>
      </c>
      <c r="C1117" s="5" t="n">
        <v>0.001342786629148807</v>
      </c>
      <c r="D1117" s="5" t="n">
        <v>0.003996742763886848</v>
      </c>
      <c r="E1117" s="5" t="n">
        <v>0.003221016423247916</v>
      </c>
      <c r="F1117" s="5" t="n">
        <v>-0.006573878167563243</v>
      </c>
      <c r="G1117" s="5" t="n">
        <v>-0.02817372181998458</v>
      </c>
      <c r="H1117" s="5" t="n">
        <v>-0.01950042170558696</v>
      </c>
      <c r="I1117" s="5" t="n">
        <v>0.000330309996650459</v>
      </c>
      <c r="J1117" s="5" t="n">
        <v>-0.002589153261799478</v>
      </c>
      <c r="K1117" s="5" t="n">
        <v>0.005601529207904314</v>
      </c>
      <c r="L1117" s="5" t="n">
        <v>0.001530632771014983</v>
      </c>
      <c r="M1117" s="5">
        <f>SUMPRODUCT(Exposures!$B$6:$K$6,B1117:K1117)</f>
        <v/>
      </c>
      <c r="N1117" s="5">
        <f>IF(AND($A1117&gt;=DATE(2020,2,1),$A1117&lt;=DATE(2020,5,31)),$M1117,"")</f>
        <v/>
      </c>
      <c r="O1117" s="5">
        <f>IF(AND($A1117&gt;=DATE(2022,1,1),$A1117&lt;=DATE(2022,10,31)),$M1117,"")</f>
        <v/>
      </c>
      <c r="P1117" s="5">
        <f>IF(AND($A1117&gt;=DATE(2018,10,1),$A1117&lt;=DATE(2018,12,31)),$M1117,"")</f>
        <v/>
      </c>
      <c r="Q1117" s="5">
        <f>SUMPRODUCT(Exposures!$B$8:$K$8,B1117:K1117)</f>
        <v/>
      </c>
      <c r="R1117" s="5">
        <f>SUMPRODUCT(Exposures!$B$9:$K$9,B1117:K1117)</f>
        <v/>
      </c>
      <c r="S1117" s="5">
        <f>SUMPRODUCT(Exposures!$B$10:$K$10,B1117:K1117)</f>
        <v/>
      </c>
    </row>
    <row r="1118">
      <c r="A1118" s="1" t="n">
        <v>44078</v>
      </c>
      <c r="B1118" s="5" t="n">
        <v>0.004139602921940942</v>
      </c>
      <c r="C1118" s="5" t="n">
        <v>0.002858061831444346</v>
      </c>
      <c r="D1118" s="5" t="n">
        <v>0.000572361968540059</v>
      </c>
      <c r="E1118" s="5" t="n">
        <v>0.004768807603426759</v>
      </c>
      <c r="F1118" s="5" t="n">
        <v>-0.003544560488544867</v>
      </c>
      <c r="G1118" s="5" t="n">
        <v>-0.00164196520597391</v>
      </c>
      <c r="H1118" s="5" t="n">
        <v>-0.00710888791528367</v>
      </c>
      <c r="I1118" s="5" t="n">
        <v>-0.0004871230803595653</v>
      </c>
      <c r="J1118" s="5" t="n">
        <v>0.005099095050407409</v>
      </c>
      <c r="K1118" s="5" t="n">
        <v>0.007877325866237626</v>
      </c>
      <c r="L1118" s="5" t="n">
        <v>0.003099586787270181</v>
      </c>
      <c r="M1118" s="5">
        <f>SUMPRODUCT(Exposures!$B$6:$K$6,B1118:K1118)</f>
        <v/>
      </c>
      <c r="N1118" s="5">
        <f>IF(AND($A1118&gt;=DATE(2020,2,1),$A1118&lt;=DATE(2020,5,31)),$M1118,"")</f>
        <v/>
      </c>
      <c r="O1118" s="5">
        <f>IF(AND($A1118&gt;=DATE(2022,1,1),$A1118&lt;=DATE(2022,10,31)),$M1118,"")</f>
        <v/>
      </c>
      <c r="P1118" s="5">
        <f>IF(AND($A1118&gt;=DATE(2018,10,1),$A1118&lt;=DATE(2018,12,31)),$M1118,"")</f>
        <v/>
      </c>
      <c r="Q1118" s="5">
        <f>SUMPRODUCT(Exposures!$B$8:$K$8,B1118:K1118)</f>
        <v/>
      </c>
      <c r="R1118" s="5">
        <f>SUMPRODUCT(Exposures!$B$9:$K$9,B1118:K1118)</f>
        <v/>
      </c>
      <c r="S1118" s="5">
        <f>SUMPRODUCT(Exposures!$B$10:$K$10,B1118:K1118)</f>
        <v/>
      </c>
    </row>
    <row r="1119">
      <c r="A1119" s="1" t="n">
        <v>44082</v>
      </c>
      <c r="B1119" s="5" t="n">
        <v>-0.007535601046424939</v>
      </c>
      <c r="C1119" s="5" t="n">
        <v>0.0002659995461278926</v>
      </c>
      <c r="D1119" s="5" t="n">
        <v>-0.001699513347666233</v>
      </c>
      <c r="E1119" s="5" t="n">
        <v>0.002078512385540417</v>
      </c>
      <c r="F1119" s="5" t="n">
        <v>-0.001794224890292081</v>
      </c>
      <c r="G1119" s="5" t="n">
        <v>-0.02271092084965857</v>
      </c>
      <c r="H1119" s="5" t="n">
        <v>-0.003601905955705829</v>
      </c>
      <c r="I1119" s="5" t="n">
        <v>-0.001411863463910183</v>
      </c>
      <c r="J1119" s="5" t="n">
        <v>0.002246301428221225</v>
      </c>
      <c r="K1119" s="5" t="n">
        <v>-0.002158573130370215</v>
      </c>
      <c r="L1119" s="5" t="n">
        <v>-0.001113191302386308</v>
      </c>
      <c r="M1119" s="5">
        <f>SUMPRODUCT(Exposures!$B$6:$K$6,B1119:K1119)</f>
        <v/>
      </c>
      <c r="N1119" s="5">
        <f>IF(AND($A1119&gt;=DATE(2020,2,1),$A1119&lt;=DATE(2020,5,31)),$M1119,"")</f>
        <v/>
      </c>
      <c r="O1119" s="5">
        <f>IF(AND($A1119&gt;=DATE(2022,1,1),$A1119&lt;=DATE(2022,10,31)),$M1119,"")</f>
        <v/>
      </c>
      <c r="P1119" s="5">
        <f>IF(AND($A1119&gt;=DATE(2018,10,1),$A1119&lt;=DATE(2018,12,31)),$M1119,"")</f>
        <v/>
      </c>
      <c r="Q1119" s="5">
        <f>SUMPRODUCT(Exposures!$B$8:$K$8,B1119:K1119)</f>
        <v/>
      </c>
      <c r="R1119" s="5">
        <f>SUMPRODUCT(Exposures!$B$9:$K$9,B1119:K1119)</f>
        <v/>
      </c>
      <c r="S1119" s="5">
        <f>SUMPRODUCT(Exposures!$B$10:$K$10,B1119:K1119)</f>
        <v/>
      </c>
    </row>
    <row r="1120">
      <c r="A1120" s="1" t="n">
        <v>44083</v>
      </c>
      <c r="B1120" s="5" t="n">
        <v>-0.0001927797921556715</v>
      </c>
      <c r="C1120" s="5" t="n">
        <v>-9.394965456424939e-05</v>
      </c>
      <c r="D1120" s="5" t="n">
        <v>0.0005567813312642568</v>
      </c>
      <c r="E1120" s="5" t="n">
        <v>0.0003093160690751707</v>
      </c>
      <c r="F1120" s="5" t="n">
        <v>0.001814024615609726</v>
      </c>
      <c r="G1120" s="5" t="n">
        <v>0.01136140545271769</v>
      </c>
      <c r="H1120" s="5" t="n">
        <v>0.0103537086665376</v>
      </c>
      <c r="I1120" s="5" t="n">
        <v>8.262205432255494e-05</v>
      </c>
      <c r="J1120" s="5" t="n">
        <v>-0.004264721957845804</v>
      </c>
      <c r="K1120" s="5" t="n">
        <v>-0.003440407209849445</v>
      </c>
      <c r="L1120" s="5" t="n">
        <v>-0.002280542092900431</v>
      </c>
      <c r="M1120" s="5">
        <f>SUMPRODUCT(Exposures!$B$6:$K$6,B1120:K1120)</f>
        <v/>
      </c>
      <c r="N1120" s="5">
        <f>IF(AND($A1120&gt;=DATE(2020,2,1),$A1120&lt;=DATE(2020,5,31)),$M1120,"")</f>
        <v/>
      </c>
      <c r="O1120" s="5">
        <f>IF(AND($A1120&gt;=DATE(2022,1,1),$A1120&lt;=DATE(2022,10,31)),$M1120,"")</f>
        <v/>
      </c>
      <c r="P1120" s="5">
        <f>IF(AND($A1120&gt;=DATE(2018,10,1),$A1120&lt;=DATE(2018,12,31)),$M1120,"")</f>
        <v/>
      </c>
      <c r="Q1120" s="5">
        <f>SUMPRODUCT(Exposures!$B$8:$K$8,B1120:K1120)</f>
        <v/>
      </c>
      <c r="R1120" s="5">
        <f>SUMPRODUCT(Exposures!$B$9:$K$9,B1120:K1120)</f>
        <v/>
      </c>
      <c r="S1120" s="5">
        <f>SUMPRODUCT(Exposures!$B$10:$K$10,B1120:K1120)</f>
        <v/>
      </c>
    </row>
    <row r="1121">
      <c r="A1121" s="1" t="n">
        <v>44084</v>
      </c>
      <c r="B1121" s="5" t="n">
        <v>0.001729318501545364</v>
      </c>
      <c r="C1121" s="5" t="n">
        <v>0.001559329472715908</v>
      </c>
      <c r="D1121" s="5" t="n">
        <v>0.001139990022100833</v>
      </c>
      <c r="E1121" s="5" t="n">
        <v>-0.0007649404925521073</v>
      </c>
      <c r="F1121" s="5" t="n">
        <v>-7.845273281757411e-05</v>
      </c>
      <c r="G1121" s="5" t="n">
        <v>-0.0129876342505645</v>
      </c>
      <c r="H1121" s="5" t="n">
        <v>0.0006370081266680245</v>
      </c>
      <c r="I1121" s="5" t="n">
        <v>-0.001481102219549986</v>
      </c>
      <c r="J1121" s="5" t="n">
        <v>-0.001220959879235281</v>
      </c>
      <c r="K1121" s="5" t="n">
        <v>-0.003238537165017915</v>
      </c>
      <c r="L1121" s="5" t="n">
        <v>-0.003537844621437673</v>
      </c>
      <c r="M1121" s="5">
        <f>SUMPRODUCT(Exposures!$B$6:$K$6,B1121:K1121)</f>
        <v/>
      </c>
      <c r="N1121" s="5">
        <f>IF(AND($A1121&gt;=DATE(2020,2,1),$A1121&lt;=DATE(2020,5,31)),$M1121,"")</f>
        <v/>
      </c>
      <c r="O1121" s="5">
        <f>IF(AND($A1121&gt;=DATE(2022,1,1),$A1121&lt;=DATE(2022,10,31)),$M1121,"")</f>
        <v/>
      </c>
      <c r="P1121" s="5">
        <f>IF(AND($A1121&gt;=DATE(2018,10,1),$A1121&lt;=DATE(2018,12,31)),$M1121,"")</f>
        <v/>
      </c>
      <c r="Q1121" s="5">
        <f>SUMPRODUCT(Exposures!$B$8:$K$8,B1121:K1121)</f>
        <v/>
      </c>
      <c r="R1121" s="5">
        <f>SUMPRODUCT(Exposures!$B$9:$K$9,B1121:K1121)</f>
        <v/>
      </c>
      <c r="S1121" s="5">
        <f>SUMPRODUCT(Exposures!$B$10:$K$10,B1121:K1121)</f>
        <v/>
      </c>
    </row>
    <row r="1122">
      <c r="A1122" s="1" t="n">
        <v>44085</v>
      </c>
      <c r="B1122" s="5" t="n">
        <v>0.002401611353581272</v>
      </c>
      <c r="C1122" s="5" t="n">
        <v>0.003428526221245843</v>
      </c>
      <c r="D1122" s="5" t="n">
        <v>0.001005767263937497</v>
      </c>
      <c r="E1122" s="5" t="n">
        <v>1.179471983140387e-05</v>
      </c>
      <c r="F1122" s="5" t="n">
        <v>-0.00609606581260413</v>
      </c>
      <c r="G1122" s="5" t="n">
        <v>-0.0007626712769027667</v>
      </c>
      <c r="H1122" s="5" t="n">
        <v>-0.004267877876247761</v>
      </c>
      <c r="I1122" s="5" t="n">
        <v>-0.0019313054389729</v>
      </c>
      <c r="J1122" s="5" t="n">
        <v>-0.002429844497481707</v>
      </c>
      <c r="K1122" s="5" t="n">
        <v>0.007980838464543005</v>
      </c>
      <c r="L1122" s="5" t="n">
        <v>-0.001161284603110402</v>
      </c>
      <c r="M1122" s="5">
        <f>SUMPRODUCT(Exposures!$B$6:$K$6,B1122:K1122)</f>
        <v/>
      </c>
      <c r="N1122" s="5">
        <f>IF(AND($A1122&gt;=DATE(2020,2,1),$A1122&lt;=DATE(2020,5,31)),$M1122,"")</f>
        <v/>
      </c>
      <c r="O1122" s="5">
        <f>IF(AND($A1122&gt;=DATE(2022,1,1),$A1122&lt;=DATE(2022,10,31)),$M1122,"")</f>
        <v/>
      </c>
      <c r="P1122" s="5">
        <f>IF(AND($A1122&gt;=DATE(2018,10,1),$A1122&lt;=DATE(2018,12,31)),$M1122,"")</f>
        <v/>
      </c>
      <c r="Q1122" s="5">
        <f>SUMPRODUCT(Exposures!$B$8:$K$8,B1122:K1122)</f>
        <v/>
      </c>
      <c r="R1122" s="5">
        <f>SUMPRODUCT(Exposures!$B$9:$K$9,B1122:K1122)</f>
        <v/>
      </c>
      <c r="S1122" s="5">
        <f>SUMPRODUCT(Exposures!$B$10:$K$10,B1122:K1122)</f>
        <v/>
      </c>
    </row>
    <row r="1123">
      <c r="A1123" s="1" t="n">
        <v>44088</v>
      </c>
      <c r="B1123" s="5" t="n">
        <v>0.002659172031763665</v>
      </c>
      <c r="C1123" s="5" t="n">
        <v>0.0006468881482663758</v>
      </c>
      <c r="D1123" s="5" t="n">
        <v>-0.0004018340721199819</v>
      </c>
      <c r="E1123" s="5" t="n">
        <v>-0.0009180321154740631</v>
      </c>
      <c r="F1123" s="5" t="n">
        <v>-0.005632686166734764</v>
      </c>
      <c r="G1123" s="5" t="n">
        <v>0.0195901774806976</v>
      </c>
      <c r="H1123" s="5" t="n">
        <v>0.000266322231774861</v>
      </c>
      <c r="I1123" s="5" t="n">
        <v>-0.000656455556613772</v>
      </c>
      <c r="J1123" s="5" t="n">
        <v>0.008717604831767081</v>
      </c>
      <c r="K1123" s="5" t="n">
        <v>0.006305435378734767</v>
      </c>
      <c r="L1123" s="5" t="n">
        <v>-0.002193067481227142</v>
      </c>
      <c r="M1123" s="5">
        <f>SUMPRODUCT(Exposures!$B$6:$K$6,B1123:K1123)</f>
        <v/>
      </c>
      <c r="N1123" s="5">
        <f>IF(AND($A1123&gt;=DATE(2020,2,1),$A1123&lt;=DATE(2020,5,31)),$M1123,"")</f>
        <v/>
      </c>
      <c r="O1123" s="5">
        <f>IF(AND($A1123&gt;=DATE(2022,1,1),$A1123&lt;=DATE(2022,10,31)),$M1123,"")</f>
        <v/>
      </c>
      <c r="P1123" s="5">
        <f>IF(AND($A1123&gt;=DATE(2018,10,1),$A1123&lt;=DATE(2018,12,31)),$M1123,"")</f>
        <v/>
      </c>
      <c r="Q1123" s="5">
        <f>SUMPRODUCT(Exposures!$B$8:$K$8,B1123:K1123)</f>
        <v/>
      </c>
      <c r="R1123" s="5">
        <f>SUMPRODUCT(Exposures!$B$9:$K$9,B1123:K1123)</f>
        <v/>
      </c>
      <c r="S1123" s="5">
        <f>SUMPRODUCT(Exposures!$B$10:$K$10,B1123:K1123)</f>
        <v/>
      </c>
    </row>
    <row r="1124">
      <c r="A1124" s="1" t="n">
        <v>44089</v>
      </c>
      <c r="B1124" s="5" t="n">
        <v>0.002840613527897744</v>
      </c>
      <c r="C1124" s="5" t="n">
        <v>-0.000172974209528385</v>
      </c>
      <c r="D1124" s="5" t="n">
        <v>8.332652141658034e-05</v>
      </c>
      <c r="E1124" s="5" t="n">
        <v>-0.003162503613648037</v>
      </c>
      <c r="F1124" s="5" t="n">
        <v>0.0005735907116811913</v>
      </c>
      <c r="G1124" s="5" t="n">
        <v>0.0003985196577473604</v>
      </c>
      <c r="H1124" s="5" t="n">
        <v>0.005158917157398307</v>
      </c>
      <c r="I1124" s="5" t="n">
        <v>0.001656394116681814</v>
      </c>
      <c r="J1124" s="5" t="n">
        <v>-0.001445161223927691</v>
      </c>
      <c r="K1124" s="5" t="n">
        <v>-0.004050672159887935</v>
      </c>
      <c r="L1124" s="5" t="n">
        <v>-0.006110611940631444</v>
      </c>
      <c r="M1124" s="5">
        <f>SUMPRODUCT(Exposures!$B$6:$K$6,B1124:K1124)</f>
        <v/>
      </c>
      <c r="N1124" s="5">
        <f>IF(AND($A1124&gt;=DATE(2020,2,1),$A1124&lt;=DATE(2020,5,31)),$M1124,"")</f>
        <v/>
      </c>
      <c r="O1124" s="5">
        <f>IF(AND($A1124&gt;=DATE(2022,1,1),$A1124&lt;=DATE(2022,10,31)),$M1124,"")</f>
        <v/>
      </c>
      <c r="P1124" s="5">
        <f>IF(AND($A1124&gt;=DATE(2018,10,1),$A1124&lt;=DATE(2018,12,31)),$M1124,"")</f>
        <v/>
      </c>
      <c r="Q1124" s="5">
        <f>SUMPRODUCT(Exposures!$B$8:$K$8,B1124:K1124)</f>
        <v/>
      </c>
      <c r="R1124" s="5">
        <f>SUMPRODUCT(Exposures!$B$9:$K$9,B1124:K1124)</f>
        <v/>
      </c>
      <c r="S1124" s="5">
        <f>SUMPRODUCT(Exposures!$B$10:$K$10,B1124:K1124)</f>
        <v/>
      </c>
    </row>
    <row r="1125">
      <c r="A1125" s="1" t="n">
        <v>44090</v>
      </c>
      <c r="B1125" s="5" t="n">
        <v>-0.0007347118578065847</v>
      </c>
      <c r="C1125" s="5" t="n">
        <v>-0.0005809954986529801</v>
      </c>
      <c r="D1125" s="5" t="n">
        <v>0.002362814478094175</v>
      </c>
      <c r="E1125" s="5" t="n">
        <v>0.00240483855669824</v>
      </c>
      <c r="F1125" s="5" t="n">
        <v>-0.003647846882175117</v>
      </c>
      <c r="G1125" s="5" t="n">
        <v>0.006569986350233811</v>
      </c>
      <c r="H1125" s="5" t="n">
        <v>-0.01420171543666224</v>
      </c>
      <c r="I1125" s="5" t="n">
        <v>-0.001308410236579233</v>
      </c>
      <c r="J1125" s="5" t="n">
        <v>0.003781360850244624</v>
      </c>
      <c r="K1125" s="5" t="n">
        <v>0.004836375399095335</v>
      </c>
      <c r="L1125" s="5" t="n">
        <v>0.003083548899229332</v>
      </c>
      <c r="M1125" s="5">
        <f>SUMPRODUCT(Exposures!$B$6:$K$6,B1125:K1125)</f>
        <v/>
      </c>
      <c r="N1125" s="5">
        <f>IF(AND($A1125&gt;=DATE(2020,2,1),$A1125&lt;=DATE(2020,5,31)),$M1125,"")</f>
        <v/>
      </c>
      <c r="O1125" s="5">
        <f>IF(AND($A1125&gt;=DATE(2022,1,1),$A1125&lt;=DATE(2022,10,31)),$M1125,"")</f>
        <v/>
      </c>
      <c r="P1125" s="5">
        <f>IF(AND($A1125&gt;=DATE(2018,10,1),$A1125&lt;=DATE(2018,12,31)),$M1125,"")</f>
        <v/>
      </c>
      <c r="Q1125" s="5">
        <f>SUMPRODUCT(Exposures!$B$8:$K$8,B1125:K1125)</f>
        <v/>
      </c>
      <c r="R1125" s="5">
        <f>SUMPRODUCT(Exposures!$B$9:$K$9,B1125:K1125)</f>
        <v/>
      </c>
      <c r="S1125" s="5">
        <f>SUMPRODUCT(Exposures!$B$10:$K$10,B1125:K1125)</f>
        <v/>
      </c>
    </row>
    <row r="1126">
      <c r="A1126" s="1" t="n">
        <v>44091</v>
      </c>
      <c r="B1126" s="5" t="n">
        <v>-0.001104029179626273</v>
      </c>
      <c r="C1126" s="5" t="n">
        <v>0.003600263094430162</v>
      </c>
      <c r="D1126" s="5" t="n">
        <v>-0.004139603175428114</v>
      </c>
      <c r="E1126" s="5" t="n">
        <v>-0.001514833506329306</v>
      </c>
      <c r="F1126" s="5" t="n">
        <v>-0.007505319583680052</v>
      </c>
      <c r="G1126" s="5" t="n">
        <v>-0.005275771516171384</v>
      </c>
      <c r="H1126" s="5" t="n">
        <v>-1.434283489011772e-05</v>
      </c>
      <c r="I1126" s="5" t="n">
        <v>-0.0002909676638202936</v>
      </c>
      <c r="J1126" s="5" t="n">
        <v>0.002983007398480362</v>
      </c>
      <c r="K1126" s="5" t="n">
        <v>0.007673465616886179</v>
      </c>
      <c r="L1126" s="5" t="n">
        <v>0.001181272618485964</v>
      </c>
      <c r="M1126" s="5">
        <f>SUMPRODUCT(Exposures!$B$6:$K$6,B1126:K1126)</f>
        <v/>
      </c>
      <c r="N1126" s="5">
        <f>IF(AND($A1126&gt;=DATE(2020,2,1),$A1126&lt;=DATE(2020,5,31)),$M1126,"")</f>
        <v/>
      </c>
      <c r="O1126" s="5">
        <f>IF(AND($A1126&gt;=DATE(2022,1,1),$A1126&lt;=DATE(2022,10,31)),$M1126,"")</f>
        <v/>
      </c>
      <c r="P1126" s="5">
        <f>IF(AND($A1126&gt;=DATE(2018,10,1),$A1126&lt;=DATE(2018,12,31)),$M1126,"")</f>
        <v/>
      </c>
      <c r="Q1126" s="5">
        <f>SUMPRODUCT(Exposures!$B$8:$K$8,B1126:K1126)</f>
        <v/>
      </c>
      <c r="R1126" s="5">
        <f>SUMPRODUCT(Exposures!$B$9:$K$9,B1126:K1126)</f>
        <v/>
      </c>
      <c r="S1126" s="5">
        <f>SUMPRODUCT(Exposures!$B$10:$K$10,B1126:K1126)</f>
        <v/>
      </c>
    </row>
    <row r="1127">
      <c r="A1127" s="1" t="n">
        <v>44092</v>
      </c>
      <c r="B1127" s="5" t="n">
        <v>-0.003468594772179476</v>
      </c>
      <c r="C1127" s="5" t="n">
        <v>0.000102198543226589</v>
      </c>
      <c r="D1127" s="5" t="n">
        <v>-0.001599356552550787</v>
      </c>
      <c r="E1127" s="5" t="n">
        <v>0.0002295621324523971</v>
      </c>
      <c r="F1127" s="5" t="n">
        <v>-0.01031300924209326</v>
      </c>
      <c r="G1127" s="5" t="n">
        <v>-0.006530513054461388</v>
      </c>
      <c r="H1127" s="5" t="n">
        <v>0.002450651164980412</v>
      </c>
      <c r="I1127" s="5" t="n">
        <v>0.001237584616267932</v>
      </c>
      <c r="J1127" s="5" t="n">
        <v>0.004620638418518422</v>
      </c>
      <c r="K1127" s="5" t="n">
        <v>0.008686804185228925</v>
      </c>
      <c r="L1127" s="5" t="n">
        <v>0.002333765696137806</v>
      </c>
      <c r="M1127" s="5">
        <f>SUMPRODUCT(Exposures!$B$6:$K$6,B1127:K1127)</f>
        <v/>
      </c>
      <c r="N1127" s="5">
        <f>IF(AND($A1127&gt;=DATE(2020,2,1),$A1127&lt;=DATE(2020,5,31)),$M1127,"")</f>
        <v/>
      </c>
      <c r="O1127" s="5">
        <f>IF(AND($A1127&gt;=DATE(2022,1,1),$A1127&lt;=DATE(2022,10,31)),$M1127,"")</f>
        <v/>
      </c>
      <c r="P1127" s="5">
        <f>IF(AND($A1127&gt;=DATE(2018,10,1),$A1127&lt;=DATE(2018,12,31)),$M1127,"")</f>
        <v/>
      </c>
      <c r="Q1127" s="5">
        <f>SUMPRODUCT(Exposures!$B$8:$K$8,B1127:K1127)</f>
        <v/>
      </c>
      <c r="R1127" s="5">
        <f>SUMPRODUCT(Exposures!$B$9:$K$9,B1127:K1127)</f>
        <v/>
      </c>
      <c r="S1127" s="5">
        <f>SUMPRODUCT(Exposures!$B$10:$K$10,B1127:K1127)</f>
        <v/>
      </c>
    </row>
    <row r="1128">
      <c r="A1128" s="1" t="n">
        <v>44095</v>
      </c>
      <c r="B1128" s="5" t="n">
        <v>-0.004869152746003273</v>
      </c>
      <c r="C1128" s="5" t="n">
        <v>-0.0001431517084885831</v>
      </c>
      <c r="D1128" s="5" t="n">
        <v>0.001834275205504488</v>
      </c>
      <c r="E1128" s="5" t="n">
        <v>0.0007724017606379854</v>
      </c>
      <c r="F1128" s="5" t="n">
        <v>0.009407696774096072</v>
      </c>
      <c r="G1128" s="5" t="n">
        <v>-0.02400002779089945</v>
      </c>
      <c r="H1128" s="5" t="n">
        <v>0.01166820124517338</v>
      </c>
      <c r="I1128" s="5" t="n">
        <v>-0.0007811595789148139</v>
      </c>
      <c r="J1128" s="5" t="n">
        <v>-0.001159087316231661</v>
      </c>
      <c r="K1128" s="5" t="n">
        <v>-0.00469065964415822</v>
      </c>
      <c r="L1128" s="5" t="n">
        <v>-0.003928468463368653</v>
      </c>
      <c r="M1128" s="5">
        <f>SUMPRODUCT(Exposures!$B$6:$K$6,B1128:K1128)</f>
        <v/>
      </c>
      <c r="N1128" s="5">
        <f>IF(AND($A1128&gt;=DATE(2020,2,1),$A1128&lt;=DATE(2020,5,31)),$M1128,"")</f>
        <v/>
      </c>
      <c r="O1128" s="5">
        <f>IF(AND($A1128&gt;=DATE(2022,1,1),$A1128&lt;=DATE(2022,10,31)),$M1128,"")</f>
        <v/>
      </c>
      <c r="P1128" s="5">
        <f>IF(AND($A1128&gt;=DATE(2018,10,1),$A1128&lt;=DATE(2018,12,31)),$M1128,"")</f>
        <v/>
      </c>
      <c r="Q1128" s="5">
        <f>SUMPRODUCT(Exposures!$B$8:$K$8,B1128:K1128)</f>
        <v/>
      </c>
      <c r="R1128" s="5">
        <f>SUMPRODUCT(Exposures!$B$9:$K$9,B1128:K1128)</f>
        <v/>
      </c>
      <c r="S1128" s="5">
        <f>SUMPRODUCT(Exposures!$B$10:$K$10,B1128:K1128)</f>
        <v/>
      </c>
    </row>
    <row r="1129">
      <c r="A1129" s="1" t="n">
        <v>44096</v>
      </c>
      <c r="B1129" s="5" t="n">
        <v>0.001863309313901924</v>
      </c>
      <c r="C1129" s="5" t="n">
        <v>-0.0007817808833967428</v>
      </c>
      <c r="D1129" s="5" t="n">
        <v>-0.0006648910258818682</v>
      </c>
      <c r="E1129" s="5" t="n">
        <v>0.001282156974036063</v>
      </c>
      <c r="F1129" s="5" t="n">
        <v>0.0145057730981882</v>
      </c>
      <c r="G1129" s="5" t="n">
        <v>0.004449237225470516</v>
      </c>
      <c r="H1129" s="5" t="n">
        <v>0.007226505949916032</v>
      </c>
      <c r="I1129" s="5" t="n">
        <v>-0.002224947100628913</v>
      </c>
      <c r="J1129" s="5" t="n">
        <v>0.002172964913006958</v>
      </c>
      <c r="K1129" s="5" t="n">
        <v>-0.01228852941465756</v>
      </c>
      <c r="L1129" s="5" t="n">
        <v>-0.003547151102807531</v>
      </c>
      <c r="M1129" s="5">
        <f>SUMPRODUCT(Exposures!$B$6:$K$6,B1129:K1129)</f>
        <v/>
      </c>
      <c r="N1129" s="5">
        <f>IF(AND($A1129&gt;=DATE(2020,2,1),$A1129&lt;=DATE(2020,5,31)),$M1129,"")</f>
        <v/>
      </c>
      <c r="O1129" s="5">
        <f>IF(AND($A1129&gt;=DATE(2022,1,1),$A1129&lt;=DATE(2022,10,31)),$M1129,"")</f>
        <v/>
      </c>
      <c r="P1129" s="5">
        <f>IF(AND($A1129&gt;=DATE(2018,10,1),$A1129&lt;=DATE(2018,12,31)),$M1129,"")</f>
        <v/>
      </c>
      <c r="Q1129" s="5">
        <f>SUMPRODUCT(Exposures!$B$8:$K$8,B1129:K1129)</f>
        <v/>
      </c>
      <c r="R1129" s="5">
        <f>SUMPRODUCT(Exposures!$B$9:$K$9,B1129:K1129)</f>
        <v/>
      </c>
      <c r="S1129" s="5">
        <f>SUMPRODUCT(Exposures!$B$10:$K$10,B1129:K1129)</f>
        <v/>
      </c>
    </row>
    <row r="1130">
      <c r="A1130" s="1" t="n">
        <v>44097</v>
      </c>
      <c r="B1130" s="5" t="n">
        <v>-0.004531299535772873</v>
      </c>
      <c r="C1130" s="5" t="n">
        <v>0.002120830325304862</v>
      </c>
      <c r="D1130" s="5" t="n">
        <v>0.0009995396720011787</v>
      </c>
      <c r="E1130" s="5" t="n">
        <v>0.0007908230804127093</v>
      </c>
      <c r="F1130" s="5" t="n">
        <v>-0.00209130756183288</v>
      </c>
      <c r="G1130" s="5" t="n">
        <v>-0.02391241100168181</v>
      </c>
      <c r="H1130" s="5" t="n">
        <v>-0.00376355015935937</v>
      </c>
      <c r="I1130" s="5" t="n">
        <v>-0.003790748324356585</v>
      </c>
      <c r="J1130" s="5" t="n">
        <v>-0.003351232375201268</v>
      </c>
      <c r="K1130" s="5" t="n">
        <v>0.002456918947933901</v>
      </c>
      <c r="L1130" s="5" t="n">
        <v>-0.00151314856296552</v>
      </c>
      <c r="M1130" s="5">
        <f>SUMPRODUCT(Exposures!$B$6:$K$6,B1130:K1130)</f>
        <v/>
      </c>
      <c r="N1130" s="5">
        <f>IF(AND($A1130&gt;=DATE(2020,2,1),$A1130&lt;=DATE(2020,5,31)),$M1130,"")</f>
        <v/>
      </c>
      <c r="O1130" s="5">
        <f>IF(AND($A1130&gt;=DATE(2022,1,1),$A1130&lt;=DATE(2022,10,31)),$M1130,"")</f>
        <v/>
      </c>
      <c r="P1130" s="5">
        <f>IF(AND($A1130&gt;=DATE(2018,10,1),$A1130&lt;=DATE(2018,12,31)),$M1130,"")</f>
        <v/>
      </c>
      <c r="Q1130" s="5">
        <f>SUMPRODUCT(Exposures!$B$8:$K$8,B1130:K1130)</f>
        <v/>
      </c>
      <c r="R1130" s="5">
        <f>SUMPRODUCT(Exposures!$B$9:$K$9,B1130:K1130)</f>
        <v/>
      </c>
      <c r="S1130" s="5">
        <f>SUMPRODUCT(Exposures!$B$10:$K$10,B1130:K1130)</f>
        <v/>
      </c>
    </row>
    <row r="1131">
      <c r="A1131" s="1" t="n">
        <v>44098</v>
      </c>
      <c r="B1131" s="5" t="n">
        <v>-0.0004415276781948993</v>
      </c>
      <c r="C1131" s="5" t="n">
        <v>0.00623798207867284</v>
      </c>
      <c r="D1131" s="5" t="n">
        <v>-0.0001101272140773605</v>
      </c>
      <c r="E1131" s="5" t="n">
        <v>-0.0008517110538311443</v>
      </c>
      <c r="F1131" s="5" t="n">
        <v>-0.00195529599480293</v>
      </c>
      <c r="G1131" s="5" t="n">
        <v>-0.002533839592331764</v>
      </c>
      <c r="H1131" s="5" t="n">
        <v>-0.001102747162896076</v>
      </c>
      <c r="I1131" s="5" t="n">
        <v>-0.0003099037608482378</v>
      </c>
      <c r="J1131" s="5" t="n">
        <v>-0.00434511195300791</v>
      </c>
      <c r="K1131" s="5" t="n">
        <v>-0.0004879115968491668</v>
      </c>
      <c r="L1131" s="5" t="n">
        <v>-0.0008164724121023973</v>
      </c>
      <c r="M1131" s="5">
        <f>SUMPRODUCT(Exposures!$B$6:$K$6,B1131:K1131)</f>
        <v/>
      </c>
      <c r="N1131" s="5">
        <f>IF(AND($A1131&gt;=DATE(2020,2,1),$A1131&lt;=DATE(2020,5,31)),$M1131,"")</f>
        <v/>
      </c>
      <c r="O1131" s="5">
        <f>IF(AND($A1131&gt;=DATE(2022,1,1),$A1131&lt;=DATE(2022,10,31)),$M1131,"")</f>
        <v/>
      </c>
      <c r="P1131" s="5">
        <f>IF(AND($A1131&gt;=DATE(2018,10,1),$A1131&lt;=DATE(2018,12,31)),$M1131,"")</f>
        <v/>
      </c>
      <c r="Q1131" s="5">
        <f>SUMPRODUCT(Exposures!$B$8:$K$8,B1131:K1131)</f>
        <v/>
      </c>
      <c r="R1131" s="5">
        <f>SUMPRODUCT(Exposures!$B$9:$K$9,B1131:K1131)</f>
        <v/>
      </c>
      <c r="S1131" s="5">
        <f>SUMPRODUCT(Exposures!$B$10:$K$10,B1131:K1131)</f>
        <v/>
      </c>
    </row>
    <row r="1132">
      <c r="A1132" s="1" t="n">
        <v>44099</v>
      </c>
      <c r="B1132" s="5" t="n">
        <v>0.004378546226651178</v>
      </c>
      <c r="C1132" s="5" t="n">
        <v>-0.001938829240712258</v>
      </c>
      <c r="D1132" s="5" t="n">
        <v>-0.0008236831355619843</v>
      </c>
      <c r="E1132" s="5" t="n">
        <v>-0.0005541550464973749</v>
      </c>
      <c r="F1132" s="5" t="n">
        <v>0.006213289819808022</v>
      </c>
      <c r="G1132" s="5" t="n">
        <v>0.01586587020934106</v>
      </c>
      <c r="H1132" s="5" t="n">
        <v>-0.0008814067281461447</v>
      </c>
      <c r="I1132" s="5" t="n">
        <v>0.001067455790988682</v>
      </c>
      <c r="J1132" s="5" t="n">
        <v>0.00181407807838603</v>
      </c>
      <c r="K1132" s="5" t="n">
        <v>-0.004950974661157398</v>
      </c>
      <c r="L1132" s="5" t="n">
        <v>-0.004258518595395718</v>
      </c>
      <c r="M1132" s="5">
        <f>SUMPRODUCT(Exposures!$B$6:$K$6,B1132:K1132)</f>
        <v/>
      </c>
      <c r="N1132" s="5">
        <f>IF(AND($A1132&gt;=DATE(2020,2,1),$A1132&lt;=DATE(2020,5,31)),$M1132,"")</f>
        <v/>
      </c>
      <c r="O1132" s="5">
        <f>IF(AND($A1132&gt;=DATE(2022,1,1),$A1132&lt;=DATE(2022,10,31)),$M1132,"")</f>
        <v/>
      </c>
      <c r="P1132" s="5">
        <f>IF(AND($A1132&gt;=DATE(2018,10,1),$A1132&lt;=DATE(2018,12,31)),$M1132,"")</f>
        <v/>
      </c>
      <c r="Q1132" s="5">
        <f>SUMPRODUCT(Exposures!$B$8:$K$8,B1132:K1132)</f>
        <v/>
      </c>
      <c r="R1132" s="5">
        <f>SUMPRODUCT(Exposures!$B$9:$K$9,B1132:K1132)</f>
        <v/>
      </c>
      <c r="S1132" s="5">
        <f>SUMPRODUCT(Exposures!$B$10:$K$10,B1132:K1132)</f>
        <v/>
      </c>
    </row>
    <row r="1133">
      <c r="A1133" s="1" t="n">
        <v>44102</v>
      </c>
      <c r="B1133" s="5" t="n">
        <v>0.008912811157494907</v>
      </c>
      <c r="C1133" s="5" t="n">
        <v>-0.0009924973929210494</v>
      </c>
      <c r="D1133" s="5" t="n">
        <v>0.001425180606537794</v>
      </c>
      <c r="E1133" s="5" t="n">
        <v>-0.001356248272838832</v>
      </c>
      <c r="F1133" s="5" t="n">
        <v>0.003164682003089524</v>
      </c>
      <c r="G1133" s="5" t="n">
        <v>0.02033898191518742</v>
      </c>
      <c r="H1133" s="5" t="n">
        <v>0.001534132903029159</v>
      </c>
      <c r="I1133" s="5" t="n">
        <v>0.001130251198650117</v>
      </c>
      <c r="J1133" s="5" t="n">
        <v>-0.001809922079462736</v>
      </c>
      <c r="K1133" s="5" t="n">
        <v>-0.005497739518443335</v>
      </c>
      <c r="L1133" s="5" t="n">
        <v>-0.0004446275905678585</v>
      </c>
      <c r="M1133" s="5">
        <f>SUMPRODUCT(Exposures!$B$6:$K$6,B1133:K1133)</f>
        <v/>
      </c>
      <c r="N1133" s="5">
        <f>IF(AND($A1133&gt;=DATE(2020,2,1),$A1133&lt;=DATE(2020,5,31)),$M1133,"")</f>
        <v/>
      </c>
      <c r="O1133" s="5">
        <f>IF(AND($A1133&gt;=DATE(2022,1,1),$A1133&lt;=DATE(2022,10,31)),$M1133,"")</f>
        <v/>
      </c>
      <c r="P1133" s="5">
        <f>IF(AND($A1133&gt;=DATE(2018,10,1),$A1133&lt;=DATE(2018,12,31)),$M1133,"")</f>
        <v/>
      </c>
      <c r="Q1133" s="5">
        <f>SUMPRODUCT(Exposures!$B$8:$K$8,B1133:K1133)</f>
        <v/>
      </c>
      <c r="R1133" s="5">
        <f>SUMPRODUCT(Exposures!$B$9:$K$9,B1133:K1133)</f>
        <v/>
      </c>
      <c r="S1133" s="5">
        <f>SUMPRODUCT(Exposures!$B$10:$K$10,B1133:K1133)</f>
        <v/>
      </c>
    </row>
    <row r="1134">
      <c r="A1134" s="1" t="n">
        <v>44103</v>
      </c>
      <c r="B1134" s="5" t="n">
        <v>-0.002928074436380845</v>
      </c>
      <c r="C1134" s="5" t="n">
        <v>0.0005138468056016675</v>
      </c>
      <c r="D1134" s="5" t="n">
        <v>8.68062049949694e-05</v>
      </c>
      <c r="E1134" s="5" t="n">
        <v>-0.0007507406895181529</v>
      </c>
      <c r="F1134" s="5" t="n">
        <v>-0.005418010165811099</v>
      </c>
      <c r="G1134" s="5" t="n">
        <v>-0.005710363561986034</v>
      </c>
      <c r="H1134" s="5" t="n">
        <v>0.007035669987614932</v>
      </c>
      <c r="I1134" s="5" t="n">
        <v>0.000636059877446484</v>
      </c>
      <c r="J1134" s="5" t="n">
        <v>0.0002620926261498212</v>
      </c>
      <c r="K1134" s="5" t="n">
        <v>0.004828330385937225</v>
      </c>
      <c r="L1134" s="5" t="n">
        <v>-0.0004892229007602429</v>
      </c>
      <c r="M1134" s="5">
        <f>SUMPRODUCT(Exposures!$B$6:$K$6,B1134:K1134)</f>
        <v/>
      </c>
      <c r="N1134" s="5">
        <f>IF(AND($A1134&gt;=DATE(2020,2,1),$A1134&lt;=DATE(2020,5,31)),$M1134,"")</f>
        <v/>
      </c>
      <c r="O1134" s="5">
        <f>IF(AND($A1134&gt;=DATE(2022,1,1),$A1134&lt;=DATE(2022,10,31)),$M1134,"")</f>
        <v/>
      </c>
      <c r="P1134" s="5">
        <f>IF(AND($A1134&gt;=DATE(2018,10,1),$A1134&lt;=DATE(2018,12,31)),$M1134,"")</f>
        <v/>
      </c>
      <c r="Q1134" s="5">
        <f>SUMPRODUCT(Exposures!$B$8:$K$8,B1134:K1134)</f>
        <v/>
      </c>
      <c r="R1134" s="5">
        <f>SUMPRODUCT(Exposures!$B$9:$K$9,B1134:K1134)</f>
        <v/>
      </c>
      <c r="S1134" s="5">
        <f>SUMPRODUCT(Exposures!$B$10:$K$10,B1134:K1134)</f>
        <v/>
      </c>
    </row>
    <row r="1135">
      <c r="A1135" s="1" t="n">
        <v>44104</v>
      </c>
      <c r="B1135" s="5" t="n">
        <v>0.0006512475553152762</v>
      </c>
      <c r="C1135" s="5" t="n">
        <v>0.001314052031743077</v>
      </c>
      <c r="D1135" s="5" t="n">
        <v>-0.0004600928236695724</v>
      </c>
      <c r="E1135" s="5" t="n">
        <v>0.0003091848378523095</v>
      </c>
      <c r="F1135" s="5" t="n">
        <v>-0.004686472780455609</v>
      </c>
      <c r="G1135" s="5" t="n">
        <v>0.004921483525720018</v>
      </c>
      <c r="H1135" s="5" t="n">
        <v>-0.001122828984543285</v>
      </c>
      <c r="I1135" s="5" t="n">
        <v>-0.004154356720630275</v>
      </c>
      <c r="J1135" s="5" t="n">
        <v>0.002862679655333484</v>
      </c>
      <c r="K1135" s="5" t="n">
        <v>0.01545432895016165</v>
      </c>
      <c r="L1135" s="5" t="n">
        <v>0.003079981116590019</v>
      </c>
      <c r="M1135" s="5">
        <f>SUMPRODUCT(Exposures!$B$6:$K$6,B1135:K1135)</f>
        <v/>
      </c>
      <c r="N1135" s="5">
        <f>IF(AND($A1135&gt;=DATE(2020,2,1),$A1135&lt;=DATE(2020,5,31)),$M1135,"")</f>
        <v/>
      </c>
      <c r="O1135" s="5">
        <f>IF(AND($A1135&gt;=DATE(2022,1,1),$A1135&lt;=DATE(2022,10,31)),$M1135,"")</f>
        <v/>
      </c>
      <c r="P1135" s="5">
        <f>IF(AND($A1135&gt;=DATE(2018,10,1),$A1135&lt;=DATE(2018,12,31)),$M1135,"")</f>
        <v/>
      </c>
      <c r="Q1135" s="5">
        <f>SUMPRODUCT(Exposures!$B$8:$K$8,B1135:K1135)</f>
        <v/>
      </c>
      <c r="R1135" s="5">
        <f>SUMPRODUCT(Exposures!$B$9:$K$9,B1135:K1135)</f>
        <v/>
      </c>
      <c r="S1135" s="5">
        <f>SUMPRODUCT(Exposures!$B$10:$K$10,B1135:K1135)</f>
        <v/>
      </c>
    </row>
    <row r="1136">
      <c r="A1136" s="1" t="n">
        <v>44105</v>
      </c>
      <c r="B1136" s="5" t="n">
        <v>0.002321492088993785</v>
      </c>
      <c r="C1136" s="5" t="n">
        <v>0.00234499189973925</v>
      </c>
      <c r="D1136" s="5" t="n">
        <v>-0.002779247563529448</v>
      </c>
      <c r="E1136" s="5" t="n">
        <v>-0.001739065204514231</v>
      </c>
      <c r="F1136" s="5" t="n">
        <v>-0.005464575721049368</v>
      </c>
      <c r="G1136" s="5" t="n">
        <v>0.0119060794363226</v>
      </c>
      <c r="H1136" s="5" t="n">
        <v>0.003568344111525679</v>
      </c>
      <c r="I1136" s="5" t="n">
        <v>0.002730457210559901</v>
      </c>
      <c r="J1136" s="5" t="n">
        <v>0.007640594823464751</v>
      </c>
      <c r="K1136" s="5" t="n">
        <v>0.0004781318069530232</v>
      </c>
      <c r="L1136" s="5" t="n">
        <v>9.510038068224558e-05</v>
      </c>
      <c r="M1136" s="5">
        <f>SUMPRODUCT(Exposures!$B$6:$K$6,B1136:K1136)</f>
        <v/>
      </c>
      <c r="N1136" s="5">
        <f>IF(AND($A1136&gt;=DATE(2020,2,1),$A1136&lt;=DATE(2020,5,31)),$M1136,"")</f>
        <v/>
      </c>
      <c r="O1136" s="5">
        <f>IF(AND($A1136&gt;=DATE(2022,1,1),$A1136&lt;=DATE(2022,10,31)),$M1136,"")</f>
        <v/>
      </c>
      <c r="P1136" s="5">
        <f>IF(AND($A1136&gt;=DATE(2018,10,1),$A1136&lt;=DATE(2018,12,31)),$M1136,"")</f>
        <v/>
      </c>
      <c r="Q1136" s="5">
        <f>SUMPRODUCT(Exposures!$B$8:$K$8,B1136:K1136)</f>
        <v/>
      </c>
      <c r="R1136" s="5">
        <f>SUMPRODUCT(Exposures!$B$9:$K$9,B1136:K1136)</f>
        <v/>
      </c>
      <c r="S1136" s="5">
        <f>SUMPRODUCT(Exposures!$B$10:$K$10,B1136:K1136)</f>
        <v/>
      </c>
    </row>
    <row r="1137">
      <c r="A1137" s="1" t="n">
        <v>44106</v>
      </c>
      <c r="B1137" s="5" t="n">
        <v>0.003381752876247267</v>
      </c>
      <c r="C1137" s="5" t="n">
        <v>-0.0003570509484032935</v>
      </c>
      <c r="D1137" s="5" t="n">
        <v>8.160240931534821e-05</v>
      </c>
      <c r="E1137" s="5" t="n">
        <v>0.003124245841080295</v>
      </c>
      <c r="F1137" s="5" t="n">
        <v>0.0007312232346050845</v>
      </c>
      <c r="G1137" s="5" t="n">
        <v>0.001388441507657777</v>
      </c>
      <c r="H1137" s="5" t="n">
        <v>-0.008730182955477329</v>
      </c>
      <c r="I1137" s="5" t="n">
        <v>-0.005116141948198739</v>
      </c>
      <c r="J1137" s="5" t="n">
        <v>0.0005841114792739265</v>
      </c>
      <c r="K1137" s="5" t="n">
        <v>-0.0008172245551182995</v>
      </c>
      <c r="L1137" s="5" t="n">
        <v>0.0033376202397184</v>
      </c>
      <c r="M1137" s="5">
        <f>SUMPRODUCT(Exposures!$B$6:$K$6,B1137:K1137)</f>
        <v/>
      </c>
      <c r="N1137" s="5">
        <f>IF(AND($A1137&gt;=DATE(2020,2,1),$A1137&lt;=DATE(2020,5,31)),$M1137,"")</f>
        <v/>
      </c>
      <c r="O1137" s="5">
        <f>IF(AND($A1137&gt;=DATE(2022,1,1),$A1137&lt;=DATE(2022,10,31)),$M1137,"")</f>
        <v/>
      </c>
      <c r="P1137" s="5">
        <f>IF(AND($A1137&gt;=DATE(2018,10,1),$A1137&lt;=DATE(2018,12,31)),$M1137,"")</f>
        <v/>
      </c>
      <c r="Q1137" s="5">
        <f>SUMPRODUCT(Exposures!$B$8:$K$8,B1137:K1137)</f>
        <v/>
      </c>
      <c r="R1137" s="5">
        <f>SUMPRODUCT(Exposures!$B$9:$K$9,B1137:K1137)</f>
        <v/>
      </c>
      <c r="S1137" s="5">
        <f>SUMPRODUCT(Exposures!$B$10:$K$10,B1137:K1137)</f>
        <v/>
      </c>
    </row>
    <row r="1138">
      <c r="A1138" s="1" t="n">
        <v>44109</v>
      </c>
      <c r="B1138" s="5" t="n">
        <v>0.004731966116935748</v>
      </c>
      <c r="C1138" s="5" t="n">
        <v>0.0005795055013820741</v>
      </c>
      <c r="D1138" s="5" t="n">
        <v>0.003686347762084689</v>
      </c>
      <c r="E1138" s="5" t="n">
        <v>0.000435744928744781</v>
      </c>
      <c r="F1138" s="5" t="n">
        <v>-0.006781430325430099</v>
      </c>
      <c r="G1138" s="5" t="n">
        <v>0.01998196866987581</v>
      </c>
      <c r="H1138" s="5" t="n">
        <v>0.007040655598237716</v>
      </c>
      <c r="I1138" s="5" t="n">
        <v>0.002011641908994203</v>
      </c>
      <c r="J1138" s="5" t="n">
        <v>-0.0007864538273658684</v>
      </c>
      <c r="K1138" s="5" t="n">
        <v>0.003026223419447578</v>
      </c>
      <c r="L1138" s="5" t="n">
        <v>0.0008663169331949898</v>
      </c>
      <c r="M1138" s="5">
        <f>SUMPRODUCT(Exposures!$B$6:$K$6,B1138:K1138)</f>
        <v/>
      </c>
      <c r="N1138" s="5">
        <f>IF(AND($A1138&gt;=DATE(2020,2,1),$A1138&lt;=DATE(2020,5,31)),$M1138,"")</f>
        <v/>
      </c>
      <c r="O1138" s="5">
        <f>IF(AND($A1138&gt;=DATE(2022,1,1),$A1138&lt;=DATE(2022,10,31)),$M1138,"")</f>
        <v/>
      </c>
      <c r="P1138" s="5">
        <f>IF(AND($A1138&gt;=DATE(2018,10,1),$A1138&lt;=DATE(2018,12,31)),$M1138,"")</f>
        <v/>
      </c>
      <c r="Q1138" s="5">
        <f>SUMPRODUCT(Exposures!$B$8:$K$8,B1138:K1138)</f>
        <v/>
      </c>
      <c r="R1138" s="5">
        <f>SUMPRODUCT(Exposures!$B$9:$K$9,B1138:K1138)</f>
        <v/>
      </c>
      <c r="S1138" s="5">
        <f>SUMPRODUCT(Exposures!$B$10:$K$10,B1138:K1138)</f>
        <v/>
      </c>
    </row>
    <row r="1139">
      <c r="A1139" s="1" t="n">
        <v>44110</v>
      </c>
      <c r="B1139" s="5" t="n">
        <v>-0.003284854519033909</v>
      </c>
      <c r="C1139" s="5" t="n">
        <v>-0.002325142699906347</v>
      </c>
      <c r="D1139" s="5" t="n">
        <v>0.003599121323748238</v>
      </c>
      <c r="E1139" s="5" t="n">
        <v>0.001007954324623359</v>
      </c>
      <c r="F1139" s="5" t="n">
        <v>-0.01102775966399809</v>
      </c>
      <c r="G1139" s="5" t="n">
        <v>-0.008226063362790111</v>
      </c>
      <c r="H1139" s="5" t="n">
        <v>0.001898076871401004</v>
      </c>
      <c r="I1139" s="5" t="n">
        <v>-0.003949719901814714</v>
      </c>
      <c r="J1139" s="5" t="n">
        <v>-0.003926038505555476</v>
      </c>
      <c r="K1139" s="5" t="n">
        <v>0.007858384158117593</v>
      </c>
      <c r="L1139" s="5" t="n">
        <v>0.003292063553623673</v>
      </c>
      <c r="M1139" s="5">
        <f>SUMPRODUCT(Exposures!$B$6:$K$6,B1139:K1139)</f>
        <v/>
      </c>
      <c r="N1139" s="5">
        <f>IF(AND($A1139&gt;=DATE(2020,2,1),$A1139&lt;=DATE(2020,5,31)),$M1139,"")</f>
        <v/>
      </c>
      <c r="O1139" s="5">
        <f>IF(AND($A1139&gt;=DATE(2022,1,1),$A1139&lt;=DATE(2022,10,31)),$M1139,"")</f>
        <v/>
      </c>
      <c r="P1139" s="5">
        <f>IF(AND($A1139&gt;=DATE(2018,10,1),$A1139&lt;=DATE(2018,12,31)),$M1139,"")</f>
        <v/>
      </c>
      <c r="Q1139" s="5">
        <f>SUMPRODUCT(Exposures!$B$8:$K$8,B1139:K1139)</f>
        <v/>
      </c>
      <c r="R1139" s="5">
        <f>SUMPRODUCT(Exposures!$B$9:$K$9,B1139:K1139)</f>
        <v/>
      </c>
      <c r="S1139" s="5">
        <f>SUMPRODUCT(Exposures!$B$10:$K$10,B1139:K1139)</f>
        <v/>
      </c>
    </row>
    <row r="1140">
      <c r="A1140" s="1" t="n">
        <v>44111</v>
      </c>
      <c r="B1140" s="5" t="n">
        <v>0.003925753407039025</v>
      </c>
      <c r="C1140" s="5" t="n">
        <v>0.000267573351180572</v>
      </c>
      <c r="D1140" s="5" t="n">
        <v>0.0026187378043793</v>
      </c>
      <c r="E1140" s="5" t="n">
        <v>-0.0004999994469743985</v>
      </c>
      <c r="F1140" s="5" t="n">
        <v>0.00123705525844343</v>
      </c>
      <c r="G1140" s="5" t="n">
        <v>0.01936084057654782</v>
      </c>
      <c r="H1140" s="5" t="n">
        <v>0.002908881381712098</v>
      </c>
      <c r="I1140" s="5" t="n">
        <v>0.00220516190466667</v>
      </c>
      <c r="J1140" s="5" t="n">
        <v>0.003865000297126137</v>
      </c>
      <c r="K1140" s="5" t="n">
        <v>-0.001892709736885393</v>
      </c>
      <c r="L1140" s="5" t="n">
        <v>-0.0007963805676640759</v>
      </c>
      <c r="M1140" s="5">
        <f>SUMPRODUCT(Exposures!$B$6:$K$6,B1140:K1140)</f>
        <v/>
      </c>
      <c r="N1140" s="5">
        <f>IF(AND($A1140&gt;=DATE(2020,2,1),$A1140&lt;=DATE(2020,5,31)),$M1140,"")</f>
        <v/>
      </c>
      <c r="O1140" s="5">
        <f>IF(AND($A1140&gt;=DATE(2022,1,1),$A1140&lt;=DATE(2022,10,31)),$M1140,"")</f>
        <v/>
      </c>
      <c r="P1140" s="5">
        <f>IF(AND($A1140&gt;=DATE(2018,10,1),$A1140&lt;=DATE(2018,12,31)),$M1140,"")</f>
        <v/>
      </c>
      <c r="Q1140" s="5">
        <f>SUMPRODUCT(Exposures!$B$8:$K$8,B1140:K1140)</f>
        <v/>
      </c>
      <c r="R1140" s="5">
        <f>SUMPRODUCT(Exposures!$B$9:$K$9,B1140:K1140)</f>
        <v/>
      </c>
      <c r="S1140" s="5">
        <f>SUMPRODUCT(Exposures!$B$10:$K$10,B1140:K1140)</f>
        <v/>
      </c>
    </row>
    <row r="1141">
      <c r="A1141" s="1" t="n">
        <v>44112</v>
      </c>
      <c r="B1141" s="5" t="n">
        <v>0.002319942818780145</v>
      </c>
      <c r="C1141" s="5" t="n">
        <v>-0.0004241870174677115</v>
      </c>
      <c r="D1141" s="5" t="n">
        <v>-0.001279601393477075</v>
      </c>
      <c r="E1141" s="5" t="n">
        <v>-0.000548859447910113</v>
      </c>
      <c r="F1141" s="5" t="n">
        <v>-0.001015127000701293</v>
      </c>
      <c r="G1141" s="5" t="n">
        <v>0.01067791118249655</v>
      </c>
      <c r="H1141" s="5" t="n">
        <v>-0.005693695228235749</v>
      </c>
      <c r="I1141" s="5" t="n">
        <v>-0.001997739429391531</v>
      </c>
      <c r="J1141" s="5" t="n">
        <v>-0.0003031333081006842</v>
      </c>
      <c r="K1141" s="5" t="n">
        <v>0.001948138964485436</v>
      </c>
      <c r="L1141" s="5" t="n">
        <v>0.001607654866209649</v>
      </c>
      <c r="M1141" s="5">
        <f>SUMPRODUCT(Exposures!$B$6:$K$6,B1141:K1141)</f>
        <v/>
      </c>
      <c r="N1141" s="5">
        <f>IF(AND($A1141&gt;=DATE(2020,2,1),$A1141&lt;=DATE(2020,5,31)),$M1141,"")</f>
        <v/>
      </c>
      <c r="O1141" s="5">
        <f>IF(AND($A1141&gt;=DATE(2022,1,1),$A1141&lt;=DATE(2022,10,31)),$M1141,"")</f>
        <v/>
      </c>
      <c r="P1141" s="5">
        <f>IF(AND($A1141&gt;=DATE(2018,10,1),$A1141&lt;=DATE(2018,12,31)),$M1141,"")</f>
        <v/>
      </c>
      <c r="Q1141" s="5">
        <f>SUMPRODUCT(Exposures!$B$8:$K$8,B1141:K1141)</f>
        <v/>
      </c>
      <c r="R1141" s="5">
        <f>SUMPRODUCT(Exposures!$B$9:$K$9,B1141:K1141)</f>
        <v/>
      </c>
      <c r="S1141" s="5">
        <f>SUMPRODUCT(Exposures!$B$10:$K$10,B1141:K1141)</f>
        <v/>
      </c>
    </row>
    <row r="1142">
      <c r="A1142" s="1" t="n">
        <v>44113</v>
      </c>
      <c r="B1142" s="5" t="n">
        <v>-0.002575697327626717</v>
      </c>
      <c r="C1142" s="5" t="n">
        <v>0.002727588598217786</v>
      </c>
      <c r="D1142" s="5" t="n">
        <v>0.003984203900720632</v>
      </c>
      <c r="E1142" s="5" t="n">
        <v>-0.002402503749898431</v>
      </c>
      <c r="F1142" s="5" t="n">
        <v>0.0001787906390103798</v>
      </c>
      <c r="G1142" s="5" t="n">
        <v>0.0008150167241975863</v>
      </c>
      <c r="H1142" s="5" t="n">
        <v>0.004544821178795009</v>
      </c>
      <c r="I1142" s="5" t="n">
        <v>0.001559781486381962</v>
      </c>
      <c r="J1142" s="5" t="n">
        <v>-0.002882003797885642</v>
      </c>
      <c r="K1142" s="5" t="n">
        <v>-0.003069216041415795</v>
      </c>
      <c r="L1142" s="5" t="n">
        <v>-0.001165516871173737</v>
      </c>
      <c r="M1142" s="5">
        <f>SUMPRODUCT(Exposures!$B$6:$K$6,B1142:K1142)</f>
        <v/>
      </c>
      <c r="N1142" s="5">
        <f>IF(AND($A1142&gt;=DATE(2020,2,1),$A1142&lt;=DATE(2020,5,31)),$M1142,"")</f>
        <v/>
      </c>
      <c r="O1142" s="5">
        <f>IF(AND($A1142&gt;=DATE(2022,1,1),$A1142&lt;=DATE(2022,10,31)),$M1142,"")</f>
        <v/>
      </c>
      <c r="P1142" s="5">
        <f>IF(AND($A1142&gt;=DATE(2018,10,1),$A1142&lt;=DATE(2018,12,31)),$M1142,"")</f>
        <v/>
      </c>
      <c r="Q1142" s="5">
        <f>SUMPRODUCT(Exposures!$B$8:$K$8,B1142:K1142)</f>
        <v/>
      </c>
      <c r="R1142" s="5">
        <f>SUMPRODUCT(Exposures!$B$9:$K$9,B1142:K1142)</f>
        <v/>
      </c>
      <c r="S1142" s="5">
        <f>SUMPRODUCT(Exposures!$B$10:$K$10,B1142:K1142)</f>
        <v/>
      </c>
    </row>
    <row r="1143">
      <c r="A1143" s="1" t="n">
        <v>44116</v>
      </c>
      <c r="B1143" s="5" t="n">
        <v>-0.0010954399424892</v>
      </c>
      <c r="C1143" s="5" t="n">
        <v>0.001071569533293311</v>
      </c>
      <c r="D1143" s="5" t="n">
        <v>-0.006327993557421335</v>
      </c>
      <c r="E1143" s="5" t="n">
        <v>-0.003234060759083853</v>
      </c>
      <c r="F1143" s="5" t="n">
        <v>-0.0004980328889218932</v>
      </c>
      <c r="G1143" s="5" t="n">
        <v>0.008513395212466173</v>
      </c>
      <c r="H1143" s="5" t="n">
        <v>0.008711320488062006</v>
      </c>
      <c r="I1143" s="5" t="n">
        <v>-7.093072308355394e-05</v>
      </c>
      <c r="J1143" s="5" t="n">
        <v>0.002577102890946749</v>
      </c>
      <c r="K1143" s="5" t="n">
        <v>0.005464230479836747</v>
      </c>
      <c r="L1143" s="5" t="n">
        <v>0.006790115265721661</v>
      </c>
      <c r="M1143" s="5">
        <f>SUMPRODUCT(Exposures!$B$6:$K$6,B1143:K1143)</f>
        <v/>
      </c>
      <c r="N1143" s="5">
        <f>IF(AND($A1143&gt;=DATE(2020,2,1),$A1143&lt;=DATE(2020,5,31)),$M1143,"")</f>
        <v/>
      </c>
      <c r="O1143" s="5">
        <f>IF(AND($A1143&gt;=DATE(2022,1,1),$A1143&lt;=DATE(2022,10,31)),$M1143,"")</f>
        <v/>
      </c>
      <c r="P1143" s="5">
        <f>IF(AND($A1143&gt;=DATE(2018,10,1),$A1143&lt;=DATE(2018,12,31)),$M1143,"")</f>
        <v/>
      </c>
      <c r="Q1143" s="5">
        <f>SUMPRODUCT(Exposures!$B$8:$K$8,B1143:K1143)</f>
        <v/>
      </c>
      <c r="R1143" s="5">
        <f>SUMPRODUCT(Exposures!$B$9:$K$9,B1143:K1143)</f>
        <v/>
      </c>
      <c r="S1143" s="5">
        <f>SUMPRODUCT(Exposures!$B$10:$K$10,B1143:K1143)</f>
        <v/>
      </c>
    </row>
    <row r="1144">
      <c r="A1144" s="1" t="n">
        <v>44117</v>
      </c>
      <c r="B1144" s="5" t="n">
        <v>-0.004173090207576825</v>
      </c>
      <c r="C1144" s="5" t="n">
        <v>-0.001113255789865101</v>
      </c>
      <c r="D1144" s="5" t="n">
        <v>0.002801579957985315</v>
      </c>
      <c r="E1144" s="5" t="n">
        <v>-0.0004016223956376101</v>
      </c>
      <c r="F1144" s="5" t="n">
        <v>-0.0007458927335128348</v>
      </c>
      <c r="G1144" s="5" t="n">
        <v>-0.006844836726897384</v>
      </c>
      <c r="H1144" s="5" t="n">
        <v>0.008192624704039694</v>
      </c>
      <c r="I1144" s="5" t="n">
        <v>-0.001979591075233653</v>
      </c>
      <c r="J1144" s="5" t="n">
        <v>0.003556437927764115</v>
      </c>
      <c r="K1144" s="5" t="n">
        <v>-0.0004248371100439732</v>
      </c>
      <c r="L1144" s="5" t="n">
        <v>-0.0007361123109909459</v>
      </c>
      <c r="M1144" s="5">
        <f>SUMPRODUCT(Exposures!$B$6:$K$6,B1144:K1144)</f>
        <v/>
      </c>
      <c r="N1144" s="5">
        <f>IF(AND($A1144&gt;=DATE(2020,2,1),$A1144&lt;=DATE(2020,5,31)),$M1144,"")</f>
        <v/>
      </c>
      <c r="O1144" s="5">
        <f>IF(AND($A1144&gt;=DATE(2022,1,1),$A1144&lt;=DATE(2022,10,31)),$M1144,"")</f>
        <v/>
      </c>
      <c r="P1144" s="5">
        <f>IF(AND($A1144&gt;=DATE(2018,10,1),$A1144&lt;=DATE(2018,12,31)),$M1144,"")</f>
        <v/>
      </c>
      <c r="Q1144" s="5">
        <f>SUMPRODUCT(Exposures!$B$8:$K$8,B1144:K1144)</f>
        <v/>
      </c>
      <c r="R1144" s="5">
        <f>SUMPRODUCT(Exposures!$B$9:$K$9,B1144:K1144)</f>
        <v/>
      </c>
      <c r="S1144" s="5">
        <f>SUMPRODUCT(Exposures!$B$10:$K$10,B1144:K1144)</f>
        <v/>
      </c>
    </row>
    <row r="1145">
      <c r="A1145" s="1" t="n">
        <v>44118</v>
      </c>
      <c r="B1145" s="5" t="n">
        <v>0.00239895645231676</v>
      </c>
      <c r="C1145" s="5" t="n">
        <v>0.0005561343038957331</v>
      </c>
      <c r="D1145" s="5" t="n">
        <v>0.001675098492357463</v>
      </c>
      <c r="E1145" s="5" t="n">
        <v>-0.002835026938714927</v>
      </c>
      <c r="F1145" s="5" t="n">
        <v>0.00284135420014102</v>
      </c>
      <c r="G1145" s="5" t="n">
        <v>-0.002088926320325456</v>
      </c>
      <c r="H1145" s="5" t="n">
        <v>-0.002183449370263757</v>
      </c>
      <c r="I1145" s="5" t="n">
        <v>-0.0003535483585333209</v>
      </c>
      <c r="J1145" s="5" t="n">
        <v>7.149009815871272e-05</v>
      </c>
      <c r="K1145" s="5" t="n">
        <v>-0.006634303501468646</v>
      </c>
      <c r="L1145" s="5" t="n">
        <v>-0.003341671074864736</v>
      </c>
      <c r="M1145" s="5">
        <f>SUMPRODUCT(Exposures!$B$6:$K$6,B1145:K1145)</f>
        <v/>
      </c>
      <c r="N1145" s="5">
        <f>IF(AND($A1145&gt;=DATE(2020,2,1),$A1145&lt;=DATE(2020,5,31)),$M1145,"")</f>
        <v/>
      </c>
      <c r="O1145" s="5">
        <f>IF(AND($A1145&gt;=DATE(2022,1,1),$A1145&lt;=DATE(2022,10,31)),$M1145,"")</f>
        <v/>
      </c>
      <c r="P1145" s="5">
        <f>IF(AND($A1145&gt;=DATE(2018,10,1),$A1145&lt;=DATE(2018,12,31)),$M1145,"")</f>
        <v/>
      </c>
      <c r="Q1145" s="5">
        <f>SUMPRODUCT(Exposures!$B$8:$K$8,B1145:K1145)</f>
        <v/>
      </c>
      <c r="R1145" s="5">
        <f>SUMPRODUCT(Exposures!$B$9:$K$9,B1145:K1145)</f>
        <v/>
      </c>
      <c r="S1145" s="5">
        <f>SUMPRODUCT(Exposures!$B$10:$K$10,B1145:K1145)</f>
        <v/>
      </c>
    </row>
    <row r="1146">
      <c r="A1146" s="1" t="n">
        <v>44119</v>
      </c>
      <c r="B1146" s="5" t="n">
        <v>0.004585288272743134</v>
      </c>
      <c r="C1146" s="5" t="n">
        <v>0.0001667748809276602</v>
      </c>
      <c r="D1146" s="5" t="n">
        <v>-0.005439541850367359</v>
      </c>
      <c r="E1146" s="5" t="n">
        <v>0.0004470871434098516</v>
      </c>
      <c r="F1146" s="5" t="n">
        <v>-0.01016667697431219</v>
      </c>
      <c r="G1146" s="5" t="n">
        <v>0.006841038140074267</v>
      </c>
      <c r="H1146" s="5" t="n">
        <v>0.001100287967191399</v>
      </c>
      <c r="I1146" s="5" t="n">
        <v>0.0003861047324105523</v>
      </c>
      <c r="J1146" s="5" t="n">
        <v>0.002944046227818057</v>
      </c>
      <c r="K1146" s="5" t="n">
        <v>0.007102495461100815</v>
      </c>
      <c r="L1146" s="5" t="n">
        <v>0.003950529810892269</v>
      </c>
      <c r="M1146" s="5">
        <f>SUMPRODUCT(Exposures!$B$6:$K$6,B1146:K1146)</f>
        <v/>
      </c>
      <c r="N1146" s="5">
        <f>IF(AND($A1146&gt;=DATE(2020,2,1),$A1146&lt;=DATE(2020,5,31)),$M1146,"")</f>
        <v/>
      </c>
      <c r="O1146" s="5">
        <f>IF(AND($A1146&gt;=DATE(2022,1,1),$A1146&lt;=DATE(2022,10,31)),$M1146,"")</f>
        <v/>
      </c>
      <c r="P1146" s="5">
        <f>IF(AND($A1146&gt;=DATE(2018,10,1),$A1146&lt;=DATE(2018,12,31)),$M1146,"")</f>
        <v/>
      </c>
      <c r="Q1146" s="5">
        <f>SUMPRODUCT(Exposures!$B$8:$K$8,B1146:K1146)</f>
        <v/>
      </c>
      <c r="R1146" s="5">
        <f>SUMPRODUCT(Exposures!$B$9:$K$9,B1146:K1146)</f>
        <v/>
      </c>
      <c r="S1146" s="5">
        <f>SUMPRODUCT(Exposures!$B$10:$K$10,B1146:K1146)</f>
        <v/>
      </c>
    </row>
    <row r="1147">
      <c r="A1147" s="1" t="n">
        <v>44120</v>
      </c>
      <c r="B1147" s="5" t="n">
        <v>-0.00158266133691056</v>
      </c>
      <c r="C1147" s="5" t="n">
        <v>-0.000826639783339302</v>
      </c>
      <c r="D1147" s="5" t="n">
        <v>-0.003448000556620866</v>
      </c>
      <c r="E1147" s="5" t="n">
        <v>-0.000189257423705925</v>
      </c>
      <c r="F1147" s="5" t="n">
        <v>-0.004411512505702011</v>
      </c>
      <c r="G1147" s="5" t="n">
        <v>-0.0008920629520800599</v>
      </c>
      <c r="H1147" s="5" t="n">
        <v>-0.003065132209979063</v>
      </c>
      <c r="I1147" s="5" t="n">
        <v>-0.0007433097477441115</v>
      </c>
      <c r="J1147" s="5" t="n">
        <v>0.001668231129138488</v>
      </c>
      <c r="K1147" s="5" t="n">
        <v>0.01038931640648522</v>
      </c>
      <c r="L1147" s="5" t="n">
        <v>0.0003070597112184214</v>
      </c>
      <c r="M1147" s="5">
        <f>SUMPRODUCT(Exposures!$B$6:$K$6,B1147:K1147)</f>
        <v/>
      </c>
      <c r="N1147" s="5">
        <f>IF(AND($A1147&gt;=DATE(2020,2,1),$A1147&lt;=DATE(2020,5,31)),$M1147,"")</f>
        <v/>
      </c>
      <c r="O1147" s="5">
        <f>IF(AND($A1147&gt;=DATE(2022,1,1),$A1147&lt;=DATE(2022,10,31)),$M1147,"")</f>
        <v/>
      </c>
      <c r="P1147" s="5">
        <f>IF(AND($A1147&gt;=DATE(2018,10,1),$A1147&lt;=DATE(2018,12,31)),$M1147,"")</f>
        <v/>
      </c>
      <c r="Q1147" s="5">
        <f>SUMPRODUCT(Exposures!$B$8:$K$8,B1147:K1147)</f>
        <v/>
      </c>
      <c r="R1147" s="5">
        <f>SUMPRODUCT(Exposures!$B$9:$K$9,B1147:K1147)</f>
        <v/>
      </c>
      <c r="S1147" s="5">
        <f>SUMPRODUCT(Exposures!$B$10:$K$10,B1147:K1147)</f>
        <v/>
      </c>
    </row>
    <row r="1148">
      <c r="A1148" s="1" t="n">
        <v>44123</v>
      </c>
      <c r="B1148" s="5" t="n">
        <v>-0.0008768999065157937</v>
      </c>
      <c r="C1148" s="5" t="n">
        <v>-0.002552716285151087</v>
      </c>
      <c r="D1148" s="5" t="n">
        <v>-0.00191291418567393</v>
      </c>
      <c r="E1148" s="5" t="n">
        <v>2.790722356889836e-05</v>
      </c>
      <c r="F1148" s="5" t="n">
        <v>0.002838572108211684</v>
      </c>
      <c r="G1148" s="5" t="n">
        <v>-0.0130568945627278</v>
      </c>
      <c r="H1148" s="5" t="n">
        <v>-0.001239135866762627</v>
      </c>
      <c r="I1148" s="5" t="n">
        <v>-0.0009424405406836235</v>
      </c>
      <c r="J1148" s="5" t="n">
        <v>-0.0006202330879412142</v>
      </c>
      <c r="K1148" s="5" t="n">
        <v>-0.003676719416559487</v>
      </c>
      <c r="L1148" s="5" t="n">
        <v>-0.00055573378234654</v>
      </c>
      <c r="M1148" s="5">
        <f>SUMPRODUCT(Exposures!$B$6:$K$6,B1148:K1148)</f>
        <v/>
      </c>
      <c r="N1148" s="5">
        <f>IF(AND($A1148&gt;=DATE(2020,2,1),$A1148&lt;=DATE(2020,5,31)),$M1148,"")</f>
        <v/>
      </c>
      <c r="O1148" s="5">
        <f>IF(AND($A1148&gt;=DATE(2022,1,1),$A1148&lt;=DATE(2022,10,31)),$M1148,"")</f>
        <v/>
      </c>
      <c r="P1148" s="5">
        <f>IF(AND($A1148&gt;=DATE(2018,10,1),$A1148&lt;=DATE(2018,12,31)),$M1148,"")</f>
        <v/>
      </c>
      <c r="Q1148" s="5">
        <f>SUMPRODUCT(Exposures!$B$8:$K$8,B1148:K1148)</f>
        <v/>
      </c>
      <c r="R1148" s="5">
        <f>SUMPRODUCT(Exposures!$B$9:$K$9,B1148:K1148)</f>
        <v/>
      </c>
      <c r="S1148" s="5">
        <f>SUMPRODUCT(Exposures!$B$10:$K$10,B1148:K1148)</f>
        <v/>
      </c>
    </row>
    <row r="1149">
      <c r="A1149" s="1" t="n">
        <v>44124</v>
      </c>
      <c r="B1149" s="5" t="n">
        <v>0.001493249554091405</v>
      </c>
      <c r="C1149" s="5" t="n">
        <v>-0.001976718790025197</v>
      </c>
      <c r="D1149" s="5" t="n">
        <v>-0.001160977167095954</v>
      </c>
      <c r="E1149" s="5" t="n">
        <v>0.0001906977718541258</v>
      </c>
      <c r="F1149" s="5" t="n">
        <v>0.001971759460626666</v>
      </c>
      <c r="G1149" s="5" t="n">
        <v>0.003360063797979324</v>
      </c>
      <c r="H1149" s="5" t="n">
        <v>-0.0006042429540125255</v>
      </c>
      <c r="I1149" s="5" t="n">
        <v>-0.001618666927824183</v>
      </c>
      <c r="J1149" s="5" t="n">
        <v>0.0009809983341794032</v>
      </c>
      <c r="K1149" s="5" t="n">
        <v>0.001776032914133797</v>
      </c>
      <c r="L1149" s="5" t="n">
        <v>0.003000693412285687</v>
      </c>
      <c r="M1149" s="5">
        <f>SUMPRODUCT(Exposures!$B$6:$K$6,B1149:K1149)</f>
        <v/>
      </c>
      <c r="N1149" s="5">
        <f>IF(AND($A1149&gt;=DATE(2020,2,1),$A1149&lt;=DATE(2020,5,31)),$M1149,"")</f>
        <v/>
      </c>
      <c r="O1149" s="5">
        <f>IF(AND($A1149&gt;=DATE(2022,1,1),$A1149&lt;=DATE(2022,10,31)),$M1149,"")</f>
        <v/>
      </c>
      <c r="P1149" s="5">
        <f>IF(AND($A1149&gt;=DATE(2018,10,1),$A1149&lt;=DATE(2018,12,31)),$M1149,"")</f>
        <v/>
      </c>
      <c r="Q1149" s="5">
        <f>SUMPRODUCT(Exposures!$B$8:$K$8,B1149:K1149)</f>
        <v/>
      </c>
      <c r="R1149" s="5">
        <f>SUMPRODUCT(Exposures!$B$9:$K$9,B1149:K1149)</f>
        <v/>
      </c>
      <c r="S1149" s="5">
        <f>SUMPRODUCT(Exposures!$B$10:$K$10,B1149:K1149)</f>
        <v/>
      </c>
    </row>
    <row r="1150">
      <c r="A1150" s="1" t="n">
        <v>44125</v>
      </c>
      <c r="B1150" s="5" t="n">
        <v>-0.003761110032424164</v>
      </c>
      <c r="C1150" s="5" t="n">
        <v>-0.004087015223132737</v>
      </c>
      <c r="D1150" s="5" t="n">
        <v>-0.001321228197189971</v>
      </c>
      <c r="E1150" s="5" t="n">
        <v>-0.0003487988249127825</v>
      </c>
      <c r="F1150" s="5" t="n">
        <v>0.006957211648089814</v>
      </c>
      <c r="G1150" s="5" t="n">
        <v>-0.004850638886277249</v>
      </c>
      <c r="H1150" s="5" t="n">
        <v>-0.00177919059897061</v>
      </c>
      <c r="I1150" s="5" t="n">
        <v>-0.0009009798258841034</v>
      </c>
      <c r="J1150" s="5" t="n">
        <v>-0.008457049793936768</v>
      </c>
      <c r="K1150" s="5" t="n">
        <v>-0.009799878067735952</v>
      </c>
      <c r="L1150" s="5" t="n">
        <v>0.001982914101585203</v>
      </c>
      <c r="M1150" s="5">
        <f>SUMPRODUCT(Exposures!$B$6:$K$6,B1150:K1150)</f>
        <v/>
      </c>
      <c r="N1150" s="5">
        <f>IF(AND($A1150&gt;=DATE(2020,2,1),$A1150&lt;=DATE(2020,5,31)),$M1150,"")</f>
        <v/>
      </c>
      <c r="O1150" s="5">
        <f>IF(AND($A1150&gt;=DATE(2022,1,1),$A1150&lt;=DATE(2022,10,31)),$M1150,"")</f>
        <v/>
      </c>
      <c r="P1150" s="5">
        <f>IF(AND($A1150&gt;=DATE(2018,10,1),$A1150&lt;=DATE(2018,12,31)),$M1150,"")</f>
        <v/>
      </c>
      <c r="Q1150" s="5">
        <f>SUMPRODUCT(Exposures!$B$8:$K$8,B1150:K1150)</f>
        <v/>
      </c>
      <c r="R1150" s="5">
        <f>SUMPRODUCT(Exposures!$B$9:$K$9,B1150:K1150)</f>
        <v/>
      </c>
      <c r="S1150" s="5">
        <f>SUMPRODUCT(Exposures!$B$10:$K$10,B1150:K1150)</f>
        <v/>
      </c>
    </row>
    <row r="1151">
      <c r="A1151" s="1" t="n">
        <v>44126</v>
      </c>
      <c r="B1151" s="5" t="n">
        <v>0.009506979741487849</v>
      </c>
      <c r="C1151" s="5" t="n">
        <v>-0.002431083957784451</v>
      </c>
      <c r="D1151" s="5" t="n">
        <v>0.006569369757325032</v>
      </c>
      <c r="E1151" s="5" t="n">
        <v>-0.0002456776813158707</v>
      </c>
      <c r="F1151" s="5" t="n">
        <v>0.001641691040958797</v>
      </c>
      <c r="G1151" s="5" t="n">
        <v>0.01554510559097233</v>
      </c>
      <c r="H1151" s="5" t="n">
        <v>-0.003052783139158128</v>
      </c>
      <c r="I1151" s="5" t="n">
        <v>0.0001009767881310921</v>
      </c>
      <c r="J1151" s="5" t="n">
        <v>0.0002367511664307445</v>
      </c>
      <c r="K1151" s="5" t="n">
        <v>-0.002479310522654002</v>
      </c>
      <c r="L1151" s="5" t="n">
        <v>0.001229456580444844</v>
      </c>
      <c r="M1151" s="5">
        <f>SUMPRODUCT(Exposures!$B$6:$K$6,B1151:K1151)</f>
        <v/>
      </c>
      <c r="N1151" s="5">
        <f>IF(AND($A1151&gt;=DATE(2020,2,1),$A1151&lt;=DATE(2020,5,31)),$M1151,"")</f>
        <v/>
      </c>
      <c r="O1151" s="5">
        <f>IF(AND($A1151&gt;=DATE(2022,1,1),$A1151&lt;=DATE(2022,10,31)),$M1151,"")</f>
        <v/>
      </c>
      <c r="P1151" s="5">
        <f>IF(AND($A1151&gt;=DATE(2018,10,1),$A1151&lt;=DATE(2018,12,31)),$M1151,"")</f>
        <v/>
      </c>
      <c r="Q1151" s="5">
        <f>SUMPRODUCT(Exposures!$B$8:$K$8,B1151:K1151)</f>
        <v/>
      </c>
      <c r="R1151" s="5">
        <f>SUMPRODUCT(Exposures!$B$9:$K$9,B1151:K1151)</f>
        <v/>
      </c>
      <c r="S1151" s="5">
        <f>SUMPRODUCT(Exposures!$B$10:$K$10,B1151:K1151)</f>
        <v/>
      </c>
    </row>
    <row r="1152">
      <c r="A1152" s="1" t="n">
        <v>44127</v>
      </c>
      <c r="B1152" s="5" t="n">
        <v>0.0004930201607602016</v>
      </c>
      <c r="C1152" s="5" t="n">
        <v>-0.0004379529431596266</v>
      </c>
      <c r="D1152" s="5" t="n">
        <v>-0.001219198961324217</v>
      </c>
      <c r="E1152" s="5" t="n">
        <v>0.001368089378275029</v>
      </c>
      <c r="F1152" s="5" t="n">
        <v>0.001599615061025917</v>
      </c>
      <c r="G1152" s="5" t="n">
        <v>0.001890477871664169</v>
      </c>
      <c r="H1152" s="5" t="n">
        <v>0.00429675405309146</v>
      </c>
      <c r="I1152" s="5" t="n">
        <v>-0.0007560719853029578</v>
      </c>
      <c r="J1152" s="5" t="n">
        <v>-0.001187144544465276</v>
      </c>
      <c r="K1152" s="5" t="n">
        <v>-0.002009660236315965</v>
      </c>
      <c r="L1152" s="5" t="n">
        <v>0.004530737458278156</v>
      </c>
      <c r="M1152" s="5">
        <f>SUMPRODUCT(Exposures!$B$6:$K$6,B1152:K1152)</f>
        <v/>
      </c>
      <c r="N1152" s="5">
        <f>IF(AND($A1152&gt;=DATE(2020,2,1),$A1152&lt;=DATE(2020,5,31)),$M1152,"")</f>
        <v/>
      </c>
      <c r="O1152" s="5">
        <f>IF(AND($A1152&gt;=DATE(2022,1,1),$A1152&lt;=DATE(2022,10,31)),$M1152,"")</f>
        <v/>
      </c>
      <c r="P1152" s="5">
        <f>IF(AND($A1152&gt;=DATE(2018,10,1),$A1152&lt;=DATE(2018,12,31)),$M1152,"")</f>
        <v/>
      </c>
      <c r="Q1152" s="5">
        <f>SUMPRODUCT(Exposures!$B$8:$K$8,B1152:K1152)</f>
        <v/>
      </c>
      <c r="R1152" s="5">
        <f>SUMPRODUCT(Exposures!$B$9:$K$9,B1152:K1152)</f>
        <v/>
      </c>
      <c r="S1152" s="5">
        <f>SUMPRODUCT(Exposures!$B$10:$K$10,B1152:K1152)</f>
        <v/>
      </c>
    </row>
    <row r="1153">
      <c r="A1153" s="1" t="n">
        <v>44130</v>
      </c>
      <c r="B1153" s="5" t="n">
        <v>-0.008976619111344245</v>
      </c>
      <c r="C1153" s="5" t="n">
        <v>-0.0006980967415955526</v>
      </c>
      <c r="D1153" s="5" t="n">
        <v>0.002635958720006307</v>
      </c>
      <c r="E1153" s="5" t="n">
        <v>0.001733758112773884</v>
      </c>
      <c r="F1153" s="5" t="n">
        <v>-0.0006603614386700481</v>
      </c>
      <c r="G1153" s="5" t="n">
        <v>-0.01886948075433408</v>
      </c>
      <c r="H1153" s="5" t="n">
        <v>0.001092565291861505</v>
      </c>
      <c r="I1153" s="5" t="n">
        <v>0.001875603104324337</v>
      </c>
      <c r="J1153" s="5" t="n">
        <v>-0.002390202685734574</v>
      </c>
      <c r="K1153" s="5" t="n">
        <v>-0.001197957384937028</v>
      </c>
      <c r="L1153" s="5" t="n">
        <v>-0.000254499464742045</v>
      </c>
      <c r="M1153" s="5">
        <f>SUMPRODUCT(Exposures!$B$6:$K$6,B1153:K1153)</f>
        <v/>
      </c>
      <c r="N1153" s="5">
        <f>IF(AND($A1153&gt;=DATE(2020,2,1),$A1153&lt;=DATE(2020,5,31)),$M1153,"")</f>
        <v/>
      </c>
      <c r="O1153" s="5">
        <f>IF(AND($A1153&gt;=DATE(2022,1,1),$A1153&lt;=DATE(2022,10,31)),$M1153,"")</f>
        <v/>
      </c>
      <c r="P1153" s="5">
        <f>IF(AND($A1153&gt;=DATE(2018,10,1),$A1153&lt;=DATE(2018,12,31)),$M1153,"")</f>
        <v/>
      </c>
      <c r="Q1153" s="5">
        <f>SUMPRODUCT(Exposures!$B$8:$K$8,B1153:K1153)</f>
        <v/>
      </c>
      <c r="R1153" s="5">
        <f>SUMPRODUCT(Exposures!$B$9:$K$9,B1153:K1153)</f>
        <v/>
      </c>
      <c r="S1153" s="5">
        <f>SUMPRODUCT(Exposures!$B$10:$K$10,B1153:K1153)</f>
        <v/>
      </c>
    </row>
    <row r="1154">
      <c r="A1154" s="1" t="n">
        <v>44131</v>
      </c>
      <c r="B1154" s="5" t="n">
        <v>-0.006967876784601252</v>
      </c>
      <c r="C1154" s="5" t="n">
        <v>0.0004208773263188251</v>
      </c>
      <c r="D1154" s="5" t="n">
        <v>0.001721345131874595</v>
      </c>
      <c r="E1154" s="5" t="n">
        <v>-0.003109315472531243</v>
      </c>
      <c r="F1154" s="5" t="n">
        <v>-0.009449425685301107</v>
      </c>
      <c r="G1154" s="5" t="n">
        <v>-0.01013376936697527</v>
      </c>
      <c r="H1154" s="5" t="n">
        <v>0.006002611071104369</v>
      </c>
      <c r="I1154" s="5" t="n">
        <v>-0.002847574923939247</v>
      </c>
      <c r="J1154" s="5" t="n">
        <v>0.003853129439506541</v>
      </c>
      <c r="K1154" s="5" t="n">
        <v>0.0132818877895611</v>
      </c>
      <c r="L1154" s="5" t="n">
        <v>0.001649658810433507</v>
      </c>
      <c r="M1154" s="5">
        <f>SUMPRODUCT(Exposures!$B$6:$K$6,B1154:K1154)</f>
        <v/>
      </c>
      <c r="N1154" s="5">
        <f>IF(AND($A1154&gt;=DATE(2020,2,1),$A1154&lt;=DATE(2020,5,31)),$M1154,"")</f>
        <v/>
      </c>
      <c r="O1154" s="5">
        <f>IF(AND($A1154&gt;=DATE(2022,1,1),$A1154&lt;=DATE(2022,10,31)),$M1154,"")</f>
        <v/>
      </c>
      <c r="P1154" s="5">
        <f>IF(AND($A1154&gt;=DATE(2018,10,1),$A1154&lt;=DATE(2018,12,31)),$M1154,"")</f>
        <v/>
      </c>
      <c r="Q1154" s="5">
        <f>SUMPRODUCT(Exposures!$B$8:$K$8,B1154:K1154)</f>
        <v/>
      </c>
      <c r="R1154" s="5">
        <f>SUMPRODUCT(Exposures!$B$9:$K$9,B1154:K1154)</f>
        <v/>
      </c>
      <c r="S1154" s="5">
        <f>SUMPRODUCT(Exposures!$B$10:$K$10,B1154:K1154)</f>
        <v/>
      </c>
    </row>
    <row r="1155">
      <c r="A1155" s="1" t="n">
        <v>44132</v>
      </c>
      <c r="B1155" s="5" t="n">
        <v>-0.0003023733690551975</v>
      </c>
      <c r="C1155" s="5" t="n">
        <v>-0.0008515485500757659</v>
      </c>
      <c r="D1155" s="5" t="n">
        <v>-0.008248692566484021</v>
      </c>
      <c r="E1155" s="5" t="n">
        <v>0.004722314141217297</v>
      </c>
      <c r="F1155" s="5" t="n">
        <v>-0.008947913060822817</v>
      </c>
      <c r="G1155" s="5" t="n">
        <v>-0.02864926921939478</v>
      </c>
      <c r="H1155" s="5" t="n">
        <v>-0.001119595710871432</v>
      </c>
      <c r="I1155" s="5" t="n">
        <v>0.001100105859411666</v>
      </c>
      <c r="J1155" s="5" t="n">
        <v>0.001974562710654173</v>
      </c>
      <c r="K1155" s="5" t="n">
        <v>0.006538182901278701</v>
      </c>
      <c r="L1155" s="5" t="n">
        <v>-0.003327438579708947</v>
      </c>
      <c r="M1155" s="5">
        <f>SUMPRODUCT(Exposures!$B$6:$K$6,B1155:K1155)</f>
        <v/>
      </c>
      <c r="N1155" s="5">
        <f>IF(AND($A1155&gt;=DATE(2020,2,1),$A1155&lt;=DATE(2020,5,31)),$M1155,"")</f>
        <v/>
      </c>
      <c r="O1155" s="5">
        <f>IF(AND($A1155&gt;=DATE(2022,1,1),$A1155&lt;=DATE(2022,10,31)),$M1155,"")</f>
        <v/>
      </c>
      <c r="P1155" s="5">
        <f>IF(AND($A1155&gt;=DATE(2018,10,1),$A1155&lt;=DATE(2018,12,31)),$M1155,"")</f>
        <v/>
      </c>
      <c r="Q1155" s="5">
        <f>SUMPRODUCT(Exposures!$B$8:$K$8,B1155:K1155)</f>
        <v/>
      </c>
      <c r="R1155" s="5">
        <f>SUMPRODUCT(Exposures!$B$9:$K$9,B1155:K1155)</f>
        <v/>
      </c>
      <c r="S1155" s="5">
        <f>SUMPRODUCT(Exposures!$B$10:$K$10,B1155:K1155)</f>
        <v/>
      </c>
    </row>
    <row r="1156">
      <c r="A1156" s="1" t="n">
        <v>44133</v>
      </c>
      <c r="B1156" s="5" t="n">
        <v>0.006570657681299594</v>
      </c>
      <c r="C1156" s="5" t="n">
        <v>0.004665889106254671</v>
      </c>
      <c r="D1156" s="5" t="n">
        <v>-0.003830759545049766</v>
      </c>
      <c r="E1156" s="5" t="n">
        <v>-0.001919389432588963</v>
      </c>
      <c r="F1156" s="5" t="n">
        <v>-0.0007522081305112054</v>
      </c>
      <c r="G1156" s="5" t="n">
        <v>0.01254224582945586</v>
      </c>
      <c r="H1156" s="5" t="n">
        <v>-0.002934750374946611</v>
      </c>
      <c r="I1156" s="5" t="n">
        <v>-0.001130718732984946</v>
      </c>
      <c r="J1156" s="5" t="n">
        <v>0.002436987060506739</v>
      </c>
      <c r="K1156" s="5" t="n">
        <v>0.0005142973381104671</v>
      </c>
      <c r="L1156" s="5" t="n">
        <v>-4.621627402473516e-05</v>
      </c>
      <c r="M1156" s="5">
        <f>SUMPRODUCT(Exposures!$B$6:$K$6,B1156:K1156)</f>
        <v/>
      </c>
      <c r="N1156" s="5">
        <f>IF(AND($A1156&gt;=DATE(2020,2,1),$A1156&lt;=DATE(2020,5,31)),$M1156,"")</f>
        <v/>
      </c>
      <c r="O1156" s="5">
        <f>IF(AND($A1156&gt;=DATE(2022,1,1),$A1156&lt;=DATE(2022,10,31)),$M1156,"")</f>
        <v/>
      </c>
      <c r="P1156" s="5">
        <f>IF(AND($A1156&gt;=DATE(2018,10,1),$A1156&lt;=DATE(2018,12,31)),$M1156,"")</f>
        <v/>
      </c>
      <c r="Q1156" s="5">
        <f>SUMPRODUCT(Exposures!$B$8:$K$8,B1156:K1156)</f>
        <v/>
      </c>
      <c r="R1156" s="5">
        <f>SUMPRODUCT(Exposures!$B$9:$K$9,B1156:K1156)</f>
        <v/>
      </c>
      <c r="S1156" s="5">
        <f>SUMPRODUCT(Exposures!$B$10:$K$10,B1156:K1156)</f>
        <v/>
      </c>
    </row>
    <row r="1157">
      <c r="A1157" s="1" t="n">
        <v>44134</v>
      </c>
      <c r="B1157" s="5" t="n">
        <v>-0.001103304428279464</v>
      </c>
      <c r="C1157" s="5" t="n">
        <v>0.001108009986205173</v>
      </c>
      <c r="D1157" s="5" t="n">
        <v>0.003211741972334329</v>
      </c>
      <c r="E1157" s="5" t="n">
        <v>0.0004217360478291525</v>
      </c>
      <c r="F1157" s="5" t="n">
        <v>-0.008344625498562243</v>
      </c>
      <c r="G1157" s="5" t="n">
        <v>-0.001407025439668045</v>
      </c>
      <c r="H1157" s="5" t="n">
        <v>-0.005120268589890981</v>
      </c>
      <c r="I1157" s="5" t="n">
        <v>-0.0003807786239824381</v>
      </c>
      <c r="J1157" s="5" t="n">
        <v>-0.005853275049599076</v>
      </c>
      <c r="K1157" s="5" t="n">
        <v>0.00476753032499861</v>
      </c>
      <c r="L1157" s="5" t="n">
        <v>0.003274467242255788</v>
      </c>
      <c r="M1157" s="5">
        <f>SUMPRODUCT(Exposures!$B$6:$K$6,B1157:K1157)</f>
        <v/>
      </c>
      <c r="N1157" s="5">
        <f>IF(AND($A1157&gt;=DATE(2020,2,1),$A1157&lt;=DATE(2020,5,31)),$M1157,"")</f>
        <v/>
      </c>
      <c r="O1157" s="5">
        <f>IF(AND($A1157&gt;=DATE(2022,1,1),$A1157&lt;=DATE(2022,10,31)),$M1157,"")</f>
        <v/>
      </c>
      <c r="P1157" s="5">
        <f>IF(AND($A1157&gt;=DATE(2018,10,1),$A1157&lt;=DATE(2018,12,31)),$M1157,"")</f>
        <v/>
      </c>
      <c r="Q1157" s="5">
        <f>SUMPRODUCT(Exposures!$B$8:$K$8,B1157:K1157)</f>
        <v/>
      </c>
      <c r="R1157" s="5">
        <f>SUMPRODUCT(Exposures!$B$9:$K$9,B1157:K1157)</f>
        <v/>
      </c>
      <c r="S1157" s="5">
        <f>SUMPRODUCT(Exposures!$B$10:$K$10,B1157:K1157)</f>
        <v/>
      </c>
    </row>
    <row r="1158">
      <c r="A1158" s="1" t="n">
        <v>44137</v>
      </c>
      <c r="B1158" s="5" t="n">
        <v>0.002946637286721513</v>
      </c>
      <c r="C1158" s="5" t="n">
        <v>0.001339869951123777</v>
      </c>
      <c r="D1158" s="5" t="n">
        <v>0.002692870516383672</v>
      </c>
      <c r="E1158" s="5" t="n">
        <v>0.0006286270710289004</v>
      </c>
      <c r="F1158" s="5" t="n">
        <v>-0.009363708793082823</v>
      </c>
      <c r="G1158" s="5" t="n">
        <v>0.02014477708936531</v>
      </c>
      <c r="H1158" s="5" t="n">
        <v>-0.002499585946533784</v>
      </c>
      <c r="I1158" s="5" t="n">
        <v>-0.00106541258448749</v>
      </c>
      <c r="J1158" s="5" t="n">
        <v>0.001894603944746977</v>
      </c>
      <c r="K1158" s="5" t="n">
        <v>0.009584074184930763</v>
      </c>
      <c r="L1158" s="5" t="n">
        <v>0.003114927309955707</v>
      </c>
      <c r="M1158" s="5">
        <f>SUMPRODUCT(Exposures!$B$6:$K$6,B1158:K1158)</f>
        <v/>
      </c>
      <c r="N1158" s="5">
        <f>IF(AND($A1158&gt;=DATE(2020,2,1),$A1158&lt;=DATE(2020,5,31)),$M1158,"")</f>
        <v/>
      </c>
      <c r="O1158" s="5">
        <f>IF(AND($A1158&gt;=DATE(2022,1,1),$A1158&lt;=DATE(2022,10,31)),$M1158,"")</f>
        <v/>
      </c>
      <c r="P1158" s="5">
        <f>IF(AND($A1158&gt;=DATE(2018,10,1),$A1158&lt;=DATE(2018,12,31)),$M1158,"")</f>
        <v/>
      </c>
      <c r="Q1158" s="5">
        <f>SUMPRODUCT(Exposures!$B$8:$K$8,B1158:K1158)</f>
        <v/>
      </c>
      <c r="R1158" s="5">
        <f>SUMPRODUCT(Exposures!$B$9:$K$9,B1158:K1158)</f>
        <v/>
      </c>
      <c r="S1158" s="5">
        <f>SUMPRODUCT(Exposures!$B$10:$K$10,B1158:K1158)</f>
        <v/>
      </c>
    </row>
    <row r="1159">
      <c r="A1159" s="1" t="n">
        <v>44138</v>
      </c>
      <c r="B1159" s="5" t="n">
        <v>0.008084655074366382</v>
      </c>
      <c r="C1159" s="5" t="n">
        <v>0.002569739022474384</v>
      </c>
      <c r="D1159" s="5" t="n">
        <v>0.0001458695948588424</v>
      </c>
      <c r="E1159" s="5" t="n">
        <v>0.002565902575716179</v>
      </c>
      <c r="F1159" s="5" t="n">
        <v>0.003586054364856717</v>
      </c>
      <c r="G1159" s="5" t="n">
        <v>0.02176010993636078</v>
      </c>
      <c r="H1159" s="5" t="n">
        <v>-0.0009993741728348974</v>
      </c>
      <c r="I1159" s="5" t="n">
        <v>0.002682896397478599</v>
      </c>
      <c r="J1159" s="5" t="n">
        <v>-0.003407557992104824</v>
      </c>
      <c r="K1159" s="5" t="n">
        <v>-0.01420368149599628</v>
      </c>
      <c r="L1159" s="5" t="n">
        <v>-0.004654155482784689</v>
      </c>
      <c r="M1159" s="5">
        <f>SUMPRODUCT(Exposures!$B$6:$K$6,B1159:K1159)</f>
        <v/>
      </c>
      <c r="N1159" s="5">
        <f>IF(AND($A1159&gt;=DATE(2020,2,1),$A1159&lt;=DATE(2020,5,31)),$M1159,"")</f>
        <v/>
      </c>
      <c r="O1159" s="5">
        <f>IF(AND($A1159&gt;=DATE(2022,1,1),$A1159&lt;=DATE(2022,10,31)),$M1159,"")</f>
        <v/>
      </c>
      <c r="P1159" s="5">
        <f>IF(AND($A1159&gt;=DATE(2018,10,1),$A1159&lt;=DATE(2018,12,31)),$M1159,"")</f>
        <v/>
      </c>
      <c r="Q1159" s="5">
        <f>SUMPRODUCT(Exposures!$B$8:$K$8,B1159:K1159)</f>
        <v/>
      </c>
      <c r="R1159" s="5">
        <f>SUMPRODUCT(Exposures!$B$9:$K$9,B1159:K1159)</f>
        <v/>
      </c>
      <c r="S1159" s="5">
        <f>SUMPRODUCT(Exposures!$B$10:$K$10,B1159:K1159)</f>
        <v/>
      </c>
    </row>
    <row r="1160">
      <c r="A1160" s="1" t="n">
        <v>44139</v>
      </c>
      <c r="B1160" s="5" t="n">
        <v>-0.004750513906553516</v>
      </c>
      <c r="C1160" s="5" t="n">
        <v>-0.002500077521450812</v>
      </c>
      <c r="D1160" s="5" t="n">
        <v>0.002555781751768861</v>
      </c>
      <c r="E1160" s="5" t="n">
        <v>-0.004640697251004315</v>
      </c>
      <c r="F1160" s="5" t="n">
        <v>0.01220257071186792</v>
      </c>
      <c r="G1160" s="5" t="n">
        <v>0.007607723117361528</v>
      </c>
      <c r="H1160" s="5" t="n">
        <v>0.01069496852370288</v>
      </c>
      <c r="I1160" s="5" t="n">
        <v>0.006414998587359809</v>
      </c>
      <c r="J1160" s="5" t="n">
        <v>-0.001368765725828886</v>
      </c>
      <c r="K1160" s="5" t="n">
        <v>-0.005393851595124039</v>
      </c>
      <c r="L1160" s="5" t="n">
        <v>-0.007472412543600628</v>
      </c>
      <c r="M1160" s="5">
        <f>SUMPRODUCT(Exposures!$B$6:$K$6,B1160:K1160)</f>
        <v/>
      </c>
      <c r="N1160" s="5">
        <f>IF(AND($A1160&gt;=DATE(2020,2,1),$A1160&lt;=DATE(2020,5,31)),$M1160,"")</f>
        <v/>
      </c>
      <c r="O1160" s="5">
        <f>IF(AND($A1160&gt;=DATE(2022,1,1),$A1160&lt;=DATE(2022,10,31)),$M1160,"")</f>
        <v/>
      </c>
      <c r="P1160" s="5">
        <f>IF(AND($A1160&gt;=DATE(2018,10,1),$A1160&lt;=DATE(2018,12,31)),$M1160,"")</f>
        <v/>
      </c>
      <c r="Q1160" s="5">
        <f>SUMPRODUCT(Exposures!$B$8:$K$8,B1160:K1160)</f>
        <v/>
      </c>
      <c r="R1160" s="5">
        <f>SUMPRODUCT(Exposures!$B$9:$K$9,B1160:K1160)</f>
        <v/>
      </c>
      <c r="S1160" s="5">
        <f>SUMPRODUCT(Exposures!$B$10:$K$10,B1160:K1160)</f>
        <v/>
      </c>
    </row>
    <row r="1161">
      <c r="A1161" s="1" t="n">
        <v>44140</v>
      </c>
      <c r="B1161" s="5" t="n">
        <v>0.01229239591125632</v>
      </c>
      <c r="C1161" s="5" t="n">
        <v>0.002028887568024522</v>
      </c>
      <c r="D1161" s="5" t="n">
        <v>-0.005155723722243494</v>
      </c>
      <c r="E1161" s="5" t="n">
        <v>0.001780032047623935</v>
      </c>
      <c r="F1161" s="5" t="n">
        <v>-0.0004297407640164123</v>
      </c>
      <c r="G1161" s="5" t="n">
        <v>0.02584734255598722</v>
      </c>
      <c r="H1161" s="5" t="n">
        <v>0.006936663579800439</v>
      </c>
      <c r="I1161" s="5" t="n">
        <v>-0.0007831702618112256</v>
      </c>
      <c r="J1161" s="5" t="n">
        <v>0.0006775790825301487</v>
      </c>
      <c r="K1161" s="5" t="n">
        <v>-0.007776967111545429</v>
      </c>
      <c r="L1161" s="5" t="n">
        <v>0.0009963538175260325</v>
      </c>
      <c r="M1161" s="5">
        <f>SUMPRODUCT(Exposures!$B$6:$K$6,B1161:K1161)</f>
        <v/>
      </c>
      <c r="N1161" s="5">
        <f>IF(AND($A1161&gt;=DATE(2020,2,1),$A1161&lt;=DATE(2020,5,31)),$M1161,"")</f>
        <v/>
      </c>
      <c r="O1161" s="5">
        <f>IF(AND($A1161&gt;=DATE(2022,1,1),$A1161&lt;=DATE(2022,10,31)),$M1161,"")</f>
        <v/>
      </c>
      <c r="P1161" s="5">
        <f>IF(AND($A1161&gt;=DATE(2018,10,1),$A1161&lt;=DATE(2018,12,31)),$M1161,"")</f>
        <v/>
      </c>
      <c r="Q1161" s="5">
        <f>SUMPRODUCT(Exposures!$B$8:$K$8,B1161:K1161)</f>
        <v/>
      </c>
      <c r="R1161" s="5">
        <f>SUMPRODUCT(Exposures!$B$9:$K$9,B1161:K1161)</f>
        <v/>
      </c>
      <c r="S1161" s="5">
        <f>SUMPRODUCT(Exposures!$B$10:$K$10,B1161:K1161)</f>
        <v/>
      </c>
    </row>
    <row r="1162">
      <c r="A1162" s="1" t="n">
        <v>44141</v>
      </c>
      <c r="B1162" s="5" t="n">
        <v>-0.005136630902992493</v>
      </c>
      <c r="C1162" s="5" t="n">
        <v>0.0008809762594947136</v>
      </c>
      <c r="D1162" s="5" t="n">
        <v>0.003284925824930955</v>
      </c>
      <c r="E1162" s="5" t="n">
        <v>-0.002549784063527638</v>
      </c>
      <c r="F1162" s="5" t="n">
        <v>0.002997435275892963</v>
      </c>
      <c r="G1162" s="5" t="n">
        <v>-0.00402519198440477</v>
      </c>
      <c r="H1162" s="5" t="n">
        <v>0.002139666624398797</v>
      </c>
      <c r="I1162" s="5" t="n">
        <v>-0.001418979562134418</v>
      </c>
      <c r="J1162" s="5" t="n">
        <v>0.0006282344645832903</v>
      </c>
      <c r="K1162" s="5" t="n">
        <v>0.002834096496170354</v>
      </c>
      <c r="L1162" s="5" t="n">
        <v>-0.001277689166527144</v>
      </c>
      <c r="M1162" s="5">
        <f>SUMPRODUCT(Exposures!$B$6:$K$6,B1162:K1162)</f>
        <v/>
      </c>
      <c r="N1162" s="5">
        <f>IF(AND($A1162&gt;=DATE(2020,2,1),$A1162&lt;=DATE(2020,5,31)),$M1162,"")</f>
        <v/>
      </c>
      <c r="O1162" s="5">
        <f>IF(AND($A1162&gt;=DATE(2022,1,1),$A1162&lt;=DATE(2022,10,31)),$M1162,"")</f>
        <v/>
      </c>
      <c r="P1162" s="5">
        <f>IF(AND($A1162&gt;=DATE(2018,10,1),$A1162&lt;=DATE(2018,12,31)),$M1162,"")</f>
        <v/>
      </c>
      <c r="Q1162" s="5">
        <f>SUMPRODUCT(Exposures!$B$8:$K$8,B1162:K1162)</f>
        <v/>
      </c>
      <c r="R1162" s="5">
        <f>SUMPRODUCT(Exposures!$B$9:$K$9,B1162:K1162)</f>
        <v/>
      </c>
      <c r="S1162" s="5">
        <f>SUMPRODUCT(Exposures!$B$10:$K$10,B1162:K1162)</f>
        <v/>
      </c>
    </row>
    <row r="1163">
      <c r="A1163" s="1" t="n">
        <v>44144</v>
      </c>
      <c r="B1163" s="5" t="n">
        <v>0.02725529675688538</v>
      </c>
      <c r="C1163" s="5" t="n">
        <v>0.001340787563870615</v>
      </c>
      <c r="D1163" s="5" t="n">
        <v>-0.008021367220691885</v>
      </c>
      <c r="E1163" s="5" t="n">
        <v>0.003219247586813431</v>
      </c>
      <c r="F1163" s="5" t="n">
        <v>0.004185178933379764</v>
      </c>
      <c r="G1163" s="5" t="n">
        <v>0.03895618565644082</v>
      </c>
      <c r="H1163" s="5" t="n">
        <v>-0.04625904143086506</v>
      </c>
      <c r="I1163" s="5" t="n">
        <v>0.004759288885750386</v>
      </c>
      <c r="J1163" s="5" t="n">
        <v>0.00354609523723729</v>
      </c>
      <c r="K1163" s="5" t="n">
        <v>-0.003718769910578967</v>
      </c>
      <c r="L1163" s="5" t="n">
        <v>0.007668352046775084</v>
      </c>
      <c r="M1163" s="5">
        <f>SUMPRODUCT(Exposures!$B$6:$K$6,B1163:K1163)</f>
        <v/>
      </c>
      <c r="N1163" s="5">
        <f>IF(AND($A1163&gt;=DATE(2020,2,1),$A1163&lt;=DATE(2020,5,31)),$M1163,"")</f>
        <v/>
      </c>
      <c r="O1163" s="5">
        <f>IF(AND($A1163&gt;=DATE(2022,1,1),$A1163&lt;=DATE(2022,10,31)),$M1163,"")</f>
        <v/>
      </c>
      <c r="P1163" s="5">
        <f>IF(AND($A1163&gt;=DATE(2018,10,1),$A1163&lt;=DATE(2018,12,31)),$M1163,"")</f>
        <v/>
      </c>
      <c r="Q1163" s="5">
        <f>SUMPRODUCT(Exposures!$B$8:$K$8,B1163:K1163)</f>
        <v/>
      </c>
      <c r="R1163" s="5">
        <f>SUMPRODUCT(Exposures!$B$9:$K$9,B1163:K1163)</f>
        <v/>
      </c>
      <c r="S1163" s="5">
        <f>SUMPRODUCT(Exposures!$B$10:$K$10,B1163:K1163)</f>
        <v/>
      </c>
    </row>
    <row r="1164">
      <c r="A1164" s="1" t="n">
        <v>44145</v>
      </c>
      <c r="B1164" s="5" t="n">
        <v>-0.0007984928876575946</v>
      </c>
      <c r="C1164" s="5" t="n">
        <v>-0.003686115640022134</v>
      </c>
      <c r="D1164" s="5" t="n">
        <v>-0.001320697111902411</v>
      </c>
      <c r="E1164" s="5" t="n">
        <v>0.004085943797209863</v>
      </c>
      <c r="F1164" s="5" t="n">
        <v>-0.01115152277948766</v>
      </c>
      <c r="G1164" s="5" t="n">
        <v>0.008983834903206388</v>
      </c>
      <c r="H1164" s="5" t="n">
        <v>-0.01448817849443945</v>
      </c>
      <c r="I1164" s="5" t="n">
        <v>0.00408513838671419</v>
      </c>
      <c r="J1164" s="5" t="n">
        <v>-0.006150510350924384</v>
      </c>
      <c r="K1164" s="5" t="n">
        <v>0.0004234785983336219</v>
      </c>
      <c r="L1164" s="5" t="n">
        <v>0.00183653859207348</v>
      </c>
      <c r="M1164" s="5">
        <f>SUMPRODUCT(Exposures!$B$6:$K$6,B1164:K1164)</f>
        <v/>
      </c>
      <c r="N1164" s="5">
        <f>IF(AND($A1164&gt;=DATE(2020,2,1),$A1164&lt;=DATE(2020,5,31)),$M1164,"")</f>
        <v/>
      </c>
      <c r="O1164" s="5">
        <f>IF(AND($A1164&gt;=DATE(2022,1,1),$A1164&lt;=DATE(2022,10,31)),$M1164,"")</f>
        <v/>
      </c>
      <c r="P1164" s="5">
        <f>IF(AND($A1164&gt;=DATE(2018,10,1),$A1164&lt;=DATE(2018,12,31)),$M1164,"")</f>
        <v/>
      </c>
      <c r="Q1164" s="5">
        <f>SUMPRODUCT(Exposures!$B$8:$K$8,B1164:K1164)</f>
        <v/>
      </c>
      <c r="R1164" s="5">
        <f>SUMPRODUCT(Exposures!$B$9:$K$9,B1164:K1164)</f>
        <v/>
      </c>
      <c r="S1164" s="5">
        <f>SUMPRODUCT(Exposures!$B$10:$K$10,B1164:K1164)</f>
        <v/>
      </c>
    </row>
    <row r="1165">
      <c r="A1165" s="1" t="n">
        <v>44146</v>
      </c>
      <c r="B1165" s="5" t="n">
        <v>-0.003805571123209128</v>
      </c>
      <c r="C1165" s="5" t="n">
        <v>-0.001662779956326878</v>
      </c>
      <c r="D1165" s="5" t="n">
        <v>-0.001285770814873932</v>
      </c>
      <c r="E1165" s="5" t="n">
        <v>0.0006246580534636066</v>
      </c>
      <c r="F1165" s="5" t="n">
        <v>0.006779998612371852</v>
      </c>
      <c r="G1165" s="5" t="n">
        <v>-0.0008765737830871353</v>
      </c>
      <c r="H1165" s="5" t="n">
        <v>0.01125976777421618</v>
      </c>
      <c r="I1165" s="5" t="n">
        <v>0.00136875338509271</v>
      </c>
      <c r="J1165" s="5" t="n">
        <v>0.0009533451848505051</v>
      </c>
      <c r="K1165" s="5" t="n">
        <v>-0.007286543953558302</v>
      </c>
      <c r="L1165" s="5" t="n">
        <v>-0.0009548610606516297</v>
      </c>
      <c r="M1165" s="5">
        <f>SUMPRODUCT(Exposures!$B$6:$K$6,B1165:K1165)</f>
        <v/>
      </c>
      <c r="N1165" s="5">
        <f>IF(AND($A1165&gt;=DATE(2020,2,1),$A1165&lt;=DATE(2020,5,31)),$M1165,"")</f>
        <v/>
      </c>
      <c r="O1165" s="5">
        <f>IF(AND($A1165&gt;=DATE(2022,1,1),$A1165&lt;=DATE(2022,10,31)),$M1165,"")</f>
        <v/>
      </c>
      <c r="P1165" s="5">
        <f>IF(AND($A1165&gt;=DATE(2018,10,1),$A1165&lt;=DATE(2018,12,31)),$M1165,"")</f>
        <v/>
      </c>
      <c r="Q1165" s="5">
        <f>SUMPRODUCT(Exposures!$B$8:$K$8,B1165:K1165)</f>
        <v/>
      </c>
      <c r="R1165" s="5">
        <f>SUMPRODUCT(Exposures!$B$9:$K$9,B1165:K1165)</f>
        <v/>
      </c>
      <c r="S1165" s="5">
        <f>SUMPRODUCT(Exposures!$B$10:$K$10,B1165:K1165)</f>
        <v/>
      </c>
    </row>
    <row r="1166">
      <c r="A1166" s="1" t="n">
        <v>44147</v>
      </c>
      <c r="B1166" s="5" t="n">
        <v>-0.005431035989909513</v>
      </c>
      <c r="C1166" s="5" t="n">
        <v>-0.0005055701856509205</v>
      </c>
      <c r="D1166" s="5" t="n">
        <v>0.002081821961048619</v>
      </c>
      <c r="E1166" s="5" t="n">
        <v>0.0007139742491006382</v>
      </c>
      <c r="F1166" s="5" t="n">
        <v>0.002296077716627264</v>
      </c>
      <c r="G1166" s="5" t="n">
        <v>-0.01395517678813345</v>
      </c>
      <c r="H1166" s="5" t="n">
        <v>0.006586943846716284</v>
      </c>
      <c r="I1166" s="5" t="n">
        <v>-0.0006230490015707395</v>
      </c>
      <c r="J1166" s="5" t="n">
        <v>0.0002501877149591954</v>
      </c>
      <c r="K1166" s="5" t="n">
        <v>-0.0007789528478202223</v>
      </c>
      <c r="L1166" s="5" t="n">
        <v>-0.0002129894424298065</v>
      </c>
      <c r="M1166" s="5">
        <f>SUMPRODUCT(Exposures!$B$6:$K$6,B1166:K1166)</f>
        <v/>
      </c>
      <c r="N1166" s="5">
        <f>IF(AND($A1166&gt;=DATE(2020,2,1),$A1166&lt;=DATE(2020,5,31)),$M1166,"")</f>
        <v/>
      </c>
      <c r="O1166" s="5">
        <f>IF(AND($A1166&gt;=DATE(2022,1,1),$A1166&lt;=DATE(2022,10,31)),$M1166,"")</f>
        <v/>
      </c>
      <c r="P1166" s="5">
        <f>IF(AND($A1166&gt;=DATE(2018,10,1),$A1166&lt;=DATE(2018,12,31)),$M1166,"")</f>
        <v/>
      </c>
      <c r="Q1166" s="5">
        <f>SUMPRODUCT(Exposures!$B$8:$K$8,B1166:K1166)</f>
        <v/>
      </c>
      <c r="R1166" s="5">
        <f>SUMPRODUCT(Exposures!$B$9:$K$9,B1166:K1166)</f>
        <v/>
      </c>
      <c r="S1166" s="5">
        <f>SUMPRODUCT(Exposures!$B$10:$K$10,B1166:K1166)</f>
        <v/>
      </c>
    </row>
    <row r="1167">
      <c r="A1167" s="1" t="n">
        <v>44148</v>
      </c>
      <c r="B1167" s="5" t="n">
        <v>0.006670155399533324</v>
      </c>
      <c r="C1167" s="5" t="n">
        <v>0.0003629875112875239</v>
      </c>
      <c r="D1167" s="5" t="n">
        <v>-0.0001258906143780211</v>
      </c>
      <c r="E1167" s="5" t="n">
        <v>0.0002726352124019471</v>
      </c>
      <c r="F1167" s="5" t="n">
        <v>0.0056149402654953</v>
      </c>
      <c r="G1167" s="5" t="n">
        <v>0.02212231872490045</v>
      </c>
      <c r="H1167" s="5" t="n">
        <v>-0.01132415320543662</v>
      </c>
      <c r="I1167" s="5" t="n">
        <v>0.0007101394848945276</v>
      </c>
      <c r="J1167" s="5" t="n">
        <v>8.193189119799077e-05</v>
      </c>
      <c r="K1167" s="5" t="n">
        <v>-0.007735572892043828</v>
      </c>
      <c r="L1167" s="5" t="n">
        <v>-0.00309732573767724</v>
      </c>
      <c r="M1167" s="5">
        <f>SUMPRODUCT(Exposures!$B$6:$K$6,B1167:K1167)</f>
        <v/>
      </c>
      <c r="N1167" s="5">
        <f>IF(AND($A1167&gt;=DATE(2020,2,1),$A1167&lt;=DATE(2020,5,31)),$M1167,"")</f>
        <v/>
      </c>
      <c r="O1167" s="5">
        <f>IF(AND($A1167&gt;=DATE(2022,1,1),$A1167&lt;=DATE(2022,10,31)),$M1167,"")</f>
        <v/>
      </c>
      <c r="P1167" s="5">
        <f>IF(AND($A1167&gt;=DATE(2018,10,1),$A1167&lt;=DATE(2018,12,31)),$M1167,"")</f>
        <v/>
      </c>
      <c r="Q1167" s="5">
        <f>SUMPRODUCT(Exposures!$B$8:$K$8,B1167:K1167)</f>
        <v/>
      </c>
      <c r="R1167" s="5">
        <f>SUMPRODUCT(Exposures!$B$9:$K$9,B1167:K1167)</f>
        <v/>
      </c>
      <c r="S1167" s="5">
        <f>SUMPRODUCT(Exposures!$B$10:$K$10,B1167:K1167)</f>
        <v/>
      </c>
    </row>
    <row r="1168">
      <c r="A1168" s="1" t="n">
        <v>44151</v>
      </c>
      <c r="B1168" s="5" t="n">
        <v>0.006135679512661866</v>
      </c>
      <c r="C1168" s="5" t="n">
        <v>-0.001314811007133613</v>
      </c>
      <c r="D1168" s="5" t="n">
        <v>-0.0009049703287987002</v>
      </c>
      <c r="E1168" s="5" t="n">
        <v>0.001114652075333978</v>
      </c>
      <c r="F1168" s="5" t="n">
        <v>0.005859900468920854</v>
      </c>
      <c r="G1168" s="5" t="n">
        <v>0.01951611318752456</v>
      </c>
      <c r="H1168" s="5" t="n">
        <v>-0.009808167216922575</v>
      </c>
      <c r="I1168" s="5" t="n">
        <v>0.0001636924322031832</v>
      </c>
      <c r="J1168" s="5" t="n">
        <v>0.00321250773161507</v>
      </c>
      <c r="K1168" s="5" t="n">
        <v>-0.005579766772856074</v>
      </c>
      <c r="L1168" s="5" t="n">
        <v>-0.0003405625543880016</v>
      </c>
      <c r="M1168" s="5">
        <f>SUMPRODUCT(Exposures!$B$6:$K$6,B1168:K1168)</f>
        <v/>
      </c>
      <c r="N1168" s="5">
        <f>IF(AND($A1168&gt;=DATE(2020,2,1),$A1168&lt;=DATE(2020,5,31)),$M1168,"")</f>
        <v/>
      </c>
      <c r="O1168" s="5">
        <f>IF(AND($A1168&gt;=DATE(2022,1,1),$A1168&lt;=DATE(2022,10,31)),$M1168,"")</f>
        <v/>
      </c>
      <c r="P1168" s="5">
        <f>IF(AND($A1168&gt;=DATE(2018,10,1),$A1168&lt;=DATE(2018,12,31)),$M1168,"")</f>
        <v/>
      </c>
      <c r="Q1168" s="5">
        <f>SUMPRODUCT(Exposures!$B$8:$K$8,B1168:K1168)</f>
        <v/>
      </c>
      <c r="R1168" s="5">
        <f>SUMPRODUCT(Exposures!$B$9:$K$9,B1168:K1168)</f>
        <v/>
      </c>
      <c r="S1168" s="5">
        <f>SUMPRODUCT(Exposures!$B$10:$K$10,B1168:K1168)</f>
        <v/>
      </c>
    </row>
    <row r="1169">
      <c r="A1169" s="1" t="n">
        <v>44152</v>
      </c>
      <c r="B1169" s="5" t="n">
        <v>0.001758086867367837</v>
      </c>
      <c r="C1169" s="5" t="n">
        <v>-0.003707739186319604</v>
      </c>
      <c r="D1169" s="5" t="n">
        <v>-0.001460505230571958</v>
      </c>
      <c r="E1169" s="5" t="n">
        <v>0.002428195357657325</v>
      </c>
      <c r="F1169" s="5" t="n">
        <v>0.0102692814869845</v>
      </c>
      <c r="G1169" s="5" t="n">
        <v>-0.001901307836712575</v>
      </c>
      <c r="H1169" s="5" t="n">
        <v>-0.0002850335343619409</v>
      </c>
      <c r="I1169" s="5" t="n">
        <v>0.001654389156819654</v>
      </c>
      <c r="J1169" s="5" t="n">
        <v>0.003963563879842241</v>
      </c>
      <c r="K1169" s="5" t="n">
        <v>-0.01047537483721782</v>
      </c>
      <c r="L1169" s="5" t="n">
        <v>-0.002028615970621171</v>
      </c>
      <c r="M1169" s="5">
        <f>SUMPRODUCT(Exposures!$B$6:$K$6,B1169:K1169)</f>
        <v/>
      </c>
      <c r="N1169" s="5">
        <f>IF(AND($A1169&gt;=DATE(2020,2,1),$A1169&lt;=DATE(2020,5,31)),$M1169,"")</f>
        <v/>
      </c>
      <c r="O1169" s="5">
        <f>IF(AND($A1169&gt;=DATE(2022,1,1),$A1169&lt;=DATE(2022,10,31)),$M1169,"")</f>
        <v/>
      </c>
      <c r="P1169" s="5">
        <f>IF(AND($A1169&gt;=DATE(2018,10,1),$A1169&lt;=DATE(2018,12,31)),$M1169,"")</f>
        <v/>
      </c>
      <c r="Q1169" s="5">
        <f>SUMPRODUCT(Exposures!$B$8:$K$8,B1169:K1169)</f>
        <v/>
      </c>
      <c r="R1169" s="5">
        <f>SUMPRODUCT(Exposures!$B$9:$K$9,B1169:K1169)</f>
        <v/>
      </c>
      <c r="S1169" s="5">
        <f>SUMPRODUCT(Exposures!$B$10:$K$10,B1169:K1169)</f>
        <v/>
      </c>
    </row>
    <row r="1170">
      <c r="A1170" s="1" t="n">
        <v>44153</v>
      </c>
      <c r="B1170" s="5" t="n">
        <v>0.002138999615976951</v>
      </c>
      <c r="C1170" s="5" t="n">
        <v>0.0002359278932807974</v>
      </c>
      <c r="D1170" s="5" t="n">
        <v>-0.000821901473735326</v>
      </c>
      <c r="E1170" s="5" t="n">
        <v>0.001993597888276275</v>
      </c>
      <c r="F1170" s="5" t="n">
        <v>0.006947804758883794</v>
      </c>
      <c r="G1170" s="5" t="n">
        <v>-0.01161607826414186</v>
      </c>
      <c r="H1170" s="5" t="n">
        <v>0.001875518609866549</v>
      </c>
      <c r="I1170" s="5" t="n">
        <v>0.0003806609263192482</v>
      </c>
      <c r="J1170" s="5" t="n">
        <v>-0.001527873212663617</v>
      </c>
      <c r="K1170" s="5" t="n">
        <v>-0.009944568435995751</v>
      </c>
      <c r="L1170" s="5" t="n">
        <v>-0.001096579078023757</v>
      </c>
      <c r="M1170" s="5">
        <f>SUMPRODUCT(Exposures!$B$6:$K$6,B1170:K1170)</f>
        <v/>
      </c>
      <c r="N1170" s="5">
        <f>IF(AND($A1170&gt;=DATE(2020,2,1),$A1170&lt;=DATE(2020,5,31)),$M1170,"")</f>
        <v/>
      </c>
      <c r="O1170" s="5">
        <f>IF(AND($A1170&gt;=DATE(2022,1,1),$A1170&lt;=DATE(2022,10,31)),$M1170,"")</f>
        <v/>
      </c>
      <c r="P1170" s="5">
        <f>IF(AND($A1170&gt;=DATE(2018,10,1),$A1170&lt;=DATE(2018,12,31)),$M1170,"")</f>
        <v/>
      </c>
      <c r="Q1170" s="5">
        <f>SUMPRODUCT(Exposures!$B$8:$K$8,B1170:K1170)</f>
        <v/>
      </c>
      <c r="R1170" s="5">
        <f>SUMPRODUCT(Exposures!$B$9:$K$9,B1170:K1170)</f>
        <v/>
      </c>
      <c r="S1170" s="5">
        <f>SUMPRODUCT(Exposures!$B$10:$K$10,B1170:K1170)</f>
        <v/>
      </c>
    </row>
    <row r="1171">
      <c r="A1171" s="1" t="n">
        <v>44154</v>
      </c>
      <c r="B1171" s="5" t="n">
        <v>0.002579806531984769</v>
      </c>
      <c r="C1171" s="5" t="n">
        <v>-0.001813222565664237</v>
      </c>
      <c r="D1171" s="5" t="n">
        <v>0.000565704533925593</v>
      </c>
      <c r="E1171" s="5" t="n">
        <v>-0.001254671101284517</v>
      </c>
      <c r="F1171" s="5" t="n">
        <v>0.003863763165499436</v>
      </c>
      <c r="G1171" s="5" t="n">
        <v>0.004274365894807497</v>
      </c>
      <c r="H1171" s="5" t="n">
        <v>0.002699904656465031</v>
      </c>
      <c r="I1171" s="5" t="n">
        <v>0.001391870887990195</v>
      </c>
      <c r="J1171" s="5" t="n">
        <v>0.001266529823260119</v>
      </c>
      <c r="K1171" s="5" t="n">
        <v>-0.003794799463515073</v>
      </c>
      <c r="L1171" s="5" t="n">
        <v>-0.001544419183022697</v>
      </c>
      <c r="M1171" s="5">
        <f>SUMPRODUCT(Exposures!$B$6:$K$6,B1171:K1171)</f>
        <v/>
      </c>
      <c r="N1171" s="5">
        <f>IF(AND($A1171&gt;=DATE(2020,2,1),$A1171&lt;=DATE(2020,5,31)),$M1171,"")</f>
        <v/>
      </c>
      <c r="O1171" s="5">
        <f>IF(AND($A1171&gt;=DATE(2022,1,1),$A1171&lt;=DATE(2022,10,31)),$M1171,"")</f>
        <v/>
      </c>
      <c r="P1171" s="5">
        <f>IF(AND($A1171&gt;=DATE(2018,10,1),$A1171&lt;=DATE(2018,12,31)),$M1171,"")</f>
        <v/>
      </c>
      <c r="Q1171" s="5">
        <f>SUMPRODUCT(Exposures!$B$8:$K$8,B1171:K1171)</f>
        <v/>
      </c>
      <c r="R1171" s="5">
        <f>SUMPRODUCT(Exposures!$B$9:$K$9,B1171:K1171)</f>
        <v/>
      </c>
      <c r="S1171" s="5">
        <f>SUMPRODUCT(Exposures!$B$10:$K$10,B1171:K1171)</f>
        <v/>
      </c>
    </row>
    <row r="1172">
      <c r="A1172" s="1" t="n">
        <v>44155</v>
      </c>
      <c r="B1172" s="5" t="n">
        <v>-0.004481331301389919</v>
      </c>
      <c r="C1172" s="5" t="n">
        <v>-0.0005209974348304384</v>
      </c>
      <c r="D1172" s="5" t="n">
        <v>0.0004032001878679501</v>
      </c>
      <c r="E1172" s="5" t="n">
        <v>-0.003558111316734363</v>
      </c>
      <c r="F1172" s="5" t="n">
        <v>-0.008029770857060779</v>
      </c>
      <c r="G1172" s="5" t="n">
        <v>-0.0003841665089167333</v>
      </c>
      <c r="H1172" s="5" t="n">
        <v>0.002594430021829165</v>
      </c>
      <c r="I1172" s="5" t="n">
        <v>0.002163814072202197</v>
      </c>
      <c r="J1172" s="5" t="n">
        <v>0.004568402261033204</v>
      </c>
      <c r="K1172" s="5" t="n">
        <v>0.006370373504745779</v>
      </c>
      <c r="L1172" s="5" t="n">
        <v>0.004875995272540743</v>
      </c>
      <c r="M1172" s="5">
        <f>SUMPRODUCT(Exposures!$B$6:$K$6,B1172:K1172)</f>
        <v/>
      </c>
      <c r="N1172" s="5">
        <f>IF(AND($A1172&gt;=DATE(2020,2,1),$A1172&lt;=DATE(2020,5,31)),$M1172,"")</f>
        <v/>
      </c>
      <c r="O1172" s="5">
        <f>IF(AND($A1172&gt;=DATE(2022,1,1),$A1172&lt;=DATE(2022,10,31)),$M1172,"")</f>
        <v/>
      </c>
      <c r="P1172" s="5">
        <f>IF(AND($A1172&gt;=DATE(2018,10,1),$A1172&lt;=DATE(2018,12,31)),$M1172,"")</f>
        <v/>
      </c>
      <c r="Q1172" s="5">
        <f>SUMPRODUCT(Exposures!$B$8:$K$8,B1172:K1172)</f>
        <v/>
      </c>
      <c r="R1172" s="5">
        <f>SUMPRODUCT(Exposures!$B$9:$K$9,B1172:K1172)</f>
        <v/>
      </c>
      <c r="S1172" s="5">
        <f>SUMPRODUCT(Exposures!$B$10:$K$10,B1172:K1172)</f>
        <v/>
      </c>
    </row>
    <row r="1173">
      <c r="A1173" s="1" t="n">
        <v>44158</v>
      </c>
      <c r="B1173" s="5" t="n">
        <v>0.009001405962597402</v>
      </c>
      <c r="C1173" s="5" t="n">
        <v>-0.0001164118761782279</v>
      </c>
      <c r="D1173" s="5" t="n">
        <v>-0.0005899969880049721</v>
      </c>
      <c r="E1173" s="5" t="n">
        <v>0.0001529950498942141</v>
      </c>
      <c r="F1173" s="5" t="n">
        <v>0.009327796179212101</v>
      </c>
      <c r="G1173" s="5" t="n">
        <v>0.01614845169475018</v>
      </c>
      <c r="H1173" s="5" t="n">
        <v>-0.0115815040259655</v>
      </c>
      <c r="I1173" s="5" t="n">
        <v>-0.00113874855636273</v>
      </c>
      <c r="J1173" s="5" t="n">
        <v>0.005416579013733031</v>
      </c>
      <c r="K1173" s="5" t="n">
        <v>-0.007321439856266408</v>
      </c>
      <c r="L1173" s="5" t="n">
        <v>-0.002499920945754541</v>
      </c>
      <c r="M1173" s="5">
        <f>SUMPRODUCT(Exposures!$B$6:$K$6,B1173:K1173)</f>
        <v/>
      </c>
      <c r="N1173" s="5">
        <f>IF(AND($A1173&gt;=DATE(2020,2,1),$A1173&lt;=DATE(2020,5,31)),$M1173,"")</f>
        <v/>
      </c>
      <c r="O1173" s="5">
        <f>IF(AND($A1173&gt;=DATE(2022,1,1),$A1173&lt;=DATE(2022,10,31)),$M1173,"")</f>
        <v/>
      </c>
      <c r="P1173" s="5">
        <f>IF(AND($A1173&gt;=DATE(2018,10,1),$A1173&lt;=DATE(2018,12,31)),$M1173,"")</f>
        <v/>
      </c>
      <c r="Q1173" s="5">
        <f>SUMPRODUCT(Exposures!$B$8:$K$8,B1173:K1173)</f>
        <v/>
      </c>
      <c r="R1173" s="5">
        <f>SUMPRODUCT(Exposures!$B$9:$K$9,B1173:K1173)</f>
        <v/>
      </c>
      <c r="S1173" s="5">
        <f>SUMPRODUCT(Exposures!$B$10:$K$10,B1173:K1173)</f>
        <v/>
      </c>
    </row>
    <row r="1174">
      <c r="A1174" s="1" t="n">
        <v>44159</v>
      </c>
      <c r="B1174" s="5" t="n">
        <v>0.004298773315698719</v>
      </c>
      <c r="C1174" s="5" t="n">
        <v>0.002662840874832786</v>
      </c>
      <c r="D1174" s="5" t="n">
        <v>-0.002949315410833906</v>
      </c>
      <c r="E1174" s="5" t="n">
        <v>0.002565638318450189</v>
      </c>
      <c r="F1174" s="5" t="n">
        <v>0.002320920106120392</v>
      </c>
      <c r="G1174" s="5" t="n">
        <v>0.01967228462017492</v>
      </c>
      <c r="H1174" s="5" t="n">
        <v>-0.01183234698977008</v>
      </c>
      <c r="I1174" s="5" t="n">
        <v>0.001567901468889833</v>
      </c>
      <c r="J1174" s="5" t="n">
        <v>0.005461128151381064</v>
      </c>
      <c r="K1174" s="5" t="n">
        <v>0.001533376697482715</v>
      </c>
      <c r="L1174" s="5" t="n">
        <v>0.001696635090468893</v>
      </c>
      <c r="M1174" s="5">
        <f>SUMPRODUCT(Exposures!$B$6:$K$6,B1174:K1174)</f>
        <v/>
      </c>
      <c r="N1174" s="5">
        <f>IF(AND($A1174&gt;=DATE(2020,2,1),$A1174&lt;=DATE(2020,5,31)),$M1174,"")</f>
        <v/>
      </c>
      <c r="O1174" s="5">
        <f>IF(AND($A1174&gt;=DATE(2022,1,1),$A1174&lt;=DATE(2022,10,31)),$M1174,"")</f>
        <v/>
      </c>
      <c r="P1174" s="5">
        <f>IF(AND($A1174&gt;=DATE(2018,10,1),$A1174&lt;=DATE(2018,12,31)),$M1174,"")</f>
        <v/>
      </c>
      <c r="Q1174" s="5">
        <f>SUMPRODUCT(Exposures!$B$8:$K$8,B1174:K1174)</f>
        <v/>
      </c>
      <c r="R1174" s="5">
        <f>SUMPRODUCT(Exposures!$B$9:$K$9,B1174:K1174)</f>
        <v/>
      </c>
      <c r="S1174" s="5">
        <f>SUMPRODUCT(Exposures!$B$10:$K$10,B1174:K1174)</f>
        <v/>
      </c>
    </row>
    <row r="1175">
      <c r="A1175" s="1" t="n">
        <v>44160</v>
      </c>
      <c r="B1175" s="5" t="n">
        <v>-0.002275402735963225</v>
      </c>
      <c r="C1175" s="5" t="n">
        <v>0.0007748208104682154</v>
      </c>
      <c r="D1175" s="5" t="n">
        <v>0.001046193057557646</v>
      </c>
      <c r="E1175" s="5" t="n">
        <v>-0.001132411337224346</v>
      </c>
      <c r="F1175" s="5" t="n">
        <v>0.005258936220281777</v>
      </c>
      <c r="G1175" s="5" t="n">
        <v>-0.00266832521838689</v>
      </c>
      <c r="H1175" s="5" t="n">
        <v>0.005481625747044253</v>
      </c>
      <c r="I1175" s="5" t="n">
        <v>0.002636630944758557</v>
      </c>
      <c r="J1175" s="5" t="n">
        <v>0.0009462554971278331</v>
      </c>
      <c r="K1175" s="5" t="n">
        <v>-0.007981530127249888</v>
      </c>
      <c r="L1175" s="5" t="n">
        <v>-0.003265425255629793</v>
      </c>
      <c r="M1175" s="5">
        <f>SUMPRODUCT(Exposures!$B$6:$K$6,B1175:K1175)</f>
        <v/>
      </c>
      <c r="N1175" s="5">
        <f>IF(AND($A1175&gt;=DATE(2020,2,1),$A1175&lt;=DATE(2020,5,31)),$M1175,"")</f>
        <v/>
      </c>
      <c r="O1175" s="5">
        <f>IF(AND($A1175&gt;=DATE(2022,1,1),$A1175&lt;=DATE(2022,10,31)),$M1175,"")</f>
        <v/>
      </c>
      <c r="P1175" s="5">
        <f>IF(AND($A1175&gt;=DATE(2018,10,1),$A1175&lt;=DATE(2018,12,31)),$M1175,"")</f>
        <v/>
      </c>
      <c r="Q1175" s="5">
        <f>SUMPRODUCT(Exposures!$B$8:$K$8,B1175:K1175)</f>
        <v/>
      </c>
      <c r="R1175" s="5">
        <f>SUMPRODUCT(Exposures!$B$9:$K$9,B1175:K1175)</f>
        <v/>
      </c>
      <c r="S1175" s="5">
        <f>SUMPRODUCT(Exposures!$B$10:$K$10,B1175:K1175)</f>
        <v/>
      </c>
    </row>
    <row r="1176">
      <c r="A1176" s="1" t="n">
        <v>44162</v>
      </c>
      <c r="B1176" s="5" t="n">
        <v>-0.0001475527019554608</v>
      </c>
      <c r="C1176" s="5" t="n">
        <v>-0.0002078025658290285</v>
      </c>
      <c r="D1176" s="5" t="n">
        <v>0.002075619995800473</v>
      </c>
      <c r="E1176" s="5" t="n">
        <v>-0.0002452278131345087</v>
      </c>
      <c r="F1176" s="5" t="n">
        <v>0.004417272298674933</v>
      </c>
      <c r="G1176" s="5" t="n">
        <v>0.00219771170064803</v>
      </c>
      <c r="H1176" s="5" t="n">
        <v>0.004547581749609193</v>
      </c>
      <c r="I1176" s="5" t="n">
        <v>7.848144521445502e-05</v>
      </c>
      <c r="J1176" s="5" t="n">
        <v>0.001604685779812585</v>
      </c>
      <c r="K1176" s="5" t="n">
        <v>-0.003941039798365255</v>
      </c>
      <c r="L1176" s="5" t="n">
        <v>-0.001598135897502328</v>
      </c>
      <c r="M1176" s="5">
        <f>SUMPRODUCT(Exposures!$B$6:$K$6,B1176:K1176)</f>
        <v/>
      </c>
      <c r="N1176" s="5">
        <f>IF(AND($A1176&gt;=DATE(2020,2,1),$A1176&lt;=DATE(2020,5,31)),$M1176,"")</f>
        <v/>
      </c>
      <c r="O1176" s="5">
        <f>IF(AND($A1176&gt;=DATE(2022,1,1),$A1176&lt;=DATE(2022,10,31)),$M1176,"")</f>
        <v/>
      </c>
      <c r="P1176" s="5">
        <f>IF(AND($A1176&gt;=DATE(2018,10,1),$A1176&lt;=DATE(2018,12,31)),$M1176,"")</f>
        <v/>
      </c>
      <c r="Q1176" s="5">
        <f>SUMPRODUCT(Exposures!$B$8:$K$8,B1176:K1176)</f>
        <v/>
      </c>
      <c r="R1176" s="5">
        <f>SUMPRODUCT(Exposures!$B$9:$K$9,B1176:K1176)</f>
        <v/>
      </c>
      <c r="S1176" s="5">
        <f>SUMPRODUCT(Exposures!$B$10:$K$10,B1176:K1176)</f>
        <v/>
      </c>
    </row>
    <row r="1177">
      <c r="A1177" s="1" t="n">
        <v>44165</v>
      </c>
      <c r="B1177" s="5" t="n">
        <v>-0.003355540753546209</v>
      </c>
      <c r="C1177" s="5" t="n">
        <v>-0.001097660164007904</v>
      </c>
      <c r="D1177" s="5" t="n">
        <v>0.003518743739950099</v>
      </c>
      <c r="E1177" s="5" t="n">
        <v>-0.002136716790817862</v>
      </c>
      <c r="F1177" s="5" t="n">
        <v>0.004089479397992556</v>
      </c>
      <c r="G1177" s="5" t="n">
        <v>-0.01146433484921686</v>
      </c>
      <c r="H1177" s="5" t="n">
        <v>0.009146461445038999</v>
      </c>
      <c r="I1177" s="5" t="n">
        <v>0.002442269972493013</v>
      </c>
      <c r="J1177" s="5" t="n">
        <v>-0.004776745745586446</v>
      </c>
      <c r="K1177" s="5" t="n">
        <v>-0.008747384101187942</v>
      </c>
      <c r="L1177" s="5" t="n">
        <v>-0.006376099463716215</v>
      </c>
      <c r="M1177" s="5">
        <f>SUMPRODUCT(Exposures!$B$6:$K$6,B1177:K1177)</f>
        <v/>
      </c>
      <c r="N1177" s="5">
        <f>IF(AND($A1177&gt;=DATE(2020,2,1),$A1177&lt;=DATE(2020,5,31)),$M1177,"")</f>
        <v/>
      </c>
      <c r="O1177" s="5">
        <f>IF(AND($A1177&gt;=DATE(2022,1,1),$A1177&lt;=DATE(2022,10,31)),$M1177,"")</f>
        <v/>
      </c>
      <c r="P1177" s="5">
        <f>IF(AND($A1177&gt;=DATE(2018,10,1),$A1177&lt;=DATE(2018,12,31)),$M1177,"")</f>
        <v/>
      </c>
      <c r="Q1177" s="5">
        <f>SUMPRODUCT(Exposures!$B$8:$K$8,B1177:K1177)</f>
        <v/>
      </c>
      <c r="R1177" s="5">
        <f>SUMPRODUCT(Exposures!$B$9:$K$9,B1177:K1177)</f>
        <v/>
      </c>
      <c r="S1177" s="5">
        <f>SUMPRODUCT(Exposures!$B$10:$K$10,B1177:K1177)</f>
        <v/>
      </c>
    </row>
    <row r="1178">
      <c r="A1178" s="1" t="n">
        <v>44166</v>
      </c>
      <c r="B1178" s="5" t="n">
        <v>0.003716506112703981</v>
      </c>
      <c r="C1178" s="5" t="n">
        <v>0.0009827226325992504</v>
      </c>
      <c r="D1178" s="5" t="n">
        <v>0.004986630131621432</v>
      </c>
      <c r="E1178" s="5" t="n">
        <v>0.001874575654838845</v>
      </c>
      <c r="F1178" s="5" t="n">
        <v>0.005112009625577047</v>
      </c>
      <c r="G1178" s="5" t="n">
        <v>0.009402445688211027</v>
      </c>
      <c r="H1178" s="5" t="n">
        <v>-0.001838779828859568</v>
      </c>
      <c r="I1178" s="5" t="n">
        <v>-0.002254996409102076</v>
      </c>
      <c r="J1178" s="5" t="n">
        <v>-0.0017169984907383</v>
      </c>
      <c r="K1178" s="5" t="n">
        <v>-0.002352119387650745</v>
      </c>
      <c r="L1178" s="5" t="n">
        <v>0.003210562285643524</v>
      </c>
      <c r="M1178" s="5">
        <f>SUMPRODUCT(Exposures!$B$6:$K$6,B1178:K1178)</f>
        <v/>
      </c>
      <c r="N1178" s="5">
        <f>IF(AND($A1178&gt;=DATE(2020,2,1),$A1178&lt;=DATE(2020,5,31)),$M1178,"")</f>
        <v/>
      </c>
      <c r="O1178" s="5">
        <f>IF(AND($A1178&gt;=DATE(2022,1,1),$A1178&lt;=DATE(2022,10,31)),$M1178,"")</f>
        <v/>
      </c>
      <c r="P1178" s="5">
        <f>IF(AND($A1178&gt;=DATE(2018,10,1),$A1178&lt;=DATE(2018,12,31)),$M1178,"")</f>
        <v/>
      </c>
      <c r="Q1178" s="5">
        <f>SUMPRODUCT(Exposures!$B$8:$K$8,B1178:K1178)</f>
        <v/>
      </c>
      <c r="R1178" s="5">
        <f>SUMPRODUCT(Exposures!$B$9:$K$9,B1178:K1178)</f>
        <v/>
      </c>
      <c r="S1178" s="5">
        <f>SUMPRODUCT(Exposures!$B$10:$K$10,B1178:K1178)</f>
        <v/>
      </c>
    </row>
    <row r="1179">
      <c r="A1179" s="1" t="n">
        <v>44167</v>
      </c>
      <c r="B1179" s="5" t="n">
        <v>0.00376473722793081</v>
      </c>
      <c r="C1179" s="5" t="n">
        <v>0.002940557094554502</v>
      </c>
      <c r="D1179" s="5" t="n">
        <v>-0.0006359540654173944</v>
      </c>
      <c r="E1179" s="5" t="n">
        <v>-0.004098539591397028</v>
      </c>
      <c r="F1179" s="5" t="n">
        <v>0.002790812534983143</v>
      </c>
      <c r="G1179" s="5" t="n">
        <v>0.00344148783589141</v>
      </c>
      <c r="H1179" s="5" t="n">
        <v>-0.006578845796129154</v>
      </c>
      <c r="I1179" s="5" t="n">
        <v>0.003294675787896011</v>
      </c>
      <c r="J1179" s="5" t="n">
        <v>0.004601777383455853</v>
      </c>
      <c r="K1179" s="5" t="n">
        <v>0.0009569291173313114</v>
      </c>
      <c r="L1179" s="5" t="n">
        <v>0.002613516403321317</v>
      </c>
      <c r="M1179" s="5">
        <f>SUMPRODUCT(Exposures!$B$6:$K$6,B1179:K1179)</f>
        <v/>
      </c>
      <c r="N1179" s="5">
        <f>IF(AND($A1179&gt;=DATE(2020,2,1),$A1179&lt;=DATE(2020,5,31)),$M1179,"")</f>
        <v/>
      </c>
      <c r="O1179" s="5">
        <f>IF(AND($A1179&gt;=DATE(2022,1,1),$A1179&lt;=DATE(2022,10,31)),$M1179,"")</f>
        <v/>
      </c>
      <c r="P1179" s="5">
        <f>IF(AND($A1179&gt;=DATE(2018,10,1),$A1179&lt;=DATE(2018,12,31)),$M1179,"")</f>
        <v/>
      </c>
      <c r="Q1179" s="5">
        <f>SUMPRODUCT(Exposures!$B$8:$K$8,B1179:K1179)</f>
        <v/>
      </c>
      <c r="R1179" s="5">
        <f>SUMPRODUCT(Exposures!$B$9:$K$9,B1179:K1179)</f>
        <v/>
      </c>
      <c r="S1179" s="5">
        <f>SUMPRODUCT(Exposures!$B$10:$K$10,B1179:K1179)</f>
        <v/>
      </c>
    </row>
    <row r="1180">
      <c r="A1180" s="1" t="n">
        <v>44168</v>
      </c>
      <c r="B1180" s="5" t="n">
        <v>0.004525965290750022</v>
      </c>
      <c r="C1180" s="5" t="n">
        <v>0.005354664626131215</v>
      </c>
      <c r="D1180" s="5" t="n">
        <v>0.0003997484359379267</v>
      </c>
      <c r="E1180" s="5" t="n">
        <v>-0.005412051253417199</v>
      </c>
      <c r="F1180" s="5" t="n">
        <v>0.0002183534808368141</v>
      </c>
      <c r="G1180" s="5" t="n">
        <v>0.002111163916559753</v>
      </c>
      <c r="H1180" s="5" t="n">
        <v>-0.003711242309065082</v>
      </c>
      <c r="I1180" s="5" t="n">
        <v>-0.0002399967012993016</v>
      </c>
      <c r="J1180" s="5" t="n">
        <v>0.001584545455936234</v>
      </c>
      <c r="K1180" s="5" t="n">
        <v>0.002163792236871731</v>
      </c>
      <c r="L1180" s="5" t="n">
        <v>-0.004163291154411694</v>
      </c>
      <c r="M1180" s="5">
        <f>SUMPRODUCT(Exposures!$B$6:$K$6,B1180:K1180)</f>
        <v/>
      </c>
      <c r="N1180" s="5">
        <f>IF(AND($A1180&gt;=DATE(2020,2,1),$A1180&lt;=DATE(2020,5,31)),$M1180,"")</f>
        <v/>
      </c>
      <c r="O1180" s="5">
        <f>IF(AND($A1180&gt;=DATE(2022,1,1),$A1180&lt;=DATE(2022,10,31)),$M1180,"")</f>
        <v/>
      </c>
      <c r="P1180" s="5">
        <f>IF(AND($A1180&gt;=DATE(2018,10,1),$A1180&lt;=DATE(2018,12,31)),$M1180,"")</f>
        <v/>
      </c>
      <c r="Q1180" s="5">
        <f>SUMPRODUCT(Exposures!$B$8:$K$8,B1180:K1180)</f>
        <v/>
      </c>
      <c r="R1180" s="5">
        <f>SUMPRODUCT(Exposures!$B$9:$K$9,B1180:K1180)</f>
        <v/>
      </c>
      <c r="S1180" s="5">
        <f>SUMPRODUCT(Exposures!$B$10:$K$10,B1180:K1180)</f>
        <v/>
      </c>
    </row>
    <row r="1181">
      <c r="A1181" s="1" t="n">
        <v>44169</v>
      </c>
      <c r="B1181" s="5" t="n">
        <v>0.001755502052015588</v>
      </c>
      <c r="C1181" s="5" t="n">
        <v>-0.0001139646988565709</v>
      </c>
      <c r="D1181" s="5" t="n">
        <v>-0.0028358282243387</v>
      </c>
      <c r="E1181" s="5" t="n">
        <v>-0.003933858923139658</v>
      </c>
      <c r="F1181" s="5" t="n">
        <v>-0.01129694466589268</v>
      </c>
      <c r="G1181" s="5" t="n">
        <v>0.02081333115889786</v>
      </c>
      <c r="H1181" s="5" t="n">
        <v>-0.003570882631613347</v>
      </c>
      <c r="I1181" s="5" t="n">
        <v>0.001257031808611789</v>
      </c>
      <c r="J1181" s="5" t="n">
        <v>0.009917777643572056</v>
      </c>
      <c r="K1181" s="5" t="n">
        <v>0.009201199612765895</v>
      </c>
      <c r="L1181" s="5" t="n">
        <v>0.003486655417851917</v>
      </c>
      <c r="M1181" s="5">
        <f>SUMPRODUCT(Exposures!$B$6:$K$6,B1181:K1181)</f>
        <v/>
      </c>
      <c r="N1181" s="5">
        <f>IF(AND($A1181&gt;=DATE(2020,2,1),$A1181&lt;=DATE(2020,5,31)),$M1181,"")</f>
        <v/>
      </c>
      <c r="O1181" s="5">
        <f>IF(AND($A1181&gt;=DATE(2022,1,1),$A1181&lt;=DATE(2022,10,31)),$M1181,"")</f>
        <v/>
      </c>
      <c r="P1181" s="5">
        <f>IF(AND($A1181&gt;=DATE(2018,10,1),$A1181&lt;=DATE(2018,12,31)),$M1181,"")</f>
        <v/>
      </c>
      <c r="Q1181" s="5">
        <f>SUMPRODUCT(Exposures!$B$8:$K$8,B1181:K1181)</f>
        <v/>
      </c>
      <c r="R1181" s="5">
        <f>SUMPRODUCT(Exposures!$B$9:$K$9,B1181:K1181)</f>
        <v/>
      </c>
      <c r="S1181" s="5">
        <f>SUMPRODUCT(Exposures!$B$10:$K$10,B1181:K1181)</f>
        <v/>
      </c>
    </row>
    <row r="1182">
      <c r="A1182" s="1" t="n">
        <v>44172</v>
      </c>
      <c r="B1182" s="5" t="n">
        <v>0.001850391224372808</v>
      </c>
      <c r="C1182" s="5" t="n">
        <v>-7.055146757411622e-05</v>
      </c>
      <c r="D1182" s="5" t="n">
        <v>-0.002500238175239377</v>
      </c>
      <c r="E1182" s="5" t="n">
        <v>-0.0007202249819306823</v>
      </c>
      <c r="F1182" s="5" t="n">
        <v>0.01081968497685305</v>
      </c>
      <c r="G1182" s="5" t="n">
        <v>-0.00251940074976587</v>
      </c>
      <c r="H1182" s="5" t="n">
        <v>0.006511486338571187</v>
      </c>
      <c r="I1182" s="5" t="n">
        <v>0.001255691697915958</v>
      </c>
      <c r="J1182" s="5" t="n">
        <v>-0.0008041546152725296</v>
      </c>
      <c r="K1182" s="5" t="n">
        <v>-0.01389664506420743</v>
      </c>
      <c r="L1182" s="5" t="n">
        <v>-0.004188804344917206</v>
      </c>
      <c r="M1182" s="5">
        <f>SUMPRODUCT(Exposures!$B$6:$K$6,B1182:K1182)</f>
        <v/>
      </c>
      <c r="N1182" s="5">
        <f>IF(AND($A1182&gt;=DATE(2020,2,1),$A1182&lt;=DATE(2020,5,31)),$M1182,"")</f>
        <v/>
      </c>
      <c r="O1182" s="5">
        <f>IF(AND($A1182&gt;=DATE(2022,1,1),$A1182&lt;=DATE(2022,10,31)),$M1182,"")</f>
        <v/>
      </c>
      <c r="P1182" s="5">
        <f>IF(AND($A1182&gt;=DATE(2018,10,1),$A1182&lt;=DATE(2018,12,31)),$M1182,"")</f>
        <v/>
      </c>
      <c r="Q1182" s="5">
        <f>SUMPRODUCT(Exposures!$B$8:$K$8,B1182:K1182)</f>
        <v/>
      </c>
      <c r="R1182" s="5">
        <f>SUMPRODUCT(Exposures!$B$9:$K$9,B1182:K1182)</f>
        <v/>
      </c>
      <c r="S1182" s="5">
        <f>SUMPRODUCT(Exposures!$B$10:$K$10,B1182:K1182)</f>
        <v/>
      </c>
    </row>
    <row r="1183">
      <c r="A1183" s="1" t="n">
        <v>44173</v>
      </c>
      <c r="B1183" s="5" t="n">
        <v>-0.002771895720108504</v>
      </c>
      <c r="C1183" s="5" t="n">
        <v>-0.00285810170597065</v>
      </c>
      <c r="D1183" s="5" t="n">
        <v>0.004264698556707879</v>
      </c>
      <c r="E1183" s="5" t="n">
        <v>-8.72546658906499e-05</v>
      </c>
      <c r="F1183" s="5" t="n">
        <v>-0.001726257191033015</v>
      </c>
      <c r="G1183" s="5" t="n">
        <v>0.003228845959042929</v>
      </c>
      <c r="H1183" s="5" t="n">
        <v>0.000358679201582259</v>
      </c>
      <c r="I1183" s="5" t="n">
        <v>0.0003526693463062315</v>
      </c>
      <c r="J1183" s="5" t="n">
        <v>0.002316810845085759</v>
      </c>
      <c r="K1183" s="5" t="n">
        <v>0.001977358044835969</v>
      </c>
      <c r="L1183" s="5" t="n">
        <v>0.003149740949155638</v>
      </c>
      <c r="M1183" s="5">
        <f>SUMPRODUCT(Exposures!$B$6:$K$6,B1183:K1183)</f>
        <v/>
      </c>
      <c r="N1183" s="5">
        <f>IF(AND($A1183&gt;=DATE(2020,2,1),$A1183&lt;=DATE(2020,5,31)),$M1183,"")</f>
        <v/>
      </c>
      <c r="O1183" s="5">
        <f>IF(AND($A1183&gt;=DATE(2022,1,1),$A1183&lt;=DATE(2022,10,31)),$M1183,"")</f>
        <v/>
      </c>
      <c r="P1183" s="5">
        <f>IF(AND($A1183&gt;=DATE(2018,10,1),$A1183&lt;=DATE(2018,12,31)),$M1183,"")</f>
        <v/>
      </c>
      <c r="Q1183" s="5">
        <f>SUMPRODUCT(Exposures!$B$8:$K$8,B1183:K1183)</f>
        <v/>
      </c>
      <c r="R1183" s="5">
        <f>SUMPRODUCT(Exposures!$B$9:$K$9,B1183:K1183)</f>
        <v/>
      </c>
      <c r="S1183" s="5">
        <f>SUMPRODUCT(Exposures!$B$10:$K$10,B1183:K1183)</f>
        <v/>
      </c>
    </row>
    <row r="1184">
      <c r="A1184" s="1" t="n">
        <v>44174</v>
      </c>
      <c r="B1184" s="5" t="n">
        <v>-0.0009265820138558926</v>
      </c>
      <c r="C1184" s="5" t="n">
        <v>0.00358464223071718</v>
      </c>
      <c r="D1184" s="5" t="n">
        <v>-0.003735389167209702</v>
      </c>
      <c r="E1184" s="5" t="n">
        <v>0.002606841510061547</v>
      </c>
      <c r="F1184" s="5" t="n">
        <v>-0.001480736687775047</v>
      </c>
      <c r="G1184" s="5" t="n">
        <v>-0.007082183071378533</v>
      </c>
      <c r="H1184" s="5" t="n">
        <v>-0.004963079508391116</v>
      </c>
      <c r="I1184" s="5" t="n">
        <v>-0.001841632958692694</v>
      </c>
      <c r="J1184" s="5" t="n">
        <v>-0.00336494849392133</v>
      </c>
      <c r="K1184" s="5" t="n">
        <v>0.0003135383385458561</v>
      </c>
      <c r="L1184" s="5" t="n">
        <v>9.823655452819544e-05</v>
      </c>
      <c r="M1184" s="5">
        <f>SUMPRODUCT(Exposures!$B$6:$K$6,B1184:K1184)</f>
        <v/>
      </c>
      <c r="N1184" s="5">
        <f>IF(AND($A1184&gt;=DATE(2020,2,1),$A1184&lt;=DATE(2020,5,31)),$M1184,"")</f>
        <v/>
      </c>
      <c r="O1184" s="5">
        <f>IF(AND($A1184&gt;=DATE(2022,1,1),$A1184&lt;=DATE(2022,10,31)),$M1184,"")</f>
        <v/>
      </c>
      <c r="P1184" s="5">
        <f>IF(AND($A1184&gt;=DATE(2018,10,1),$A1184&lt;=DATE(2018,12,31)),$M1184,"")</f>
        <v/>
      </c>
      <c r="Q1184" s="5">
        <f>SUMPRODUCT(Exposures!$B$8:$K$8,B1184:K1184)</f>
        <v/>
      </c>
      <c r="R1184" s="5">
        <f>SUMPRODUCT(Exposures!$B$9:$K$9,B1184:K1184)</f>
        <v/>
      </c>
      <c r="S1184" s="5">
        <f>SUMPRODUCT(Exposures!$B$10:$K$10,B1184:K1184)</f>
        <v/>
      </c>
    </row>
    <row r="1185">
      <c r="A1185" s="1" t="n">
        <v>44175</v>
      </c>
      <c r="B1185" s="5" t="n">
        <v>0.0005396683635945465</v>
      </c>
      <c r="C1185" s="5" t="n">
        <v>-0.0009818109270582681</v>
      </c>
      <c r="D1185" s="5" t="n">
        <v>-0.0005604115053169278</v>
      </c>
      <c r="E1185" s="5" t="n">
        <v>-0.003339671090426511</v>
      </c>
      <c r="F1185" s="5" t="n">
        <v>-0.006471095860063867</v>
      </c>
      <c r="G1185" s="5" t="n">
        <v>0.003640322974209534</v>
      </c>
      <c r="H1185" s="5" t="n">
        <v>0.001352921989833172</v>
      </c>
      <c r="I1185" s="5" t="n">
        <v>-0.000225133370822447</v>
      </c>
      <c r="J1185" s="5" t="n">
        <v>0.009014678669706922</v>
      </c>
      <c r="K1185" s="5" t="n">
        <v>0.009450806827821682</v>
      </c>
      <c r="L1185" s="5" t="n">
        <v>0.002294327566693705</v>
      </c>
      <c r="M1185" s="5">
        <f>SUMPRODUCT(Exposures!$B$6:$K$6,B1185:K1185)</f>
        <v/>
      </c>
      <c r="N1185" s="5">
        <f>IF(AND($A1185&gt;=DATE(2020,2,1),$A1185&lt;=DATE(2020,5,31)),$M1185,"")</f>
        <v/>
      </c>
      <c r="O1185" s="5">
        <f>IF(AND($A1185&gt;=DATE(2022,1,1),$A1185&lt;=DATE(2022,10,31)),$M1185,"")</f>
        <v/>
      </c>
      <c r="P1185" s="5">
        <f>IF(AND($A1185&gt;=DATE(2018,10,1),$A1185&lt;=DATE(2018,12,31)),$M1185,"")</f>
        <v/>
      </c>
      <c r="Q1185" s="5">
        <f>SUMPRODUCT(Exposures!$B$8:$K$8,B1185:K1185)</f>
        <v/>
      </c>
      <c r="R1185" s="5">
        <f>SUMPRODUCT(Exposures!$B$9:$K$9,B1185:K1185)</f>
        <v/>
      </c>
      <c r="S1185" s="5">
        <f>SUMPRODUCT(Exposures!$B$10:$K$10,B1185:K1185)</f>
        <v/>
      </c>
    </row>
    <row r="1186">
      <c r="A1186" s="1" t="n">
        <v>44176</v>
      </c>
      <c r="B1186" s="5" t="n">
        <v>-0.003741078152993833</v>
      </c>
      <c r="C1186" s="5" t="n">
        <v>0.0001213744939860751</v>
      </c>
      <c r="D1186" s="5" t="n">
        <v>-0.0007491434798958528</v>
      </c>
      <c r="E1186" s="5" t="n">
        <v>-0.0004101677014749237</v>
      </c>
      <c r="F1186" s="5" t="n">
        <v>-0.004058983778843546</v>
      </c>
      <c r="G1186" s="5" t="n">
        <v>-0.003674746156511184</v>
      </c>
      <c r="H1186" s="5" t="n">
        <v>0.003170394315469228</v>
      </c>
      <c r="I1186" s="5" t="n">
        <v>0.00100628250856998</v>
      </c>
      <c r="J1186" s="5" t="n">
        <v>-0.0003063526613301308</v>
      </c>
      <c r="K1186" s="5" t="n">
        <v>0.0009647931785590323</v>
      </c>
      <c r="L1186" s="5" t="n">
        <v>-0.00274011479665762</v>
      </c>
      <c r="M1186" s="5">
        <f>SUMPRODUCT(Exposures!$B$6:$K$6,B1186:K1186)</f>
        <v/>
      </c>
      <c r="N1186" s="5">
        <f>IF(AND($A1186&gt;=DATE(2020,2,1),$A1186&lt;=DATE(2020,5,31)),$M1186,"")</f>
        <v/>
      </c>
      <c r="O1186" s="5">
        <f>IF(AND($A1186&gt;=DATE(2022,1,1),$A1186&lt;=DATE(2022,10,31)),$M1186,"")</f>
        <v/>
      </c>
      <c r="P1186" s="5">
        <f>IF(AND($A1186&gt;=DATE(2018,10,1),$A1186&lt;=DATE(2018,12,31)),$M1186,"")</f>
        <v/>
      </c>
      <c r="Q1186" s="5">
        <f>SUMPRODUCT(Exposures!$B$8:$K$8,B1186:K1186)</f>
        <v/>
      </c>
      <c r="R1186" s="5">
        <f>SUMPRODUCT(Exposures!$B$9:$K$9,B1186:K1186)</f>
        <v/>
      </c>
      <c r="S1186" s="5">
        <f>SUMPRODUCT(Exposures!$B$10:$K$10,B1186:K1186)</f>
        <v/>
      </c>
    </row>
    <row r="1187">
      <c r="A1187" s="1" t="n">
        <v>44179</v>
      </c>
      <c r="B1187" s="5" t="n">
        <v>0.0008444562549488124</v>
      </c>
      <c r="C1187" s="5" t="n">
        <v>-0.001261217130225928</v>
      </c>
      <c r="D1187" s="5" t="n">
        <v>0.000283996955164837</v>
      </c>
      <c r="E1187" s="5" t="n">
        <v>1.425035633976737e-05</v>
      </c>
      <c r="F1187" s="5" t="n">
        <v>0.001739985592629553</v>
      </c>
      <c r="G1187" s="5" t="n">
        <v>-0.0007335499932288462</v>
      </c>
      <c r="H1187" s="5" t="n">
        <v>0.008537161194039841</v>
      </c>
      <c r="I1187" s="5" t="n">
        <v>0.005358607120829676</v>
      </c>
      <c r="J1187" s="5" t="n">
        <v>0.0001721801757980101</v>
      </c>
      <c r="K1187" s="5" t="n">
        <v>-0.01138605168339033</v>
      </c>
      <c r="L1187" s="5" t="n">
        <v>-0.00343173408247727</v>
      </c>
      <c r="M1187" s="5">
        <f>SUMPRODUCT(Exposures!$B$6:$K$6,B1187:K1187)</f>
        <v/>
      </c>
      <c r="N1187" s="5">
        <f>IF(AND($A1187&gt;=DATE(2020,2,1),$A1187&lt;=DATE(2020,5,31)),$M1187,"")</f>
        <v/>
      </c>
      <c r="O1187" s="5">
        <f>IF(AND($A1187&gt;=DATE(2022,1,1),$A1187&lt;=DATE(2022,10,31)),$M1187,"")</f>
        <v/>
      </c>
      <c r="P1187" s="5">
        <f>IF(AND($A1187&gt;=DATE(2018,10,1),$A1187&lt;=DATE(2018,12,31)),$M1187,"")</f>
        <v/>
      </c>
      <c r="Q1187" s="5">
        <f>SUMPRODUCT(Exposures!$B$8:$K$8,B1187:K1187)</f>
        <v/>
      </c>
      <c r="R1187" s="5">
        <f>SUMPRODUCT(Exposures!$B$9:$K$9,B1187:K1187)</f>
        <v/>
      </c>
      <c r="S1187" s="5">
        <f>SUMPRODUCT(Exposures!$B$10:$K$10,B1187:K1187)</f>
        <v/>
      </c>
    </row>
    <row r="1188">
      <c r="A1188" s="1" t="n">
        <v>44180</v>
      </c>
      <c r="B1188" s="5" t="n">
        <v>0.004450825476075426</v>
      </c>
      <c r="C1188" s="5" t="n">
        <v>-0.0005237452971851503</v>
      </c>
      <c r="D1188" s="5" t="n">
        <v>0.003155068303623637</v>
      </c>
      <c r="E1188" s="5" t="n">
        <v>0.0007979745189098254</v>
      </c>
      <c r="F1188" s="5" t="n">
        <v>-0.006465518502613381</v>
      </c>
      <c r="G1188" s="5" t="n">
        <v>0.01983092480943243</v>
      </c>
      <c r="H1188" s="5" t="n">
        <v>0.003528868554131074</v>
      </c>
      <c r="I1188" s="5" t="n">
        <v>-0.003966708351093387</v>
      </c>
      <c r="J1188" s="5" t="n">
        <v>0.006456364146851905</v>
      </c>
      <c r="K1188" s="5" t="n">
        <v>0.006579893276614198</v>
      </c>
      <c r="L1188" s="5" t="n">
        <v>0.00200762719001013</v>
      </c>
      <c r="M1188" s="5">
        <f>SUMPRODUCT(Exposures!$B$6:$K$6,B1188:K1188)</f>
        <v/>
      </c>
      <c r="N1188" s="5">
        <f>IF(AND($A1188&gt;=DATE(2020,2,1),$A1188&lt;=DATE(2020,5,31)),$M1188,"")</f>
        <v/>
      </c>
      <c r="O1188" s="5">
        <f>IF(AND($A1188&gt;=DATE(2022,1,1),$A1188&lt;=DATE(2022,10,31)),$M1188,"")</f>
        <v/>
      </c>
      <c r="P1188" s="5">
        <f>IF(AND($A1188&gt;=DATE(2018,10,1),$A1188&lt;=DATE(2018,12,31)),$M1188,"")</f>
        <v/>
      </c>
      <c r="Q1188" s="5">
        <f>SUMPRODUCT(Exposures!$B$8:$K$8,B1188:K1188)</f>
        <v/>
      </c>
      <c r="R1188" s="5">
        <f>SUMPRODUCT(Exposures!$B$9:$K$9,B1188:K1188)</f>
        <v/>
      </c>
      <c r="S1188" s="5">
        <f>SUMPRODUCT(Exposures!$B$10:$K$10,B1188:K1188)</f>
        <v/>
      </c>
    </row>
    <row r="1189">
      <c r="A1189" s="1" t="n">
        <v>44181</v>
      </c>
      <c r="B1189" s="5" t="n">
        <v>-0.005281381436185465</v>
      </c>
      <c r="C1189" s="5" t="n">
        <v>0.001071027338226906</v>
      </c>
      <c r="D1189" s="5" t="n">
        <v>-0.00180677681465233</v>
      </c>
      <c r="E1189" s="5" t="n">
        <v>0.001879523887099659</v>
      </c>
      <c r="F1189" s="5" t="n">
        <v>0.004836497608415865</v>
      </c>
      <c r="G1189" s="5" t="n">
        <v>-0.003012373530461992</v>
      </c>
      <c r="H1189" s="5" t="n">
        <v>0.0005473585062386067</v>
      </c>
      <c r="I1189" s="5" t="n">
        <v>-0.0003693657233498871</v>
      </c>
      <c r="J1189" s="5" t="n">
        <v>-1.605030549386814e-06</v>
      </c>
      <c r="K1189" s="5" t="n">
        <v>-0.002140459515592309</v>
      </c>
      <c r="L1189" s="5" t="n">
        <v>-0.0005547466869879679</v>
      </c>
      <c r="M1189" s="5">
        <f>SUMPRODUCT(Exposures!$B$6:$K$6,B1189:K1189)</f>
        <v/>
      </c>
      <c r="N1189" s="5">
        <f>IF(AND($A1189&gt;=DATE(2020,2,1),$A1189&lt;=DATE(2020,5,31)),$M1189,"")</f>
        <v/>
      </c>
      <c r="O1189" s="5">
        <f>IF(AND($A1189&gt;=DATE(2022,1,1),$A1189&lt;=DATE(2022,10,31)),$M1189,"")</f>
        <v/>
      </c>
      <c r="P1189" s="5">
        <f>IF(AND($A1189&gt;=DATE(2018,10,1),$A1189&lt;=DATE(2018,12,31)),$M1189,"")</f>
        <v/>
      </c>
      <c r="Q1189" s="5">
        <f>SUMPRODUCT(Exposures!$B$8:$K$8,B1189:K1189)</f>
        <v/>
      </c>
      <c r="R1189" s="5">
        <f>SUMPRODUCT(Exposures!$B$9:$K$9,B1189:K1189)</f>
        <v/>
      </c>
      <c r="S1189" s="5">
        <f>SUMPRODUCT(Exposures!$B$10:$K$10,B1189:K1189)</f>
        <v/>
      </c>
    </row>
    <row r="1190">
      <c r="A1190" s="1" t="n">
        <v>44182</v>
      </c>
      <c r="B1190" s="5" t="n">
        <v>-0.00153915915594814</v>
      </c>
      <c r="C1190" s="5" t="n">
        <v>-0.0001182579627283223</v>
      </c>
      <c r="D1190" s="5" t="n">
        <v>-0.002346176586269917</v>
      </c>
      <c r="E1190" s="5" t="n">
        <v>0.0003697128523751071</v>
      </c>
      <c r="F1190" s="5" t="n">
        <v>-0.005341514823621434</v>
      </c>
      <c r="G1190" s="5" t="n">
        <v>0.009637178832770696</v>
      </c>
      <c r="H1190" s="5" t="n">
        <v>0.005171773639081488</v>
      </c>
      <c r="I1190" s="5" t="n">
        <v>0.001821757253918365</v>
      </c>
      <c r="J1190" s="5" t="n">
        <v>0.002202626378084319</v>
      </c>
      <c r="K1190" s="5" t="n">
        <v>0.0002132893568652463</v>
      </c>
      <c r="L1190" s="5" t="n">
        <v>2.66479837655283e-05</v>
      </c>
      <c r="M1190" s="5">
        <f>SUMPRODUCT(Exposures!$B$6:$K$6,B1190:K1190)</f>
        <v/>
      </c>
      <c r="N1190" s="5">
        <f>IF(AND($A1190&gt;=DATE(2020,2,1),$A1190&lt;=DATE(2020,5,31)),$M1190,"")</f>
        <v/>
      </c>
      <c r="O1190" s="5">
        <f>IF(AND($A1190&gt;=DATE(2022,1,1),$A1190&lt;=DATE(2022,10,31)),$M1190,"")</f>
        <v/>
      </c>
      <c r="P1190" s="5">
        <f>IF(AND($A1190&gt;=DATE(2018,10,1),$A1190&lt;=DATE(2018,12,31)),$M1190,"")</f>
        <v/>
      </c>
      <c r="Q1190" s="5">
        <f>SUMPRODUCT(Exposures!$B$8:$K$8,B1190:K1190)</f>
        <v/>
      </c>
      <c r="R1190" s="5">
        <f>SUMPRODUCT(Exposures!$B$9:$K$9,B1190:K1190)</f>
        <v/>
      </c>
      <c r="S1190" s="5">
        <f>SUMPRODUCT(Exposures!$B$10:$K$10,B1190:K1190)</f>
        <v/>
      </c>
    </row>
    <row r="1191">
      <c r="A1191" s="1" t="n">
        <v>44183</v>
      </c>
      <c r="B1191" s="5" t="n">
        <v>-0.001534590147391239</v>
      </c>
      <c r="C1191" s="5" t="n">
        <v>-0.0001126664626962681</v>
      </c>
      <c r="D1191" s="5" t="n">
        <v>0.000755928003799785</v>
      </c>
      <c r="E1191" s="5" t="n">
        <v>-0.001578117235948953</v>
      </c>
      <c r="F1191" s="5" t="n">
        <v>-0.0003066198758441654</v>
      </c>
      <c r="G1191" s="5" t="n">
        <v>-0.002758571132691899</v>
      </c>
      <c r="H1191" s="5" t="n">
        <v>0.002076159493064</v>
      </c>
      <c r="I1191" s="5" t="n">
        <v>-0.0003692028145459675</v>
      </c>
      <c r="J1191" s="5" t="n">
        <v>-0.002484525686617355</v>
      </c>
      <c r="K1191" s="5" t="n">
        <v>-0.002650359477588704</v>
      </c>
      <c r="L1191" s="5" t="n">
        <v>-0.003492133101182779</v>
      </c>
      <c r="M1191" s="5">
        <f>SUMPRODUCT(Exposures!$B$6:$K$6,B1191:K1191)</f>
        <v/>
      </c>
      <c r="N1191" s="5">
        <f>IF(AND($A1191&gt;=DATE(2020,2,1),$A1191&lt;=DATE(2020,5,31)),$M1191,"")</f>
        <v/>
      </c>
      <c r="O1191" s="5">
        <f>IF(AND($A1191&gt;=DATE(2022,1,1),$A1191&lt;=DATE(2022,10,31)),$M1191,"")</f>
        <v/>
      </c>
      <c r="P1191" s="5">
        <f>IF(AND($A1191&gt;=DATE(2018,10,1),$A1191&lt;=DATE(2018,12,31)),$M1191,"")</f>
        <v/>
      </c>
      <c r="Q1191" s="5">
        <f>SUMPRODUCT(Exposures!$B$8:$K$8,B1191:K1191)</f>
        <v/>
      </c>
      <c r="R1191" s="5">
        <f>SUMPRODUCT(Exposures!$B$9:$K$9,B1191:K1191)</f>
        <v/>
      </c>
      <c r="S1191" s="5">
        <f>SUMPRODUCT(Exposures!$B$10:$K$10,B1191:K1191)</f>
        <v/>
      </c>
    </row>
    <row r="1192">
      <c r="A1192" s="1" t="n">
        <v>44186</v>
      </c>
      <c r="B1192" s="5" t="n">
        <v>0.001509003395034954</v>
      </c>
      <c r="C1192" s="5" t="n">
        <v>-0.002509965007814207</v>
      </c>
      <c r="D1192" s="5" t="n">
        <v>-0.002177184580805931</v>
      </c>
      <c r="E1192" s="5" t="n">
        <v>0.001662490521350975</v>
      </c>
      <c r="F1192" s="5" t="n">
        <v>0.003359794046339566</v>
      </c>
      <c r="G1192" s="5" t="n">
        <v>-0.004361408298639478</v>
      </c>
      <c r="H1192" s="5" t="n">
        <v>0.003034943224743669</v>
      </c>
      <c r="I1192" s="5" t="n">
        <v>-0.00167865597266472</v>
      </c>
      <c r="J1192" s="5" t="n">
        <v>-0.001349047618904131</v>
      </c>
      <c r="K1192" s="5" t="n">
        <v>-0.001673756543956616</v>
      </c>
      <c r="L1192" s="5" t="n">
        <v>0.003585050272586153</v>
      </c>
      <c r="M1192" s="5">
        <f>SUMPRODUCT(Exposures!$B$6:$K$6,B1192:K1192)</f>
        <v/>
      </c>
      <c r="N1192" s="5">
        <f>IF(AND($A1192&gt;=DATE(2020,2,1),$A1192&lt;=DATE(2020,5,31)),$M1192,"")</f>
        <v/>
      </c>
      <c r="O1192" s="5">
        <f>IF(AND($A1192&gt;=DATE(2022,1,1),$A1192&lt;=DATE(2022,10,31)),$M1192,"")</f>
        <v/>
      </c>
      <c r="P1192" s="5">
        <f>IF(AND($A1192&gt;=DATE(2018,10,1),$A1192&lt;=DATE(2018,12,31)),$M1192,"")</f>
        <v/>
      </c>
      <c r="Q1192" s="5">
        <f>SUMPRODUCT(Exposures!$B$8:$K$8,B1192:K1192)</f>
        <v/>
      </c>
      <c r="R1192" s="5">
        <f>SUMPRODUCT(Exposures!$B$9:$K$9,B1192:K1192)</f>
        <v/>
      </c>
      <c r="S1192" s="5">
        <f>SUMPRODUCT(Exposures!$B$10:$K$10,B1192:K1192)</f>
        <v/>
      </c>
    </row>
    <row r="1193">
      <c r="A1193" s="1" t="n">
        <v>44187</v>
      </c>
      <c r="B1193" s="5" t="n">
        <v>0.003703863762099571</v>
      </c>
      <c r="C1193" s="5" t="n">
        <v>-0.0006456719449241774</v>
      </c>
      <c r="D1193" s="5" t="n">
        <v>0.0008336876002496375</v>
      </c>
      <c r="E1193" s="5" t="n">
        <v>-0.0004217740520267402</v>
      </c>
      <c r="F1193" s="5" t="n">
        <v>0.0007920283289836179</v>
      </c>
      <c r="G1193" s="5" t="n">
        <v>-0.001551785410984115</v>
      </c>
      <c r="H1193" s="5" t="n">
        <v>0.006791313574301075</v>
      </c>
      <c r="I1193" s="5" t="n">
        <v>-0.0008544589630888565</v>
      </c>
      <c r="J1193" s="5" t="n">
        <v>-0.001827183762735396</v>
      </c>
      <c r="K1193" s="5" t="n">
        <v>-0.004995728232923703</v>
      </c>
      <c r="L1193" s="5" t="n">
        <v>-0.003494596306271506</v>
      </c>
      <c r="M1193" s="5">
        <f>SUMPRODUCT(Exposures!$B$6:$K$6,B1193:K1193)</f>
        <v/>
      </c>
      <c r="N1193" s="5">
        <f>IF(AND($A1193&gt;=DATE(2020,2,1),$A1193&lt;=DATE(2020,5,31)),$M1193,"")</f>
        <v/>
      </c>
      <c r="O1193" s="5">
        <f>IF(AND($A1193&gt;=DATE(2022,1,1),$A1193&lt;=DATE(2022,10,31)),$M1193,"")</f>
        <v/>
      </c>
      <c r="P1193" s="5">
        <f>IF(AND($A1193&gt;=DATE(2018,10,1),$A1193&lt;=DATE(2018,12,31)),$M1193,"")</f>
        <v/>
      </c>
      <c r="Q1193" s="5">
        <f>SUMPRODUCT(Exposures!$B$8:$K$8,B1193:K1193)</f>
        <v/>
      </c>
      <c r="R1193" s="5">
        <f>SUMPRODUCT(Exposures!$B$9:$K$9,B1193:K1193)</f>
        <v/>
      </c>
      <c r="S1193" s="5">
        <f>SUMPRODUCT(Exposures!$B$10:$K$10,B1193:K1193)</f>
        <v/>
      </c>
    </row>
    <row r="1194">
      <c r="A1194" s="1" t="n">
        <v>44188</v>
      </c>
      <c r="B1194" s="5" t="n">
        <v>0.0002469251379837892</v>
      </c>
      <c r="C1194" s="5" t="n">
        <v>0.0007694904485177376</v>
      </c>
      <c r="D1194" s="5" t="n">
        <v>-0.003131948709957701</v>
      </c>
      <c r="E1194" s="5" t="n">
        <v>0.003122053118533009</v>
      </c>
      <c r="F1194" s="5" t="n">
        <v>0.001175143644350336</v>
      </c>
      <c r="G1194" s="5" t="n">
        <v>0.008352895184011442</v>
      </c>
      <c r="H1194" s="5" t="n">
        <v>-0.005246007593045743</v>
      </c>
      <c r="I1194" s="5" t="n">
        <v>0.001639797163682067</v>
      </c>
      <c r="J1194" s="5" t="n">
        <v>0.005114540801118845</v>
      </c>
      <c r="K1194" s="5" t="n">
        <v>-0.002865561314192141</v>
      </c>
      <c r="L1194" s="5" t="n">
        <v>0.002301550477044684</v>
      </c>
      <c r="M1194" s="5">
        <f>SUMPRODUCT(Exposures!$B$6:$K$6,B1194:K1194)</f>
        <v/>
      </c>
      <c r="N1194" s="5">
        <f>IF(AND($A1194&gt;=DATE(2020,2,1),$A1194&lt;=DATE(2020,5,31)),$M1194,"")</f>
        <v/>
      </c>
      <c r="O1194" s="5">
        <f>IF(AND($A1194&gt;=DATE(2022,1,1),$A1194&lt;=DATE(2022,10,31)),$M1194,"")</f>
        <v/>
      </c>
      <c r="P1194" s="5">
        <f>IF(AND($A1194&gt;=DATE(2018,10,1),$A1194&lt;=DATE(2018,12,31)),$M1194,"")</f>
        <v/>
      </c>
      <c r="Q1194" s="5">
        <f>SUMPRODUCT(Exposures!$B$8:$K$8,B1194:K1194)</f>
        <v/>
      </c>
      <c r="R1194" s="5">
        <f>SUMPRODUCT(Exposures!$B$9:$K$9,B1194:K1194)</f>
        <v/>
      </c>
      <c r="S1194" s="5">
        <f>SUMPRODUCT(Exposures!$B$10:$K$10,B1194:K1194)</f>
        <v/>
      </c>
    </row>
    <row r="1195">
      <c r="A1195" s="1" t="n">
        <v>44189</v>
      </c>
      <c r="B1195" s="5" t="n">
        <v>0.00705292242802929</v>
      </c>
      <c r="C1195" s="5" t="n">
        <v>0.00137583980120115</v>
      </c>
      <c r="D1195" s="5" t="n">
        <v>0.002556477761070051</v>
      </c>
      <c r="E1195" s="5" t="n">
        <v>0.002401405190802962</v>
      </c>
      <c r="F1195" s="5" t="n">
        <v>0.005914892323648564</v>
      </c>
      <c r="G1195" s="5" t="n">
        <v>0.0003976481198681901</v>
      </c>
      <c r="H1195" s="5" t="n">
        <v>-0.003562039665803548</v>
      </c>
      <c r="I1195" s="5" t="n">
        <v>0.003256351561493677</v>
      </c>
      <c r="J1195" s="5" t="n">
        <v>-0.01458963829287708</v>
      </c>
      <c r="K1195" s="5" t="n">
        <v>-0.01865088468486584</v>
      </c>
      <c r="L1195" s="5" t="n">
        <v>-0.006356133408395355</v>
      </c>
      <c r="M1195" s="5">
        <f>SUMPRODUCT(Exposures!$B$6:$K$6,B1195:K1195)</f>
        <v/>
      </c>
      <c r="N1195" s="5">
        <f>IF(AND($A1195&gt;=DATE(2020,2,1),$A1195&lt;=DATE(2020,5,31)),$M1195,"")</f>
        <v/>
      </c>
      <c r="O1195" s="5">
        <f>IF(AND($A1195&gt;=DATE(2022,1,1),$A1195&lt;=DATE(2022,10,31)),$M1195,"")</f>
        <v/>
      </c>
      <c r="P1195" s="5">
        <f>IF(AND($A1195&gt;=DATE(2018,10,1),$A1195&lt;=DATE(2018,12,31)),$M1195,"")</f>
        <v/>
      </c>
      <c r="Q1195" s="5">
        <f>SUMPRODUCT(Exposures!$B$8:$K$8,B1195:K1195)</f>
        <v/>
      </c>
      <c r="R1195" s="5">
        <f>SUMPRODUCT(Exposures!$B$9:$K$9,B1195:K1195)</f>
        <v/>
      </c>
      <c r="S1195" s="5">
        <f>SUMPRODUCT(Exposures!$B$10:$K$10,B1195:K1195)</f>
        <v/>
      </c>
    </row>
    <row r="1196">
      <c r="A1196" s="1" t="n">
        <v>44193</v>
      </c>
      <c r="B1196" s="5" t="n">
        <v>0.0003804559235661483</v>
      </c>
      <c r="C1196" s="5" t="n">
        <v>0.000689408774684954</v>
      </c>
      <c r="D1196" s="5" t="n">
        <v>-0.0007137024658036325</v>
      </c>
      <c r="E1196" s="5" t="n">
        <v>0.00112676969190001</v>
      </c>
      <c r="F1196" s="5" t="n">
        <v>0.007291330020563831</v>
      </c>
      <c r="G1196" s="5" t="n">
        <v>0.0006014712473294511</v>
      </c>
      <c r="H1196" s="5" t="n">
        <v>-0.001799173275846131</v>
      </c>
      <c r="I1196" s="5" t="n">
        <v>0.002758538344318184</v>
      </c>
      <c r="J1196" s="5" t="n">
        <v>-0.006202138405280922</v>
      </c>
      <c r="K1196" s="5" t="n">
        <v>-0.008475099179086643</v>
      </c>
      <c r="L1196" s="5" t="n">
        <v>0.0007180780338558193</v>
      </c>
      <c r="M1196" s="5">
        <f>SUMPRODUCT(Exposures!$B$6:$K$6,B1196:K1196)</f>
        <v/>
      </c>
      <c r="N1196" s="5">
        <f>IF(AND($A1196&gt;=DATE(2020,2,1),$A1196&lt;=DATE(2020,5,31)),$M1196,"")</f>
        <v/>
      </c>
      <c r="O1196" s="5">
        <f>IF(AND($A1196&gt;=DATE(2022,1,1),$A1196&lt;=DATE(2022,10,31)),$M1196,"")</f>
        <v/>
      </c>
      <c r="P1196" s="5">
        <f>IF(AND($A1196&gt;=DATE(2018,10,1),$A1196&lt;=DATE(2018,12,31)),$M1196,"")</f>
        <v/>
      </c>
      <c r="Q1196" s="5">
        <f>SUMPRODUCT(Exposures!$B$8:$K$8,B1196:K1196)</f>
        <v/>
      </c>
      <c r="R1196" s="5">
        <f>SUMPRODUCT(Exposures!$B$9:$K$9,B1196:K1196)</f>
        <v/>
      </c>
      <c r="S1196" s="5">
        <f>SUMPRODUCT(Exposures!$B$10:$K$10,B1196:K1196)</f>
        <v/>
      </c>
    </row>
    <row r="1197">
      <c r="A1197" s="1" t="n">
        <v>44194</v>
      </c>
      <c r="B1197" s="5" t="n">
        <v>-0.004780899413935296</v>
      </c>
      <c r="C1197" s="5" t="n">
        <v>-0.001197086423513524</v>
      </c>
      <c r="D1197" s="5" t="n">
        <v>0.001474498630850775</v>
      </c>
      <c r="E1197" s="5" t="n">
        <v>-0.001223749395702875</v>
      </c>
      <c r="F1197" s="5" t="n">
        <v>-0.0009066109736218042</v>
      </c>
      <c r="G1197" s="5" t="n">
        <v>-0.007566550086041276</v>
      </c>
      <c r="H1197" s="5" t="n">
        <v>-0.001072042818544711</v>
      </c>
      <c r="I1197" s="5" t="n">
        <v>-0.001980857252064797</v>
      </c>
      <c r="J1197" s="5" t="n">
        <v>0.002876255648205745</v>
      </c>
      <c r="K1197" s="5" t="n">
        <v>0.01119518923699187</v>
      </c>
      <c r="L1197" s="5" t="n">
        <v>0.00293207594061919</v>
      </c>
      <c r="M1197" s="5">
        <f>SUMPRODUCT(Exposures!$B$6:$K$6,B1197:K1197)</f>
        <v/>
      </c>
      <c r="N1197" s="5">
        <f>IF(AND($A1197&gt;=DATE(2020,2,1),$A1197&lt;=DATE(2020,5,31)),$M1197,"")</f>
        <v/>
      </c>
      <c r="O1197" s="5">
        <f>IF(AND($A1197&gt;=DATE(2022,1,1),$A1197&lt;=DATE(2022,10,31)),$M1197,"")</f>
        <v/>
      </c>
      <c r="P1197" s="5">
        <f>IF(AND($A1197&gt;=DATE(2018,10,1),$A1197&lt;=DATE(2018,12,31)),$M1197,"")</f>
        <v/>
      </c>
      <c r="Q1197" s="5">
        <f>SUMPRODUCT(Exposures!$B$8:$K$8,B1197:K1197)</f>
        <v/>
      </c>
      <c r="R1197" s="5">
        <f>SUMPRODUCT(Exposures!$B$9:$K$9,B1197:K1197)</f>
        <v/>
      </c>
      <c r="S1197" s="5">
        <f>SUMPRODUCT(Exposures!$B$10:$K$10,B1197:K1197)</f>
        <v/>
      </c>
    </row>
    <row r="1198">
      <c r="A1198" s="1" t="n">
        <v>44195</v>
      </c>
      <c r="B1198" s="5" t="n">
        <v>0.002809371952468568</v>
      </c>
      <c r="C1198" s="5" t="n">
        <v>0.000314796357082783</v>
      </c>
      <c r="D1198" s="5" t="n">
        <v>-0.002469143631025015</v>
      </c>
      <c r="E1198" s="5" t="n">
        <v>-0.001037863897696937</v>
      </c>
      <c r="F1198" s="5" t="n">
        <v>0.000671418748305546</v>
      </c>
      <c r="G1198" s="5" t="n">
        <v>0.006426586450323248</v>
      </c>
      <c r="H1198" s="5" t="n">
        <v>0.0004134024243543178</v>
      </c>
      <c r="I1198" s="5" t="n">
        <v>-0.001651459607360054</v>
      </c>
      <c r="J1198" s="5" t="n">
        <v>0.0007686226610824729</v>
      </c>
      <c r="K1198" s="5" t="n">
        <v>-0.002107340512624767</v>
      </c>
      <c r="L1198" s="5" t="n">
        <v>-0.0003517681756727698</v>
      </c>
      <c r="M1198" s="5">
        <f>SUMPRODUCT(Exposures!$B$6:$K$6,B1198:K1198)</f>
        <v/>
      </c>
      <c r="N1198" s="5">
        <f>IF(AND($A1198&gt;=DATE(2020,2,1),$A1198&lt;=DATE(2020,5,31)),$M1198,"")</f>
        <v/>
      </c>
      <c r="O1198" s="5">
        <f>IF(AND($A1198&gt;=DATE(2022,1,1),$A1198&lt;=DATE(2022,10,31)),$M1198,"")</f>
        <v/>
      </c>
      <c r="P1198" s="5">
        <f>IF(AND($A1198&gt;=DATE(2018,10,1),$A1198&lt;=DATE(2018,12,31)),$M1198,"")</f>
        <v/>
      </c>
      <c r="Q1198" s="5">
        <f>SUMPRODUCT(Exposures!$B$8:$K$8,B1198:K1198)</f>
        <v/>
      </c>
      <c r="R1198" s="5">
        <f>SUMPRODUCT(Exposures!$B$9:$K$9,B1198:K1198)</f>
        <v/>
      </c>
      <c r="S1198" s="5">
        <f>SUMPRODUCT(Exposures!$B$10:$K$10,B1198:K1198)</f>
        <v/>
      </c>
    </row>
    <row r="1199">
      <c r="A1199" s="1" t="n">
        <v>44196</v>
      </c>
      <c r="B1199" s="5" t="n">
        <v>0.001688500669386164</v>
      </c>
      <c r="C1199" s="5" t="n">
        <v>0.000265824100103678</v>
      </c>
      <c r="D1199" s="5" t="n">
        <v>-0.00109051519950192</v>
      </c>
      <c r="E1199" s="5" t="n">
        <v>0.001034472250007242</v>
      </c>
      <c r="F1199" s="5" t="n">
        <v>-0.002859603028028319</v>
      </c>
      <c r="G1199" s="5" t="n">
        <v>0.004102785167142147</v>
      </c>
      <c r="H1199" s="5" t="n">
        <v>-0.004287904042453984</v>
      </c>
      <c r="I1199" s="5" t="n">
        <v>0.0007271913564168963</v>
      </c>
      <c r="J1199" s="5" t="n">
        <v>-0.007978436941939258</v>
      </c>
      <c r="K1199" s="5" t="n">
        <v>-6.142599152728729e-06</v>
      </c>
      <c r="L1199" s="5" t="n">
        <v>-0.0001450705171598795</v>
      </c>
      <c r="M1199" s="5">
        <f>SUMPRODUCT(Exposures!$B$6:$K$6,B1199:K1199)</f>
        <v/>
      </c>
      <c r="N1199" s="5">
        <f>IF(AND($A1199&gt;=DATE(2020,2,1),$A1199&lt;=DATE(2020,5,31)),$M1199,"")</f>
        <v/>
      </c>
      <c r="O1199" s="5">
        <f>IF(AND($A1199&gt;=DATE(2022,1,1),$A1199&lt;=DATE(2022,10,31)),$M1199,"")</f>
        <v/>
      </c>
      <c r="P1199" s="5">
        <f>IF(AND($A1199&gt;=DATE(2018,10,1),$A1199&lt;=DATE(2018,12,31)),$M1199,"")</f>
        <v/>
      </c>
      <c r="Q1199" s="5">
        <f>SUMPRODUCT(Exposures!$B$8:$K$8,B1199:K1199)</f>
        <v/>
      </c>
      <c r="R1199" s="5">
        <f>SUMPRODUCT(Exposures!$B$9:$K$9,B1199:K1199)</f>
        <v/>
      </c>
      <c r="S1199" s="5">
        <f>SUMPRODUCT(Exposures!$B$10:$K$10,B1199:K1199)</f>
        <v/>
      </c>
    </row>
    <row r="1200">
      <c r="A1200" s="1" t="n">
        <v>44200</v>
      </c>
      <c r="B1200" s="5" t="n">
        <v>-0.004328528009079216</v>
      </c>
      <c r="C1200" s="5" t="n">
        <v>-0.001071318654625506</v>
      </c>
      <c r="D1200" s="5" t="n">
        <v>-0.003122019364304395</v>
      </c>
      <c r="E1200" s="5" t="n">
        <v>-0.002728730967166943</v>
      </c>
      <c r="F1200" s="5" t="n">
        <v>-0.0106309982562033</v>
      </c>
      <c r="G1200" s="5" t="n">
        <v>-0.0158984239167377</v>
      </c>
      <c r="H1200" s="5" t="n">
        <v>0.00556977039179786</v>
      </c>
      <c r="I1200" s="5" t="n">
        <v>-0.000436250401673972</v>
      </c>
      <c r="J1200" s="5" t="n">
        <v>0.0008436987608253775</v>
      </c>
      <c r="K1200" s="5" t="n">
        <v>0.01072341320871936</v>
      </c>
      <c r="L1200" s="5" t="n">
        <v>0.006655651412958842</v>
      </c>
      <c r="M1200" s="5">
        <f>SUMPRODUCT(Exposures!$B$6:$K$6,B1200:K1200)</f>
        <v/>
      </c>
      <c r="N1200" s="5">
        <f>IF(AND($A1200&gt;=DATE(2020,2,1),$A1200&lt;=DATE(2020,5,31)),$M1200,"")</f>
        <v/>
      </c>
      <c r="O1200" s="5">
        <f>IF(AND($A1200&gt;=DATE(2022,1,1),$A1200&lt;=DATE(2022,10,31)),$M1200,"")</f>
        <v/>
      </c>
      <c r="P1200" s="5">
        <f>IF(AND($A1200&gt;=DATE(2018,10,1),$A1200&lt;=DATE(2018,12,31)),$M1200,"")</f>
        <v/>
      </c>
      <c r="Q1200" s="5">
        <f>SUMPRODUCT(Exposures!$B$8:$K$8,B1200:K1200)</f>
        <v/>
      </c>
      <c r="R1200" s="5">
        <f>SUMPRODUCT(Exposures!$B$9:$K$9,B1200:K1200)</f>
        <v/>
      </c>
      <c r="S1200" s="5">
        <f>SUMPRODUCT(Exposures!$B$10:$K$10,B1200:K1200)</f>
        <v/>
      </c>
    </row>
    <row r="1201">
      <c r="A1201" s="1" t="n">
        <v>44201</v>
      </c>
      <c r="B1201" s="5" t="n">
        <v>0.003632504692994251</v>
      </c>
      <c r="C1201" s="5" t="n">
        <v>-0.002409787066327288</v>
      </c>
      <c r="D1201" s="5" t="n">
        <v>-0.004439625839107098</v>
      </c>
      <c r="E1201" s="5" t="n">
        <v>-0.002585409737496781</v>
      </c>
      <c r="F1201" s="5" t="n">
        <v>0.004660742142023635</v>
      </c>
      <c r="G1201" s="5" t="n">
        <v>0.01266586721593903</v>
      </c>
      <c r="H1201" s="5" t="n">
        <v>0.002955848630886655</v>
      </c>
      <c r="I1201" s="5" t="n">
        <v>-0.00290166591527273</v>
      </c>
      <c r="J1201" s="5" t="n">
        <v>0.008029559456473063</v>
      </c>
      <c r="K1201" s="5" t="n">
        <v>0.001619718147091952</v>
      </c>
      <c r="L1201" s="5" t="n">
        <v>0.003892964342533735</v>
      </c>
      <c r="M1201" s="5">
        <f>SUMPRODUCT(Exposures!$B$6:$K$6,B1201:K1201)</f>
        <v/>
      </c>
      <c r="N1201" s="5">
        <f>IF(AND($A1201&gt;=DATE(2020,2,1),$A1201&lt;=DATE(2020,5,31)),$M1201,"")</f>
        <v/>
      </c>
      <c r="O1201" s="5">
        <f>IF(AND($A1201&gt;=DATE(2022,1,1),$A1201&lt;=DATE(2022,10,31)),$M1201,"")</f>
        <v/>
      </c>
      <c r="P1201" s="5">
        <f>IF(AND($A1201&gt;=DATE(2018,10,1),$A1201&lt;=DATE(2018,12,31)),$M1201,"")</f>
        <v/>
      </c>
      <c r="Q1201" s="5">
        <f>SUMPRODUCT(Exposures!$B$8:$K$8,B1201:K1201)</f>
        <v/>
      </c>
      <c r="R1201" s="5">
        <f>SUMPRODUCT(Exposures!$B$9:$K$9,B1201:K1201)</f>
        <v/>
      </c>
      <c r="S1201" s="5">
        <f>SUMPRODUCT(Exposures!$B$10:$K$10,B1201:K1201)</f>
        <v/>
      </c>
    </row>
    <row r="1202">
      <c r="A1202" s="1" t="n">
        <v>44202</v>
      </c>
      <c r="B1202" s="5" t="n">
        <v>0.01100075238761475</v>
      </c>
      <c r="C1202" s="5" t="n">
        <v>0.005125049496141304</v>
      </c>
      <c r="D1202" s="5" t="n">
        <v>-0.004187906755022546</v>
      </c>
      <c r="E1202" s="5" t="n">
        <v>0.003761206062199658</v>
      </c>
      <c r="F1202" s="5" t="n">
        <v>-0.005026268868691193</v>
      </c>
      <c r="G1202" s="5" t="n">
        <v>0.02700738729826445</v>
      </c>
      <c r="H1202" s="5" t="n">
        <v>-0.009034643389656113</v>
      </c>
      <c r="I1202" s="5" t="n">
        <v>-0.001059532065078746</v>
      </c>
      <c r="J1202" s="5" t="n">
        <v>-0.003831840801321781</v>
      </c>
      <c r="K1202" s="5" t="n">
        <v>-0.01059158216934503</v>
      </c>
      <c r="L1202" s="5" t="n">
        <v>0.003723805709329728</v>
      </c>
      <c r="M1202" s="5">
        <f>SUMPRODUCT(Exposures!$B$6:$K$6,B1202:K1202)</f>
        <v/>
      </c>
      <c r="N1202" s="5">
        <f>IF(AND($A1202&gt;=DATE(2020,2,1),$A1202&lt;=DATE(2020,5,31)),$M1202,"")</f>
        <v/>
      </c>
      <c r="O1202" s="5">
        <f>IF(AND($A1202&gt;=DATE(2022,1,1),$A1202&lt;=DATE(2022,10,31)),$M1202,"")</f>
        <v/>
      </c>
      <c r="P1202" s="5">
        <f>IF(AND($A1202&gt;=DATE(2018,10,1),$A1202&lt;=DATE(2018,12,31)),$M1202,"")</f>
        <v/>
      </c>
      <c r="Q1202" s="5">
        <f>SUMPRODUCT(Exposures!$B$8:$K$8,B1202:K1202)</f>
        <v/>
      </c>
      <c r="R1202" s="5">
        <f>SUMPRODUCT(Exposures!$B$9:$K$9,B1202:K1202)</f>
        <v/>
      </c>
      <c r="S1202" s="5">
        <f>SUMPRODUCT(Exposures!$B$10:$K$10,B1202:K1202)</f>
        <v/>
      </c>
    </row>
    <row r="1203">
      <c r="A1203" s="1" t="n">
        <v>44203</v>
      </c>
      <c r="B1203" s="5" t="n">
        <v>0.003839277190587976</v>
      </c>
      <c r="C1203" s="5" t="n">
        <v>-0.002169535637825367</v>
      </c>
      <c r="D1203" s="5" t="n">
        <v>0.001938433306106064</v>
      </c>
      <c r="E1203" s="5" t="n">
        <v>-0.002171739922722396</v>
      </c>
      <c r="F1203" s="5" t="n">
        <v>-0.00127401291907932</v>
      </c>
      <c r="G1203" s="5" t="n">
        <v>0.01234317782038654</v>
      </c>
      <c r="H1203" s="5" t="n">
        <v>0.01283307582162147</v>
      </c>
      <c r="I1203" s="5" t="n">
        <v>0.0009458397123081324</v>
      </c>
      <c r="J1203" s="5" t="n">
        <v>0.001573845331003351</v>
      </c>
      <c r="K1203" s="5" t="n">
        <v>0.003893936541125608</v>
      </c>
      <c r="L1203" s="5" t="n">
        <v>0.003653501080346176</v>
      </c>
      <c r="M1203" s="5">
        <f>SUMPRODUCT(Exposures!$B$6:$K$6,B1203:K1203)</f>
        <v/>
      </c>
      <c r="N1203" s="5">
        <f>IF(AND($A1203&gt;=DATE(2020,2,1),$A1203&lt;=DATE(2020,5,31)),$M1203,"")</f>
        <v/>
      </c>
      <c r="O1203" s="5">
        <f>IF(AND($A1203&gt;=DATE(2022,1,1),$A1203&lt;=DATE(2022,10,31)),$M1203,"")</f>
        <v/>
      </c>
      <c r="P1203" s="5">
        <f>IF(AND($A1203&gt;=DATE(2018,10,1),$A1203&lt;=DATE(2018,12,31)),$M1203,"")</f>
        <v/>
      </c>
      <c r="Q1203" s="5">
        <f>SUMPRODUCT(Exposures!$B$8:$K$8,B1203:K1203)</f>
        <v/>
      </c>
      <c r="R1203" s="5">
        <f>SUMPRODUCT(Exposures!$B$9:$K$9,B1203:K1203)</f>
        <v/>
      </c>
      <c r="S1203" s="5">
        <f>SUMPRODUCT(Exposures!$B$10:$K$10,B1203:K1203)</f>
        <v/>
      </c>
    </row>
    <row r="1204">
      <c r="A1204" s="1" t="n">
        <v>44204</v>
      </c>
      <c r="B1204" s="5" t="n">
        <v>-0.002759162071238537</v>
      </c>
      <c r="C1204" s="5" t="n">
        <v>-0.004007637638209865</v>
      </c>
      <c r="D1204" s="5" t="n">
        <v>-0.0007812608961096738</v>
      </c>
      <c r="E1204" s="5" t="n">
        <v>-0.0006731904165845226</v>
      </c>
      <c r="F1204" s="5" t="n">
        <v>0.001009147119739705</v>
      </c>
      <c r="G1204" s="5" t="n">
        <v>-0.0003053920239774634</v>
      </c>
      <c r="H1204" s="5" t="n">
        <v>0.002214846127046601</v>
      </c>
      <c r="I1204" s="5" t="n">
        <v>0.0003658467685979874</v>
      </c>
      <c r="J1204" s="5" t="n">
        <v>-0.001065780636000669</v>
      </c>
      <c r="K1204" s="5" t="n">
        <v>0.003329320174024368</v>
      </c>
      <c r="L1204" s="5" t="n">
        <v>0.00230417246861251</v>
      </c>
      <c r="M1204" s="5">
        <f>SUMPRODUCT(Exposures!$B$6:$K$6,B1204:K1204)</f>
        <v/>
      </c>
      <c r="N1204" s="5">
        <f>IF(AND($A1204&gt;=DATE(2020,2,1),$A1204&lt;=DATE(2020,5,31)),$M1204,"")</f>
        <v/>
      </c>
      <c r="O1204" s="5">
        <f>IF(AND($A1204&gt;=DATE(2022,1,1),$A1204&lt;=DATE(2022,10,31)),$M1204,"")</f>
        <v/>
      </c>
      <c r="P1204" s="5">
        <f>IF(AND($A1204&gt;=DATE(2018,10,1),$A1204&lt;=DATE(2018,12,31)),$M1204,"")</f>
        <v/>
      </c>
      <c r="Q1204" s="5">
        <f>SUMPRODUCT(Exposures!$B$8:$K$8,B1204:K1204)</f>
        <v/>
      </c>
      <c r="R1204" s="5">
        <f>SUMPRODUCT(Exposures!$B$9:$K$9,B1204:K1204)</f>
        <v/>
      </c>
      <c r="S1204" s="5">
        <f>SUMPRODUCT(Exposures!$B$10:$K$10,B1204:K1204)</f>
        <v/>
      </c>
    </row>
    <row r="1205">
      <c r="A1205" s="1" t="n">
        <v>44207</v>
      </c>
      <c r="B1205" s="5" t="n">
        <v>0.0005314508473376939</v>
      </c>
      <c r="C1205" s="5" t="n">
        <v>0.0004650013628170277</v>
      </c>
      <c r="D1205" s="5" t="n">
        <v>0.00113140361573335</v>
      </c>
      <c r="E1205" s="5" t="n">
        <v>-0.0001306578305101202</v>
      </c>
      <c r="F1205" s="5" t="n">
        <v>-0.0007295115254060631</v>
      </c>
      <c r="G1205" s="5" t="n">
        <v>-0.001918071476532134</v>
      </c>
      <c r="H1205" s="5" t="n">
        <v>-0.00250256573820748</v>
      </c>
      <c r="I1205" s="5" t="n">
        <v>0.003794442722694857</v>
      </c>
      <c r="J1205" s="5" t="n">
        <v>-0.003010847377873668</v>
      </c>
      <c r="K1205" s="5" t="n">
        <v>-0.00386327314578977</v>
      </c>
      <c r="L1205" s="5" t="n">
        <v>-0.00124218074132542</v>
      </c>
      <c r="M1205" s="5">
        <f>SUMPRODUCT(Exposures!$B$6:$K$6,B1205:K1205)</f>
        <v/>
      </c>
      <c r="N1205" s="5">
        <f>IF(AND($A1205&gt;=DATE(2020,2,1),$A1205&lt;=DATE(2020,5,31)),$M1205,"")</f>
        <v/>
      </c>
      <c r="O1205" s="5">
        <f>IF(AND($A1205&gt;=DATE(2022,1,1),$A1205&lt;=DATE(2022,10,31)),$M1205,"")</f>
        <v/>
      </c>
      <c r="P1205" s="5">
        <f>IF(AND($A1205&gt;=DATE(2018,10,1),$A1205&lt;=DATE(2018,12,31)),$M1205,"")</f>
        <v/>
      </c>
      <c r="Q1205" s="5">
        <f>SUMPRODUCT(Exposures!$B$8:$K$8,B1205:K1205)</f>
        <v/>
      </c>
      <c r="R1205" s="5">
        <f>SUMPRODUCT(Exposures!$B$9:$K$9,B1205:K1205)</f>
        <v/>
      </c>
      <c r="S1205" s="5">
        <f>SUMPRODUCT(Exposures!$B$10:$K$10,B1205:K1205)</f>
        <v/>
      </c>
    </row>
    <row r="1206">
      <c r="A1206" s="1" t="n">
        <v>44208</v>
      </c>
      <c r="B1206" s="5" t="n">
        <v>0.001619623901879442</v>
      </c>
      <c r="C1206" s="5" t="n">
        <v>-0.000648759461900079</v>
      </c>
      <c r="D1206" s="5" t="n">
        <v>-3.511099728056333e-05</v>
      </c>
      <c r="E1206" s="5" t="n">
        <v>-0.0002503598680808101</v>
      </c>
      <c r="F1206" s="5" t="n">
        <v>-0.0001608417452689521</v>
      </c>
      <c r="G1206" s="5" t="n">
        <v>0.01067854781037578</v>
      </c>
      <c r="H1206" s="5" t="n">
        <v>-0.00141130811930829</v>
      </c>
      <c r="I1206" s="5" t="n">
        <v>-0.0005551087916377005</v>
      </c>
      <c r="J1206" s="5" t="n">
        <v>0.006978629995732286</v>
      </c>
      <c r="K1206" s="5" t="n">
        <v>-0.002051034694575426</v>
      </c>
      <c r="L1206" s="5" t="n">
        <v>0.002691101446965579</v>
      </c>
      <c r="M1206" s="5">
        <f>SUMPRODUCT(Exposures!$B$6:$K$6,B1206:K1206)</f>
        <v/>
      </c>
      <c r="N1206" s="5">
        <f>IF(AND($A1206&gt;=DATE(2020,2,1),$A1206&lt;=DATE(2020,5,31)),$M1206,"")</f>
        <v/>
      </c>
      <c r="O1206" s="5">
        <f>IF(AND($A1206&gt;=DATE(2022,1,1),$A1206&lt;=DATE(2022,10,31)),$M1206,"")</f>
        <v/>
      </c>
      <c r="P1206" s="5">
        <f>IF(AND($A1206&gt;=DATE(2018,10,1),$A1206&lt;=DATE(2018,12,31)),$M1206,"")</f>
        <v/>
      </c>
      <c r="Q1206" s="5">
        <f>SUMPRODUCT(Exposures!$B$8:$K$8,B1206:K1206)</f>
        <v/>
      </c>
      <c r="R1206" s="5">
        <f>SUMPRODUCT(Exposures!$B$9:$K$9,B1206:K1206)</f>
        <v/>
      </c>
      <c r="S1206" s="5">
        <f>SUMPRODUCT(Exposures!$B$10:$K$10,B1206:K1206)</f>
        <v/>
      </c>
    </row>
    <row r="1207">
      <c r="A1207" s="1" t="n">
        <v>44209</v>
      </c>
      <c r="B1207" s="5" t="n">
        <v>-0.006410727089331257</v>
      </c>
      <c r="C1207" s="5" t="n">
        <v>0.001166225745558581</v>
      </c>
      <c r="D1207" s="5" t="n">
        <v>-0.001630140870409172</v>
      </c>
      <c r="E1207" s="5" t="n">
        <v>0.0007510875210572493</v>
      </c>
      <c r="F1207" s="5" t="n">
        <v>-0.004234165441432129</v>
      </c>
      <c r="G1207" s="5" t="n">
        <v>-0.002420572301480176</v>
      </c>
      <c r="H1207" s="5" t="n">
        <v>0.0009139775165814528</v>
      </c>
      <c r="I1207" s="5" t="n">
        <v>-0.0002537492080075098</v>
      </c>
      <c r="J1207" s="5" t="n">
        <v>0.004417998805308368</v>
      </c>
      <c r="K1207" s="5" t="n">
        <v>0.009225297053475559</v>
      </c>
      <c r="L1207" s="5" t="n">
        <v>0.00287134107077734</v>
      </c>
      <c r="M1207" s="5">
        <f>SUMPRODUCT(Exposures!$B$6:$K$6,B1207:K1207)</f>
        <v/>
      </c>
      <c r="N1207" s="5">
        <f>IF(AND($A1207&gt;=DATE(2020,2,1),$A1207&lt;=DATE(2020,5,31)),$M1207,"")</f>
        <v/>
      </c>
      <c r="O1207" s="5">
        <f>IF(AND($A1207&gt;=DATE(2022,1,1),$A1207&lt;=DATE(2022,10,31)),$M1207,"")</f>
        <v/>
      </c>
      <c r="P1207" s="5">
        <f>IF(AND($A1207&gt;=DATE(2018,10,1),$A1207&lt;=DATE(2018,12,31)),$M1207,"")</f>
        <v/>
      </c>
      <c r="Q1207" s="5">
        <f>SUMPRODUCT(Exposures!$B$8:$K$8,B1207:K1207)</f>
        <v/>
      </c>
      <c r="R1207" s="5">
        <f>SUMPRODUCT(Exposures!$B$9:$K$9,B1207:K1207)</f>
        <v/>
      </c>
      <c r="S1207" s="5">
        <f>SUMPRODUCT(Exposures!$B$10:$K$10,B1207:K1207)</f>
        <v/>
      </c>
    </row>
    <row r="1208">
      <c r="A1208" s="1" t="n">
        <v>44210</v>
      </c>
      <c r="B1208" s="5" t="n">
        <v>-0.0008704537633534865</v>
      </c>
      <c r="C1208" s="5" t="n">
        <v>-0.000669857971707209</v>
      </c>
      <c r="D1208" s="5" t="n">
        <v>0.0006497147901798121</v>
      </c>
      <c r="E1208" s="5" t="n">
        <v>-0.0007828406692193254</v>
      </c>
      <c r="F1208" s="5" t="n">
        <v>-0.001458240591692371</v>
      </c>
      <c r="G1208" s="5" t="n">
        <v>0.0100972132938238</v>
      </c>
      <c r="H1208" s="5" t="n">
        <v>-0.001540191172150745</v>
      </c>
      <c r="I1208" s="5" t="n">
        <v>0.001686324581670679</v>
      </c>
      <c r="J1208" s="5" t="n">
        <v>0.01202347539736523</v>
      </c>
      <c r="K1208" s="5" t="n">
        <v>0.001181163119380856</v>
      </c>
      <c r="L1208" s="5" t="n">
        <v>0.002551529278075914</v>
      </c>
      <c r="M1208" s="5">
        <f>SUMPRODUCT(Exposures!$B$6:$K$6,B1208:K1208)</f>
        <v/>
      </c>
      <c r="N1208" s="5">
        <f>IF(AND($A1208&gt;=DATE(2020,2,1),$A1208&lt;=DATE(2020,5,31)),$M1208,"")</f>
        <v/>
      </c>
      <c r="O1208" s="5">
        <f>IF(AND($A1208&gt;=DATE(2022,1,1),$A1208&lt;=DATE(2022,10,31)),$M1208,"")</f>
        <v/>
      </c>
      <c r="P1208" s="5">
        <f>IF(AND($A1208&gt;=DATE(2018,10,1),$A1208&lt;=DATE(2018,12,31)),$M1208,"")</f>
        <v/>
      </c>
      <c r="Q1208" s="5">
        <f>SUMPRODUCT(Exposures!$B$8:$K$8,B1208:K1208)</f>
        <v/>
      </c>
      <c r="R1208" s="5">
        <f>SUMPRODUCT(Exposures!$B$9:$K$9,B1208:K1208)</f>
        <v/>
      </c>
      <c r="S1208" s="5">
        <f>SUMPRODUCT(Exposures!$B$10:$K$10,B1208:K1208)</f>
        <v/>
      </c>
    </row>
    <row r="1209">
      <c r="A1209" s="1" t="n">
        <v>44211</v>
      </c>
      <c r="B1209" s="5" t="n">
        <v>-0.003030649924337712</v>
      </c>
      <c r="C1209" s="5" t="n">
        <v>-0.001210281723219617</v>
      </c>
      <c r="D1209" s="5" t="n">
        <v>-0.001339982100665734</v>
      </c>
      <c r="E1209" s="5" t="n">
        <v>0.0005642517002410878</v>
      </c>
      <c r="F1209" s="5" t="n">
        <v>-0.004299640830991287</v>
      </c>
      <c r="G1209" s="5" t="n">
        <v>-0.00498266070424637</v>
      </c>
      <c r="H1209" s="5" t="n">
        <v>-0.0006162572586047752</v>
      </c>
      <c r="I1209" s="5" t="n">
        <v>-0.001260128980673208</v>
      </c>
      <c r="J1209" s="5" t="n">
        <v>-0.005712191455880692</v>
      </c>
      <c r="K1209" s="5" t="n">
        <v>0.001065702808324338</v>
      </c>
      <c r="L1209" s="5" t="n">
        <v>-0.003103432951804908</v>
      </c>
      <c r="M1209" s="5">
        <f>SUMPRODUCT(Exposures!$B$6:$K$6,B1209:K1209)</f>
        <v/>
      </c>
      <c r="N1209" s="5">
        <f>IF(AND($A1209&gt;=DATE(2020,2,1),$A1209&lt;=DATE(2020,5,31)),$M1209,"")</f>
        <v/>
      </c>
      <c r="O1209" s="5">
        <f>IF(AND($A1209&gt;=DATE(2022,1,1),$A1209&lt;=DATE(2022,10,31)),$M1209,"")</f>
        <v/>
      </c>
      <c r="P1209" s="5">
        <f>IF(AND($A1209&gt;=DATE(2018,10,1),$A1209&lt;=DATE(2018,12,31)),$M1209,"")</f>
        <v/>
      </c>
      <c r="Q1209" s="5">
        <f>SUMPRODUCT(Exposures!$B$8:$K$8,B1209:K1209)</f>
        <v/>
      </c>
      <c r="R1209" s="5">
        <f>SUMPRODUCT(Exposures!$B$9:$K$9,B1209:K1209)</f>
        <v/>
      </c>
      <c r="S1209" s="5">
        <f>SUMPRODUCT(Exposures!$B$10:$K$10,B1209:K1209)</f>
        <v/>
      </c>
    </row>
    <row r="1210">
      <c r="A1210" s="1" t="n">
        <v>44215</v>
      </c>
      <c r="B1210" s="5" t="n">
        <v>0.001826348421880539</v>
      </c>
      <c r="C1210" s="5" t="n">
        <v>-0.0008780683825782258</v>
      </c>
      <c r="D1210" s="5" t="n">
        <v>-0.0003639925273220324</v>
      </c>
      <c r="E1210" s="5" t="n">
        <v>-0.002157784299914472</v>
      </c>
      <c r="F1210" s="5" t="n">
        <v>0.000243738373091695</v>
      </c>
      <c r="G1210" s="5" t="n">
        <v>0.009087735784916407</v>
      </c>
      <c r="H1210" s="5" t="n">
        <v>0.001943851451009692</v>
      </c>
      <c r="I1210" s="5" t="n">
        <v>0.0004126706386649718</v>
      </c>
      <c r="J1210" s="5" t="n">
        <v>-0.0005201997592610488</v>
      </c>
      <c r="K1210" s="5" t="n">
        <v>-0.00129181060241036</v>
      </c>
      <c r="L1210" s="5" t="n">
        <v>0.0002829378804391382</v>
      </c>
      <c r="M1210" s="5">
        <f>SUMPRODUCT(Exposures!$B$6:$K$6,B1210:K1210)</f>
        <v/>
      </c>
      <c r="N1210" s="5">
        <f>IF(AND($A1210&gt;=DATE(2020,2,1),$A1210&lt;=DATE(2020,5,31)),$M1210,"")</f>
        <v/>
      </c>
      <c r="O1210" s="5">
        <f>IF(AND($A1210&gt;=DATE(2022,1,1),$A1210&lt;=DATE(2022,10,31)),$M1210,"")</f>
        <v/>
      </c>
      <c r="P1210" s="5">
        <f>IF(AND($A1210&gt;=DATE(2018,10,1),$A1210&lt;=DATE(2018,12,31)),$M1210,"")</f>
        <v/>
      </c>
      <c r="Q1210" s="5">
        <f>SUMPRODUCT(Exposures!$B$8:$K$8,B1210:K1210)</f>
        <v/>
      </c>
      <c r="R1210" s="5">
        <f>SUMPRODUCT(Exposures!$B$9:$K$9,B1210:K1210)</f>
        <v/>
      </c>
      <c r="S1210" s="5">
        <f>SUMPRODUCT(Exposures!$B$10:$K$10,B1210:K1210)</f>
        <v/>
      </c>
    </row>
    <row r="1211">
      <c r="A1211" s="1" t="n">
        <v>44216</v>
      </c>
      <c r="B1211" s="5" t="n">
        <v>-0.002813895462898869</v>
      </c>
      <c r="C1211" s="5" t="n">
        <v>-0.002634717439664369</v>
      </c>
      <c r="D1211" s="5" t="n">
        <v>0.0008148282553357647</v>
      </c>
      <c r="E1211" s="5" t="n">
        <v>-0.002181093738177313</v>
      </c>
      <c r="F1211" s="5" t="n">
        <v>0.007031531979419862</v>
      </c>
      <c r="G1211" s="5" t="n">
        <v>0.004017540133343048</v>
      </c>
      <c r="H1211" s="5" t="n">
        <v>0.001609973871349441</v>
      </c>
      <c r="I1211" s="5" t="n">
        <v>-0.002570719651114277</v>
      </c>
      <c r="J1211" s="5" t="n">
        <v>-0.002368262364855508</v>
      </c>
      <c r="K1211" s="5" t="n">
        <v>-0.001062293104715374</v>
      </c>
      <c r="L1211" s="5" t="n">
        <v>0.001590400311738519</v>
      </c>
      <c r="M1211" s="5">
        <f>SUMPRODUCT(Exposures!$B$6:$K$6,B1211:K1211)</f>
        <v/>
      </c>
      <c r="N1211" s="5">
        <f>IF(AND($A1211&gt;=DATE(2020,2,1),$A1211&lt;=DATE(2020,5,31)),$M1211,"")</f>
        <v/>
      </c>
      <c r="O1211" s="5">
        <f>IF(AND($A1211&gt;=DATE(2022,1,1),$A1211&lt;=DATE(2022,10,31)),$M1211,"")</f>
        <v/>
      </c>
      <c r="P1211" s="5">
        <f>IF(AND($A1211&gt;=DATE(2018,10,1),$A1211&lt;=DATE(2018,12,31)),$M1211,"")</f>
        <v/>
      </c>
      <c r="Q1211" s="5">
        <f>SUMPRODUCT(Exposures!$B$8:$K$8,B1211:K1211)</f>
        <v/>
      </c>
      <c r="R1211" s="5">
        <f>SUMPRODUCT(Exposures!$B$9:$K$9,B1211:K1211)</f>
        <v/>
      </c>
      <c r="S1211" s="5">
        <f>SUMPRODUCT(Exposures!$B$10:$K$10,B1211:K1211)</f>
        <v/>
      </c>
    </row>
    <row r="1212">
      <c r="A1212" s="1" t="n">
        <v>44217</v>
      </c>
      <c r="B1212" s="5" t="n">
        <v>-0.002148942297008303</v>
      </c>
      <c r="C1212" s="5" t="n">
        <v>-0.0001666257086566686</v>
      </c>
      <c r="D1212" s="5" t="n">
        <v>0.00147665677197738</v>
      </c>
      <c r="E1212" s="5" t="n">
        <v>0.001277373646847316</v>
      </c>
      <c r="F1212" s="5" t="n">
        <v>0.007897655468720646</v>
      </c>
      <c r="G1212" s="5" t="n">
        <v>-0.005777103349395829</v>
      </c>
      <c r="H1212" s="5" t="n">
        <v>0.003895385292432099</v>
      </c>
      <c r="I1212" s="5" t="n">
        <v>0.0003702630186069013</v>
      </c>
      <c r="J1212" s="5" t="n">
        <v>-0.002815976751699412</v>
      </c>
      <c r="K1212" s="5" t="n">
        <v>-0.008806981938750794</v>
      </c>
      <c r="L1212" s="5" t="n">
        <v>-0.003896559506884552</v>
      </c>
      <c r="M1212" s="5">
        <f>SUMPRODUCT(Exposures!$B$6:$K$6,B1212:K1212)</f>
        <v/>
      </c>
      <c r="N1212" s="5">
        <f>IF(AND($A1212&gt;=DATE(2020,2,1),$A1212&lt;=DATE(2020,5,31)),$M1212,"")</f>
        <v/>
      </c>
      <c r="O1212" s="5">
        <f>IF(AND($A1212&gt;=DATE(2022,1,1),$A1212&lt;=DATE(2022,10,31)),$M1212,"")</f>
        <v/>
      </c>
      <c r="P1212" s="5">
        <f>IF(AND($A1212&gt;=DATE(2018,10,1),$A1212&lt;=DATE(2018,12,31)),$M1212,"")</f>
        <v/>
      </c>
      <c r="Q1212" s="5">
        <f>SUMPRODUCT(Exposures!$B$8:$K$8,B1212:K1212)</f>
        <v/>
      </c>
      <c r="R1212" s="5">
        <f>SUMPRODUCT(Exposures!$B$9:$K$9,B1212:K1212)</f>
        <v/>
      </c>
      <c r="S1212" s="5">
        <f>SUMPRODUCT(Exposures!$B$10:$K$10,B1212:K1212)</f>
        <v/>
      </c>
    </row>
    <row r="1213">
      <c r="A1213" s="1" t="n">
        <v>44218</v>
      </c>
      <c r="B1213" s="5" t="n">
        <v>-0.006141280951354243</v>
      </c>
      <c r="C1213" s="5" t="n">
        <v>0.0004642497437474936</v>
      </c>
      <c r="D1213" s="5" t="n">
        <v>0.001830340020191548</v>
      </c>
      <c r="E1213" s="5" t="n">
        <v>0.004518291312327331</v>
      </c>
      <c r="F1213" s="5" t="n">
        <v>-0.002317814423066002</v>
      </c>
      <c r="G1213" s="5" t="n">
        <v>0.001243717474561962</v>
      </c>
      <c r="H1213" s="5" t="n">
        <v>0.0008650791701338018</v>
      </c>
      <c r="I1213" s="5" t="n">
        <v>0.0002728147537068053</v>
      </c>
      <c r="J1213" s="5" t="n">
        <v>0.008506726383653943</v>
      </c>
      <c r="K1213" s="5" t="n">
        <v>0.00182857999444598</v>
      </c>
      <c r="L1213" s="5" t="n">
        <v>-0.001667318732619774</v>
      </c>
      <c r="M1213" s="5">
        <f>SUMPRODUCT(Exposures!$B$6:$K$6,B1213:K1213)</f>
        <v/>
      </c>
      <c r="N1213" s="5">
        <f>IF(AND($A1213&gt;=DATE(2020,2,1),$A1213&lt;=DATE(2020,5,31)),$M1213,"")</f>
        <v/>
      </c>
      <c r="O1213" s="5">
        <f>IF(AND($A1213&gt;=DATE(2022,1,1),$A1213&lt;=DATE(2022,10,31)),$M1213,"")</f>
        <v/>
      </c>
      <c r="P1213" s="5">
        <f>IF(AND($A1213&gt;=DATE(2018,10,1),$A1213&lt;=DATE(2018,12,31)),$M1213,"")</f>
        <v/>
      </c>
      <c r="Q1213" s="5">
        <f>SUMPRODUCT(Exposures!$B$8:$K$8,B1213:K1213)</f>
        <v/>
      </c>
      <c r="R1213" s="5">
        <f>SUMPRODUCT(Exposures!$B$9:$K$9,B1213:K1213)</f>
        <v/>
      </c>
      <c r="S1213" s="5">
        <f>SUMPRODUCT(Exposures!$B$10:$K$10,B1213:K1213)</f>
        <v/>
      </c>
    </row>
    <row r="1214">
      <c r="A1214" s="1" t="n">
        <v>44221</v>
      </c>
      <c r="B1214" s="5" t="n">
        <v>-0.009363686643572374</v>
      </c>
      <c r="C1214" s="5" t="n">
        <v>-0.002296747029132932</v>
      </c>
      <c r="D1214" s="5" t="n">
        <v>0.001088797083319252</v>
      </c>
      <c r="E1214" s="5" t="n">
        <v>0.001682292940223051</v>
      </c>
      <c r="F1214" s="5" t="n">
        <v>-0.002150212781421206</v>
      </c>
      <c r="G1214" s="5" t="n">
        <v>0.001010690651587921</v>
      </c>
      <c r="H1214" s="5" t="n">
        <v>-0.0004318698546792411</v>
      </c>
      <c r="I1214" s="5" t="n">
        <v>2.256261853708121e-05</v>
      </c>
      <c r="J1214" s="5" t="n">
        <v>0.003388324458078489</v>
      </c>
      <c r="K1214" s="5" t="n">
        <v>0.003116886692056973</v>
      </c>
      <c r="L1214" s="5" t="n">
        <v>-0.00058213659215669</v>
      </c>
      <c r="M1214" s="5">
        <f>SUMPRODUCT(Exposures!$B$6:$K$6,B1214:K1214)</f>
        <v/>
      </c>
      <c r="N1214" s="5">
        <f>IF(AND($A1214&gt;=DATE(2020,2,1),$A1214&lt;=DATE(2020,5,31)),$M1214,"")</f>
        <v/>
      </c>
      <c r="O1214" s="5">
        <f>IF(AND($A1214&gt;=DATE(2022,1,1),$A1214&lt;=DATE(2022,10,31)),$M1214,"")</f>
        <v/>
      </c>
      <c r="P1214" s="5">
        <f>IF(AND($A1214&gt;=DATE(2018,10,1),$A1214&lt;=DATE(2018,12,31)),$M1214,"")</f>
        <v/>
      </c>
      <c r="Q1214" s="5">
        <f>SUMPRODUCT(Exposures!$B$8:$K$8,B1214:K1214)</f>
        <v/>
      </c>
      <c r="R1214" s="5">
        <f>SUMPRODUCT(Exposures!$B$9:$K$9,B1214:K1214)</f>
        <v/>
      </c>
      <c r="S1214" s="5">
        <f>SUMPRODUCT(Exposures!$B$10:$K$10,B1214:K1214)</f>
        <v/>
      </c>
    </row>
    <row r="1215">
      <c r="A1215" s="1" t="n">
        <v>44222</v>
      </c>
      <c r="B1215" s="5" t="n">
        <v>-0.009168618849462771</v>
      </c>
      <c r="C1215" s="5" t="n">
        <v>-8.348883920493953e-05</v>
      </c>
      <c r="D1215" s="5" t="n">
        <v>-0.0006000787798801538</v>
      </c>
      <c r="E1215" s="5" t="n">
        <v>0.0004572360576313507</v>
      </c>
      <c r="F1215" s="5" t="n">
        <v>0.004324338103492813</v>
      </c>
      <c r="G1215" s="5" t="n">
        <v>-0.005672421723065727</v>
      </c>
      <c r="H1215" s="5" t="n">
        <v>-0.003242853616633529</v>
      </c>
      <c r="I1215" s="5" t="n">
        <v>0.0009417349704067192</v>
      </c>
      <c r="J1215" s="5" t="n">
        <v>0.000948573997062622</v>
      </c>
      <c r="K1215" s="5" t="n">
        <v>-0.002680313639820953</v>
      </c>
      <c r="L1215" s="5" t="n">
        <v>0.0007416331514586963</v>
      </c>
      <c r="M1215" s="5">
        <f>SUMPRODUCT(Exposures!$B$6:$K$6,B1215:K1215)</f>
        <v/>
      </c>
      <c r="N1215" s="5">
        <f>IF(AND($A1215&gt;=DATE(2020,2,1),$A1215&lt;=DATE(2020,5,31)),$M1215,"")</f>
        <v/>
      </c>
      <c r="O1215" s="5">
        <f>IF(AND($A1215&gt;=DATE(2022,1,1),$A1215&lt;=DATE(2022,10,31)),$M1215,"")</f>
        <v/>
      </c>
      <c r="P1215" s="5">
        <f>IF(AND($A1215&gt;=DATE(2018,10,1),$A1215&lt;=DATE(2018,12,31)),$M1215,"")</f>
        <v/>
      </c>
      <c r="Q1215" s="5">
        <f>SUMPRODUCT(Exposures!$B$8:$K$8,B1215:K1215)</f>
        <v/>
      </c>
      <c r="R1215" s="5">
        <f>SUMPRODUCT(Exposures!$B$9:$K$9,B1215:K1215)</f>
        <v/>
      </c>
      <c r="S1215" s="5">
        <f>SUMPRODUCT(Exposures!$B$10:$K$10,B1215:K1215)</f>
        <v/>
      </c>
    </row>
    <row r="1216">
      <c r="A1216" s="1" t="n">
        <v>44223</v>
      </c>
      <c r="B1216" s="5" t="n">
        <v>-0.008686250595981253</v>
      </c>
      <c r="C1216" s="5" t="n">
        <v>-0.0005021396715390879</v>
      </c>
      <c r="D1216" s="5" t="n">
        <v>-0.0006140710021091012</v>
      </c>
      <c r="E1216" s="5" t="n">
        <v>0.001423106269025964</v>
      </c>
      <c r="F1216" s="5" t="n">
        <v>0.006525566733536764</v>
      </c>
      <c r="G1216" s="5" t="n">
        <v>-0.02878264298906856</v>
      </c>
      <c r="H1216" s="5" t="n">
        <v>-0.009564236984885623</v>
      </c>
      <c r="I1216" s="5" t="n">
        <v>-0.004085199458196305</v>
      </c>
      <c r="J1216" s="5" t="n">
        <v>-0.001132250213076437</v>
      </c>
      <c r="K1216" s="5" t="n">
        <v>-0.004151694493011141</v>
      </c>
      <c r="L1216" s="5" t="n">
        <v>-0.0009044223707778206</v>
      </c>
      <c r="M1216" s="5">
        <f>SUMPRODUCT(Exposures!$B$6:$K$6,B1216:K1216)</f>
        <v/>
      </c>
      <c r="N1216" s="5">
        <f>IF(AND($A1216&gt;=DATE(2020,2,1),$A1216&lt;=DATE(2020,5,31)),$M1216,"")</f>
        <v/>
      </c>
      <c r="O1216" s="5">
        <f>IF(AND($A1216&gt;=DATE(2022,1,1),$A1216&lt;=DATE(2022,10,31)),$M1216,"")</f>
        <v/>
      </c>
      <c r="P1216" s="5">
        <f>IF(AND($A1216&gt;=DATE(2018,10,1),$A1216&lt;=DATE(2018,12,31)),$M1216,"")</f>
        <v/>
      </c>
      <c r="Q1216" s="5">
        <f>SUMPRODUCT(Exposures!$B$8:$K$8,B1216:K1216)</f>
        <v/>
      </c>
      <c r="R1216" s="5">
        <f>SUMPRODUCT(Exposures!$B$9:$K$9,B1216:K1216)</f>
        <v/>
      </c>
      <c r="S1216" s="5">
        <f>SUMPRODUCT(Exposures!$B$10:$K$10,B1216:K1216)</f>
        <v/>
      </c>
    </row>
    <row r="1217">
      <c r="A1217" s="1" t="n">
        <v>44224</v>
      </c>
      <c r="B1217" s="5" t="n">
        <v>0.01303644096442358</v>
      </c>
      <c r="C1217" s="5" t="n">
        <v>0.006866058639128639</v>
      </c>
      <c r="D1217" s="5" t="n">
        <v>2.314162302612406e-05</v>
      </c>
      <c r="E1217" s="5" t="n">
        <v>0.0001704751906057007</v>
      </c>
      <c r="F1217" s="5" t="n">
        <v>0.001452402468885601</v>
      </c>
      <c r="G1217" s="5" t="n">
        <v>0.0105263340957512</v>
      </c>
      <c r="H1217" s="5" t="n">
        <v>0.003445372410094289</v>
      </c>
      <c r="I1217" s="5" t="n">
        <v>0.004334233973340968</v>
      </c>
      <c r="J1217" s="5" t="n">
        <v>0.002273771819158942</v>
      </c>
      <c r="K1217" s="5" t="n">
        <v>-0.0003181948088232106</v>
      </c>
      <c r="L1217" s="5" t="n">
        <v>-0.003553921996001297</v>
      </c>
      <c r="M1217" s="5">
        <f>SUMPRODUCT(Exposures!$B$6:$K$6,B1217:K1217)</f>
        <v/>
      </c>
      <c r="N1217" s="5">
        <f>IF(AND($A1217&gt;=DATE(2020,2,1),$A1217&lt;=DATE(2020,5,31)),$M1217,"")</f>
        <v/>
      </c>
      <c r="O1217" s="5">
        <f>IF(AND($A1217&gt;=DATE(2022,1,1),$A1217&lt;=DATE(2022,10,31)),$M1217,"")</f>
        <v/>
      </c>
      <c r="P1217" s="5">
        <f>IF(AND($A1217&gt;=DATE(2018,10,1),$A1217&lt;=DATE(2018,12,31)),$M1217,"")</f>
        <v/>
      </c>
      <c r="Q1217" s="5">
        <f>SUMPRODUCT(Exposures!$B$8:$K$8,B1217:K1217)</f>
        <v/>
      </c>
      <c r="R1217" s="5">
        <f>SUMPRODUCT(Exposures!$B$9:$K$9,B1217:K1217)</f>
        <v/>
      </c>
      <c r="S1217" s="5">
        <f>SUMPRODUCT(Exposures!$B$10:$K$10,B1217:K1217)</f>
        <v/>
      </c>
    </row>
    <row r="1218">
      <c r="A1218" s="1" t="n">
        <v>44225</v>
      </c>
      <c r="B1218" s="5" t="n">
        <v>-0.00541886280156333</v>
      </c>
      <c r="C1218" s="5" t="n">
        <v>-0.0009072902298987314</v>
      </c>
      <c r="D1218" s="5" t="n">
        <v>-0.004047547684788834</v>
      </c>
      <c r="E1218" s="5" t="n">
        <v>-0.002419852345940605</v>
      </c>
      <c r="F1218" s="5" t="n">
        <v>-0.002278692667290094</v>
      </c>
      <c r="G1218" s="5" t="n">
        <v>-0.0190840339964524</v>
      </c>
      <c r="H1218" s="5" t="n">
        <v>-0.001653547989119887</v>
      </c>
      <c r="I1218" s="5" t="n">
        <v>-2.326461792626251e-07</v>
      </c>
      <c r="J1218" s="5" t="n">
        <v>9.938367535611758e-05</v>
      </c>
      <c r="K1218" s="5" t="n">
        <v>0.002729732317013365</v>
      </c>
      <c r="L1218" s="5" t="n">
        <v>0.002267509522512968</v>
      </c>
      <c r="M1218" s="5">
        <f>SUMPRODUCT(Exposures!$B$6:$K$6,B1218:K1218)</f>
        <v/>
      </c>
      <c r="N1218" s="5">
        <f>IF(AND($A1218&gt;=DATE(2020,2,1),$A1218&lt;=DATE(2020,5,31)),$M1218,"")</f>
        <v/>
      </c>
      <c r="O1218" s="5">
        <f>IF(AND($A1218&gt;=DATE(2022,1,1),$A1218&lt;=DATE(2022,10,31)),$M1218,"")</f>
        <v/>
      </c>
      <c r="P1218" s="5">
        <f>IF(AND($A1218&gt;=DATE(2018,10,1),$A1218&lt;=DATE(2018,12,31)),$M1218,"")</f>
        <v/>
      </c>
      <c r="Q1218" s="5">
        <f>SUMPRODUCT(Exposures!$B$8:$K$8,B1218:K1218)</f>
        <v/>
      </c>
      <c r="R1218" s="5">
        <f>SUMPRODUCT(Exposures!$B$9:$K$9,B1218:K1218)</f>
        <v/>
      </c>
      <c r="S1218" s="5">
        <f>SUMPRODUCT(Exposures!$B$10:$K$10,B1218:K1218)</f>
        <v/>
      </c>
    </row>
    <row r="1219">
      <c r="A1219" s="1" t="n">
        <v>44228</v>
      </c>
      <c r="B1219" s="5" t="n">
        <v>0.003892348252756805</v>
      </c>
      <c r="C1219" s="5" t="n">
        <v>-0.0002787357286050012</v>
      </c>
      <c r="D1219" s="5" t="n">
        <v>0.003016791568682406</v>
      </c>
      <c r="E1219" s="5" t="n">
        <v>-0.004627513583618871</v>
      </c>
      <c r="F1219" s="5" t="n">
        <v>0.0007001082196971447</v>
      </c>
      <c r="G1219" s="5" t="n">
        <v>0.02049317248518831</v>
      </c>
      <c r="H1219" s="5" t="n">
        <v>0.011060129109822</v>
      </c>
      <c r="I1219" s="5" t="n">
        <v>0.001965513354880822</v>
      </c>
      <c r="J1219" s="5" t="n">
        <v>0.003207139753353182</v>
      </c>
      <c r="K1219" s="5" t="n">
        <v>-0.004131301861078356</v>
      </c>
      <c r="L1219" s="5" t="n">
        <v>0.001412336271170691</v>
      </c>
      <c r="M1219" s="5">
        <f>SUMPRODUCT(Exposures!$B$6:$K$6,B1219:K1219)</f>
        <v/>
      </c>
      <c r="N1219" s="5">
        <f>IF(AND($A1219&gt;=DATE(2020,2,1),$A1219&lt;=DATE(2020,5,31)),$M1219,"")</f>
        <v/>
      </c>
      <c r="O1219" s="5">
        <f>IF(AND($A1219&gt;=DATE(2022,1,1),$A1219&lt;=DATE(2022,10,31)),$M1219,"")</f>
        <v/>
      </c>
      <c r="P1219" s="5">
        <f>IF(AND($A1219&gt;=DATE(2018,10,1),$A1219&lt;=DATE(2018,12,31)),$M1219,"")</f>
        <v/>
      </c>
      <c r="Q1219" s="5">
        <f>SUMPRODUCT(Exposures!$B$8:$K$8,B1219:K1219)</f>
        <v/>
      </c>
      <c r="R1219" s="5">
        <f>SUMPRODUCT(Exposures!$B$9:$K$9,B1219:K1219)</f>
        <v/>
      </c>
      <c r="S1219" s="5">
        <f>SUMPRODUCT(Exposures!$B$10:$K$10,B1219:K1219)</f>
        <v/>
      </c>
    </row>
    <row r="1220">
      <c r="A1220" s="1" t="n">
        <v>44229</v>
      </c>
      <c r="B1220" s="5" t="n">
        <v>0.01246029352768341</v>
      </c>
      <c r="C1220" s="5" t="n">
        <v>-0.001453009261892277</v>
      </c>
      <c r="D1220" s="5" t="n">
        <v>-0.003669679925422828</v>
      </c>
      <c r="E1220" s="5" t="n">
        <v>-9.11289419408165e-05</v>
      </c>
      <c r="F1220" s="5" t="n">
        <v>1.043155606093166e-05</v>
      </c>
      <c r="G1220" s="5" t="n">
        <v>0.01278079779708657</v>
      </c>
      <c r="H1220" s="5" t="n">
        <v>0.003644950884589671</v>
      </c>
      <c r="I1220" s="5" t="n">
        <v>0.001010692532622077</v>
      </c>
      <c r="J1220" s="5" t="n">
        <v>-0.009089946960562478</v>
      </c>
      <c r="K1220" s="5" t="n">
        <v>-0.005905963229076949</v>
      </c>
      <c r="L1220" s="5" t="n">
        <v>0.0007406419554628777</v>
      </c>
      <c r="M1220" s="5">
        <f>SUMPRODUCT(Exposures!$B$6:$K$6,B1220:K1220)</f>
        <v/>
      </c>
      <c r="N1220" s="5">
        <f>IF(AND($A1220&gt;=DATE(2020,2,1),$A1220&lt;=DATE(2020,5,31)),$M1220,"")</f>
        <v/>
      </c>
      <c r="O1220" s="5">
        <f>IF(AND($A1220&gt;=DATE(2022,1,1),$A1220&lt;=DATE(2022,10,31)),$M1220,"")</f>
        <v/>
      </c>
      <c r="P1220" s="5">
        <f>IF(AND($A1220&gt;=DATE(2018,10,1),$A1220&lt;=DATE(2018,12,31)),$M1220,"")</f>
        <v/>
      </c>
      <c r="Q1220" s="5">
        <f>SUMPRODUCT(Exposures!$B$8:$K$8,B1220:K1220)</f>
        <v/>
      </c>
      <c r="R1220" s="5">
        <f>SUMPRODUCT(Exposures!$B$9:$K$9,B1220:K1220)</f>
        <v/>
      </c>
      <c r="S1220" s="5">
        <f>SUMPRODUCT(Exposures!$B$10:$K$10,B1220:K1220)</f>
        <v/>
      </c>
    </row>
    <row r="1221">
      <c r="A1221" s="1" t="n">
        <v>44230</v>
      </c>
      <c r="B1221" s="5" t="n">
        <v>-0.00384506363046226</v>
      </c>
      <c r="C1221" s="5" t="n">
        <v>0.003003821043599921</v>
      </c>
      <c r="D1221" s="5" t="n">
        <v>0.006274238737873083</v>
      </c>
      <c r="E1221" s="5" t="n">
        <v>-0.001857297200440002</v>
      </c>
      <c r="F1221" s="5" t="n">
        <v>0.005640826659697885</v>
      </c>
      <c r="G1221" s="5" t="n">
        <v>0.004408831564456242</v>
      </c>
      <c r="H1221" s="5" t="n">
        <v>-0.005012643213363257</v>
      </c>
      <c r="I1221" s="5" t="n">
        <v>0.002412473431451293</v>
      </c>
      <c r="J1221" s="5" t="n">
        <v>0.009874197657051331</v>
      </c>
      <c r="K1221" s="5" t="n">
        <v>-0.002449389661367251</v>
      </c>
      <c r="L1221" s="5" t="n">
        <v>0.00340920384675162</v>
      </c>
      <c r="M1221" s="5">
        <f>SUMPRODUCT(Exposures!$B$6:$K$6,B1221:K1221)</f>
        <v/>
      </c>
      <c r="N1221" s="5">
        <f>IF(AND($A1221&gt;=DATE(2020,2,1),$A1221&lt;=DATE(2020,5,31)),$M1221,"")</f>
        <v/>
      </c>
      <c r="O1221" s="5">
        <f>IF(AND($A1221&gt;=DATE(2022,1,1),$A1221&lt;=DATE(2022,10,31)),$M1221,"")</f>
        <v/>
      </c>
      <c r="P1221" s="5">
        <f>IF(AND($A1221&gt;=DATE(2018,10,1),$A1221&lt;=DATE(2018,12,31)),$M1221,"")</f>
        <v/>
      </c>
      <c r="Q1221" s="5">
        <f>SUMPRODUCT(Exposures!$B$8:$K$8,B1221:K1221)</f>
        <v/>
      </c>
      <c r="R1221" s="5">
        <f>SUMPRODUCT(Exposures!$B$9:$K$9,B1221:K1221)</f>
        <v/>
      </c>
      <c r="S1221" s="5">
        <f>SUMPRODUCT(Exposures!$B$10:$K$10,B1221:K1221)</f>
        <v/>
      </c>
    </row>
    <row r="1222">
      <c r="A1222" s="1" t="n">
        <v>44231</v>
      </c>
      <c r="B1222" s="5" t="n">
        <v>0.008227553567768501</v>
      </c>
      <c r="C1222" s="5" t="n">
        <v>0.0006942354842550421</v>
      </c>
      <c r="D1222" s="5" t="n">
        <v>-0.001469922054121691</v>
      </c>
      <c r="E1222" s="5" t="n">
        <v>0.004495385767068856</v>
      </c>
      <c r="F1222" s="5" t="n">
        <v>-0.0004806490049067674</v>
      </c>
      <c r="G1222" s="5" t="n">
        <v>0.01508897445192352</v>
      </c>
      <c r="H1222" s="5" t="n">
        <v>0.00343479767150664</v>
      </c>
      <c r="I1222" s="5" t="n">
        <v>0.001054358330819425</v>
      </c>
      <c r="J1222" s="5" t="n">
        <v>0.002742104870135687</v>
      </c>
      <c r="K1222" s="5" t="n">
        <v>-0.001372642398303236</v>
      </c>
      <c r="L1222" s="5" t="n">
        <v>-0.0008275219951719883</v>
      </c>
      <c r="M1222" s="5">
        <f>SUMPRODUCT(Exposures!$B$6:$K$6,B1222:K1222)</f>
        <v/>
      </c>
      <c r="N1222" s="5">
        <f>IF(AND($A1222&gt;=DATE(2020,2,1),$A1222&lt;=DATE(2020,5,31)),$M1222,"")</f>
        <v/>
      </c>
      <c r="O1222" s="5">
        <f>IF(AND($A1222&gt;=DATE(2022,1,1),$A1222&lt;=DATE(2022,10,31)),$M1222,"")</f>
        <v/>
      </c>
      <c r="P1222" s="5">
        <f>IF(AND($A1222&gt;=DATE(2018,10,1),$A1222&lt;=DATE(2018,12,31)),$M1222,"")</f>
        <v/>
      </c>
      <c r="Q1222" s="5">
        <f>SUMPRODUCT(Exposures!$B$8:$K$8,B1222:K1222)</f>
        <v/>
      </c>
      <c r="R1222" s="5">
        <f>SUMPRODUCT(Exposures!$B$9:$K$9,B1222:K1222)</f>
        <v/>
      </c>
      <c r="S1222" s="5">
        <f>SUMPRODUCT(Exposures!$B$10:$K$10,B1222:K1222)</f>
        <v/>
      </c>
    </row>
    <row r="1223">
      <c r="A1223" s="1" t="n">
        <v>44232</v>
      </c>
      <c r="B1223" s="5" t="n">
        <v>-0.004665609503232217</v>
      </c>
      <c r="C1223" s="5" t="n">
        <v>-0.001260116478930592</v>
      </c>
      <c r="D1223" s="5" t="n">
        <v>-0.002099420709460282</v>
      </c>
      <c r="E1223" s="5" t="n">
        <v>0.001437004267274656</v>
      </c>
      <c r="F1223" s="5" t="n">
        <v>-0.002364056227747985</v>
      </c>
      <c r="G1223" s="5" t="n">
        <v>0.009418616472395287</v>
      </c>
      <c r="H1223" s="5" t="n">
        <v>0.008725913296873229</v>
      </c>
      <c r="I1223" s="5" t="n">
        <v>-0.003929000790371078</v>
      </c>
      <c r="J1223" s="5" t="n">
        <v>0.00964874430059931</v>
      </c>
      <c r="K1223" s="5" t="n">
        <v>0.004268454223856139</v>
      </c>
      <c r="L1223" s="5" t="n">
        <v>0.001737148409093189</v>
      </c>
      <c r="M1223" s="5">
        <f>SUMPRODUCT(Exposures!$B$6:$K$6,B1223:K1223)</f>
        <v/>
      </c>
      <c r="N1223" s="5">
        <f>IF(AND($A1223&gt;=DATE(2020,2,1),$A1223&lt;=DATE(2020,5,31)),$M1223,"")</f>
        <v/>
      </c>
      <c r="O1223" s="5">
        <f>IF(AND($A1223&gt;=DATE(2022,1,1),$A1223&lt;=DATE(2022,10,31)),$M1223,"")</f>
        <v/>
      </c>
      <c r="P1223" s="5">
        <f>IF(AND($A1223&gt;=DATE(2018,10,1),$A1223&lt;=DATE(2018,12,31)),$M1223,"")</f>
        <v/>
      </c>
      <c r="Q1223" s="5">
        <f>SUMPRODUCT(Exposures!$B$8:$K$8,B1223:K1223)</f>
        <v/>
      </c>
      <c r="R1223" s="5">
        <f>SUMPRODUCT(Exposures!$B$9:$K$9,B1223:K1223)</f>
        <v/>
      </c>
      <c r="S1223" s="5">
        <f>SUMPRODUCT(Exposures!$B$10:$K$10,B1223:K1223)</f>
        <v/>
      </c>
    </row>
    <row r="1224">
      <c r="A1224" s="1" t="n">
        <v>44235</v>
      </c>
      <c r="B1224" s="5" t="n">
        <v>0.007149073037977544</v>
      </c>
      <c r="C1224" s="5" t="n">
        <v>0.0008332243068424595</v>
      </c>
      <c r="D1224" s="5" t="n">
        <v>0.002037298843110558</v>
      </c>
      <c r="E1224" s="5" t="n">
        <v>-0.002117840230457753</v>
      </c>
      <c r="F1224" s="5" t="n">
        <v>-0.0007926419357425808</v>
      </c>
      <c r="G1224" s="5" t="n">
        <v>0.01262202358729543</v>
      </c>
      <c r="H1224" s="5" t="n">
        <v>-0.001107606021104791</v>
      </c>
      <c r="I1224" s="5" t="n">
        <v>0.00291530200968906</v>
      </c>
      <c r="J1224" s="5" t="n">
        <v>-0.001751506676289114</v>
      </c>
      <c r="K1224" s="5" t="n">
        <v>-0.006521760008259601</v>
      </c>
      <c r="L1224" s="5" t="n">
        <v>-0.002330735106623735</v>
      </c>
      <c r="M1224" s="5">
        <f>SUMPRODUCT(Exposures!$B$6:$K$6,B1224:K1224)</f>
        <v/>
      </c>
      <c r="N1224" s="5">
        <f>IF(AND($A1224&gt;=DATE(2020,2,1),$A1224&lt;=DATE(2020,5,31)),$M1224,"")</f>
        <v/>
      </c>
      <c r="O1224" s="5">
        <f>IF(AND($A1224&gt;=DATE(2022,1,1),$A1224&lt;=DATE(2022,10,31)),$M1224,"")</f>
        <v/>
      </c>
      <c r="P1224" s="5">
        <f>IF(AND($A1224&gt;=DATE(2018,10,1),$A1224&lt;=DATE(2018,12,31)),$M1224,"")</f>
        <v/>
      </c>
      <c r="Q1224" s="5">
        <f>SUMPRODUCT(Exposures!$B$8:$K$8,B1224:K1224)</f>
        <v/>
      </c>
      <c r="R1224" s="5">
        <f>SUMPRODUCT(Exposures!$B$9:$K$9,B1224:K1224)</f>
        <v/>
      </c>
      <c r="S1224" s="5">
        <f>SUMPRODUCT(Exposures!$B$10:$K$10,B1224:K1224)</f>
        <v/>
      </c>
    </row>
    <row r="1225">
      <c r="A1225" s="1" t="n">
        <v>44236</v>
      </c>
      <c r="B1225" s="5" t="n">
        <v>0.001678751028601694</v>
      </c>
      <c r="C1225" s="5" t="n">
        <v>-0.0002443587849454515</v>
      </c>
      <c r="D1225" s="5" t="n">
        <v>0.001060674613829639</v>
      </c>
      <c r="E1225" s="5" t="n">
        <v>-0.004311578442557675</v>
      </c>
      <c r="F1225" s="5" t="n">
        <v>-0.004786216150829472</v>
      </c>
      <c r="G1225" s="5" t="n">
        <v>0.0007010194836843698</v>
      </c>
      <c r="H1225" s="5" t="n">
        <v>0.001971998745260975</v>
      </c>
      <c r="I1225" s="5" t="n">
        <v>0.001016185583159778</v>
      </c>
      <c r="J1225" s="5" t="n">
        <v>-0.004483942516619155</v>
      </c>
      <c r="K1225" s="5" t="n">
        <v>0.002102670668517681</v>
      </c>
      <c r="L1225" s="5" t="n">
        <v>0.001294151043306582</v>
      </c>
      <c r="M1225" s="5">
        <f>SUMPRODUCT(Exposures!$B$6:$K$6,B1225:K1225)</f>
        <v/>
      </c>
      <c r="N1225" s="5">
        <f>IF(AND($A1225&gt;=DATE(2020,2,1),$A1225&lt;=DATE(2020,5,31)),$M1225,"")</f>
        <v/>
      </c>
      <c r="O1225" s="5">
        <f>IF(AND($A1225&gt;=DATE(2022,1,1),$A1225&lt;=DATE(2022,10,31)),$M1225,"")</f>
        <v/>
      </c>
      <c r="P1225" s="5">
        <f>IF(AND($A1225&gt;=DATE(2018,10,1),$A1225&lt;=DATE(2018,12,31)),$M1225,"")</f>
        <v/>
      </c>
      <c r="Q1225" s="5">
        <f>SUMPRODUCT(Exposures!$B$8:$K$8,B1225:K1225)</f>
        <v/>
      </c>
      <c r="R1225" s="5">
        <f>SUMPRODUCT(Exposures!$B$9:$K$9,B1225:K1225)</f>
        <v/>
      </c>
      <c r="S1225" s="5">
        <f>SUMPRODUCT(Exposures!$B$10:$K$10,B1225:K1225)</f>
        <v/>
      </c>
    </row>
    <row r="1226">
      <c r="A1226" s="1" t="n">
        <v>44237</v>
      </c>
      <c r="B1226" s="5" t="n">
        <v>-0.001871604981459629</v>
      </c>
      <c r="C1226" s="5" t="n">
        <v>-0.0008756834746439923</v>
      </c>
      <c r="D1226" s="5" t="n">
        <v>0.002425869982532638</v>
      </c>
      <c r="E1226" s="5" t="n">
        <v>0.002847691910601162</v>
      </c>
      <c r="F1226" s="5" t="n">
        <v>0.005428489414896017</v>
      </c>
      <c r="G1226" s="5" t="n">
        <v>-0.0007074658891549389</v>
      </c>
      <c r="H1226" s="5" t="n">
        <v>-0.002625452867326683</v>
      </c>
      <c r="I1226" s="5" t="n">
        <v>-0.001110907476449961</v>
      </c>
      <c r="J1226" s="5" t="n">
        <v>0.001749229151711097</v>
      </c>
      <c r="K1226" s="5" t="n">
        <v>-0.003226741597798494</v>
      </c>
      <c r="L1226" s="5" t="n">
        <v>0.0001543297487543936</v>
      </c>
      <c r="M1226" s="5">
        <f>SUMPRODUCT(Exposures!$B$6:$K$6,B1226:K1226)</f>
        <v/>
      </c>
      <c r="N1226" s="5">
        <f>IF(AND($A1226&gt;=DATE(2020,2,1),$A1226&lt;=DATE(2020,5,31)),$M1226,"")</f>
        <v/>
      </c>
      <c r="O1226" s="5">
        <f>IF(AND($A1226&gt;=DATE(2022,1,1),$A1226&lt;=DATE(2022,10,31)),$M1226,"")</f>
        <v/>
      </c>
      <c r="P1226" s="5">
        <f>IF(AND($A1226&gt;=DATE(2018,10,1),$A1226&lt;=DATE(2018,12,31)),$M1226,"")</f>
        <v/>
      </c>
      <c r="Q1226" s="5">
        <f>SUMPRODUCT(Exposures!$B$8:$K$8,B1226:K1226)</f>
        <v/>
      </c>
      <c r="R1226" s="5">
        <f>SUMPRODUCT(Exposures!$B$9:$K$9,B1226:K1226)</f>
        <v/>
      </c>
      <c r="S1226" s="5">
        <f>SUMPRODUCT(Exposures!$B$10:$K$10,B1226:K1226)</f>
        <v/>
      </c>
    </row>
    <row r="1227">
      <c r="A1227" s="1" t="n">
        <v>44238</v>
      </c>
      <c r="B1227" s="5" t="n">
        <v>0.003788259324745277</v>
      </c>
      <c r="C1227" s="5" t="n">
        <v>-0.0005385985885904313</v>
      </c>
      <c r="D1227" s="5" t="n">
        <v>-0.001461449616909194</v>
      </c>
      <c r="E1227" s="5" t="n">
        <v>-0.003331095858102629</v>
      </c>
      <c r="F1227" s="5" t="n">
        <v>-0.00637214356041588</v>
      </c>
      <c r="G1227" s="5" t="n">
        <v>0.001488933352658857</v>
      </c>
      <c r="H1227" s="5" t="n">
        <v>0.005297775493317862</v>
      </c>
      <c r="I1227" s="5" t="n">
        <v>0.004688029747270826</v>
      </c>
      <c r="J1227" s="5" t="n">
        <v>-0.004043102778863104</v>
      </c>
      <c r="K1227" s="5" t="n">
        <v>0.001371178529631259</v>
      </c>
      <c r="L1227" s="5" t="n">
        <v>0.0009944499514705353</v>
      </c>
      <c r="M1227" s="5">
        <f>SUMPRODUCT(Exposures!$B$6:$K$6,B1227:K1227)</f>
        <v/>
      </c>
      <c r="N1227" s="5">
        <f>IF(AND($A1227&gt;=DATE(2020,2,1),$A1227&lt;=DATE(2020,5,31)),$M1227,"")</f>
        <v/>
      </c>
      <c r="O1227" s="5">
        <f>IF(AND($A1227&gt;=DATE(2022,1,1),$A1227&lt;=DATE(2022,10,31)),$M1227,"")</f>
        <v/>
      </c>
      <c r="P1227" s="5">
        <f>IF(AND($A1227&gt;=DATE(2018,10,1),$A1227&lt;=DATE(2018,12,31)),$M1227,"")</f>
        <v/>
      </c>
      <c r="Q1227" s="5">
        <f>SUMPRODUCT(Exposures!$B$8:$K$8,B1227:K1227)</f>
        <v/>
      </c>
      <c r="R1227" s="5">
        <f>SUMPRODUCT(Exposures!$B$9:$K$9,B1227:K1227)</f>
        <v/>
      </c>
      <c r="S1227" s="5">
        <f>SUMPRODUCT(Exposures!$B$10:$K$10,B1227:K1227)</f>
        <v/>
      </c>
    </row>
    <row r="1228">
      <c r="A1228" s="1" t="n">
        <v>44239</v>
      </c>
      <c r="B1228" s="5" t="n">
        <v>0.003683288808147164</v>
      </c>
      <c r="C1228" s="5" t="n">
        <v>0.000604039853577298</v>
      </c>
      <c r="D1228" s="5" t="n">
        <v>0.0005593510354430991</v>
      </c>
      <c r="E1228" s="5" t="n">
        <v>-0.001150066263549208</v>
      </c>
      <c r="F1228" s="5" t="n">
        <v>0.00167679088977417</v>
      </c>
      <c r="G1228" s="5" t="n">
        <v>0.004096884739174424</v>
      </c>
      <c r="H1228" s="5" t="n">
        <v>0.002907792836097491</v>
      </c>
      <c r="I1228" s="5" t="n">
        <v>0.0007445285163062645</v>
      </c>
      <c r="J1228" s="5" t="n">
        <v>-0.0009680597137649819</v>
      </c>
      <c r="K1228" s="5" t="n">
        <v>-0.001580896442562737</v>
      </c>
      <c r="L1228" s="5" t="n">
        <v>0.0005074633023268955</v>
      </c>
      <c r="M1228" s="5">
        <f>SUMPRODUCT(Exposures!$B$6:$K$6,B1228:K1228)</f>
        <v/>
      </c>
      <c r="N1228" s="5">
        <f>IF(AND($A1228&gt;=DATE(2020,2,1),$A1228&lt;=DATE(2020,5,31)),$M1228,"")</f>
        <v/>
      </c>
      <c r="O1228" s="5">
        <f>IF(AND($A1228&gt;=DATE(2022,1,1),$A1228&lt;=DATE(2022,10,31)),$M1228,"")</f>
        <v/>
      </c>
      <c r="P1228" s="5">
        <f>IF(AND($A1228&gt;=DATE(2018,10,1),$A1228&lt;=DATE(2018,12,31)),$M1228,"")</f>
        <v/>
      </c>
      <c r="Q1228" s="5">
        <f>SUMPRODUCT(Exposures!$B$8:$K$8,B1228:K1228)</f>
        <v/>
      </c>
      <c r="R1228" s="5">
        <f>SUMPRODUCT(Exposures!$B$9:$K$9,B1228:K1228)</f>
        <v/>
      </c>
      <c r="S1228" s="5">
        <f>SUMPRODUCT(Exposures!$B$10:$K$10,B1228:K1228)</f>
        <v/>
      </c>
    </row>
    <row r="1229">
      <c r="A1229" s="1" t="n">
        <v>44243</v>
      </c>
      <c r="B1229" s="5" t="n">
        <v>0.005408194809489466</v>
      </c>
      <c r="C1229" s="5" t="n">
        <v>0.0008558994896298948</v>
      </c>
      <c r="D1229" s="5" t="n">
        <v>0.008282310654233235</v>
      </c>
      <c r="E1229" s="5" t="n">
        <v>-0.0007011784621823762</v>
      </c>
      <c r="F1229" s="5" t="n">
        <v>0.007628788153367174</v>
      </c>
      <c r="G1229" s="5" t="n">
        <v>0.0008298171736825132</v>
      </c>
      <c r="H1229" s="5" t="n">
        <v>-0.005012088642404111</v>
      </c>
      <c r="I1229" s="5" t="n">
        <v>0.001071168876550341</v>
      </c>
      <c r="J1229" s="5" t="n">
        <v>0.0004055924032027921</v>
      </c>
      <c r="K1229" s="5" t="n">
        <v>-0.007835528012265777</v>
      </c>
      <c r="L1229" s="5" t="n">
        <v>0.0008935632766494428</v>
      </c>
      <c r="M1229" s="5">
        <f>SUMPRODUCT(Exposures!$B$6:$K$6,B1229:K1229)</f>
        <v/>
      </c>
      <c r="N1229" s="5">
        <f>IF(AND($A1229&gt;=DATE(2020,2,1),$A1229&lt;=DATE(2020,5,31)),$M1229,"")</f>
        <v/>
      </c>
      <c r="O1229" s="5">
        <f>IF(AND($A1229&gt;=DATE(2022,1,1),$A1229&lt;=DATE(2022,10,31)),$M1229,"")</f>
        <v/>
      </c>
      <c r="P1229" s="5">
        <f>IF(AND($A1229&gt;=DATE(2018,10,1),$A1229&lt;=DATE(2018,12,31)),$M1229,"")</f>
        <v/>
      </c>
      <c r="Q1229" s="5">
        <f>SUMPRODUCT(Exposures!$B$8:$K$8,B1229:K1229)</f>
        <v/>
      </c>
      <c r="R1229" s="5">
        <f>SUMPRODUCT(Exposures!$B$9:$K$9,B1229:K1229)</f>
        <v/>
      </c>
      <c r="S1229" s="5">
        <f>SUMPRODUCT(Exposures!$B$10:$K$10,B1229:K1229)</f>
        <v/>
      </c>
    </row>
    <row r="1230">
      <c r="A1230" s="1" t="n">
        <v>44244</v>
      </c>
      <c r="B1230" s="5" t="n">
        <v>-0.004106442879454488</v>
      </c>
      <c r="C1230" s="5" t="n">
        <v>0.000858218562104669</v>
      </c>
      <c r="D1230" s="5" t="n">
        <v>-0.004462222557634442</v>
      </c>
      <c r="E1230" s="5" t="n">
        <v>0.0007615301030124073</v>
      </c>
      <c r="F1230" s="5" t="n">
        <v>-0.001006868670038175</v>
      </c>
      <c r="G1230" s="5" t="n">
        <v>-0.002222819634616489</v>
      </c>
      <c r="H1230" s="5" t="n">
        <v>-0.00573229775417912</v>
      </c>
      <c r="I1230" s="5" t="n">
        <v>-0.0003797553257126488</v>
      </c>
      <c r="J1230" s="5" t="n">
        <v>-0.0001205657491097768</v>
      </c>
      <c r="K1230" s="5" t="n">
        <v>0.002411520955531484</v>
      </c>
      <c r="L1230" s="5" t="n">
        <v>0.002154024986889228</v>
      </c>
      <c r="M1230" s="5">
        <f>SUMPRODUCT(Exposures!$B$6:$K$6,B1230:K1230)</f>
        <v/>
      </c>
      <c r="N1230" s="5">
        <f>IF(AND($A1230&gt;=DATE(2020,2,1),$A1230&lt;=DATE(2020,5,31)),$M1230,"")</f>
        <v/>
      </c>
      <c r="O1230" s="5">
        <f>IF(AND($A1230&gt;=DATE(2022,1,1),$A1230&lt;=DATE(2022,10,31)),$M1230,"")</f>
        <v/>
      </c>
      <c r="P1230" s="5">
        <f>IF(AND($A1230&gt;=DATE(2018,10,1),$A1230&lt;=DATE(2018,12,31)),$M1230,"")</f>
        <v/>
      </c>
      <c r="Q1230" s="5">
        <f>SUMPRODUCT(Exposures!$B$8:$K$8,B1230:K1230)</f>
        <v/>
      </c>
      <c r="R1230" s="5">
        <f>SUMPRODUCT(Exposures!$B$9:$K$9,B1230:K1230)</f>
        <v/>
      </c>
      <c r="S1230" s="5">
        <f>SUMPRODUCT(Exposures!$B$10:$K$10,B1230:K1230)</f>
        <v/>
      </c>
    </row>
    <row r="1231">
      <c r="A1231" s="1" t="n">
        <v>44245</v>
      </c>
      <c r="B1231" s="5" t="n">
        <v>-0.003614946031640167</v>
      </c>
      <c r="C1231" s="5" t="n">
        <v>0.002099262592528897</v>
      </c>
      <c r="D1231" s="5" t="n">
        <v>-0.001615589590034273</v>
      </c>
      <c r="E1231" s="5" t="n">
        <v>-0.0001360516970288171</v>
      </c>
      <c r="F1231" s="5" t="n">
        <v>0.003519210878300507</v>
      </c>
      <c r="G1231" s="5" t="n">
        <v>-0.009425788105973481</v>
      </c>
      <c r="H1231" s="5" t="n">
        <v>-0.00414635664234711</v>
      </c>
      <c r="I1231" s="5" t="n">
        <v>0.001221433867851266</v>
      </c>
      <c r="J1231" s="5" t="n">
        <v>-0.004679587964413191</v>
      </c>
      <c r="K1231" s="5" t="n">
        <v>-0.005575635252973342</v>
      </c>
      <c r="L1231" s="5" t="n">
        <v>-0.001604920865860337</v>
      </c>
      <c r="M1231" s="5">
        <f>SUMPRODUCT(Exposures!$B$6:$K$6,B1231:K1231)</f>
        <v/>
      </c>
      <c r="N1231" s="5">
        <f>IF(AND($A1231&gt;=DATE(2020,2,1),$A1231&lt;=DATE(2020,5,31)),$M1231,"")</f>
        <v/>
      </c>
      <c r="O1231" s="5">
        <f>IF(AND($A1231&gt;=DATE(2022,1,1),$A1231&lt;=DATE(2022,10,31)),$M1231,"")</f>
        <v/>
      </c>
      <c r="P1231" s="5">
        <f>IF(AND($A1231&gt;=DATE(2018,10,1),$A1231&lt;=DATE(2018,12,31)),$M1231,"")</f>
        <v/>
      </c>
      <c r="Q1231" s="5">
        <f>SUMPRODUCT(Exposures!$B$8:$K$8,B1231:K1231)</f>
        <v/>
      </c>
      <c r="R1231" s="5">
        <f>SUMPRODUCT(Exposures!$B$9:$K$9,B1231:K1231)</f>
        <v/>
      </c>
      <c r="S1231" s="5">
        <f>SUMPRODUCT(Exposures!$B$10:$K$10,B1231:K1231)</f>
        <v/>
      </c>
    </row>
    <row r="1232">
      <c r="A1232" s="1" t="n">
        <v>44246</v>
      </c>
      <c r="B1232" s="5" t="n">
        <v>0.01102987034045936</v>
      </c>
      <c r="C1232" s="5" t="n">
        <v>-0.001365530847491784</v>
      </c>
      <c r="D1232" s="5" t="n">
        <v>0.000596429224772525</v>
      </c>
      <c r="E1232" s="5" t="n">
        <v>0.000171686806458187</v>
      </c>
      <c r="F1232" s="5" t="n">
        <v>0.003998440441072823</v>
      </c>
      <c r="G1232" s="5" t="n">
        <v>0.01291820519145974</v>
      </c>
      <c r="H1232" s="5" t="n">
        <v>0.003320612915257308</v>
      </c>
      <c r="I1232" s="5" t="n">
        <v>-0.0004992400515938288</v>
      </c>
      <c r="J1232" s="5" t="n">
        <v>0.006634705704141145</v>
      </c>
      <c r="K1232" s="5" t="n">
        <v>-0.006829407532524799</v>
      </c>
      <c r="L1232" s="5" t="n">
        <v>-0.0003688341595626365</v>
      </c>
      <c r="M1232" s="5">
        <f>SUMPRODUCT(Exposures!$B$6:$K$6,B1232:K1232)</f>
        <v/>
      </c>
      <c r="N1232" s="5">
        <f>IF(AND($A1232&gt;=DATE(2020,2,1),$A1232&lt;=DATE(2020,5,31)),$M1232,"")</f>
        <v/>
      </c>
      <c r="O1232" s="5">
        <f>IF(AND($A1232&gt;=DATE(2022,1,1),$A1232&lt;=DATE(2022,10,31)),$M1232,"")</f>
        <v/>
      </c>
      <c r="P1232" s="5">
        <f>IF(AND($A1232&gt;=DATE(2018,10,1),$A1232&lt;=DATE(2018,12,31)),$M1232,"")</f>
        <v/>
      </c>
      <c r="Q1232" s="5">
        <f>SUMPRODUCT(Exposures!$B$8:$K$8,B1232:K1232)</f>
        <v/>
      </c>
      <c r="R1232" s="5">
        <f>SUMPRODUCT(Exposures!$B$9:$K$9,B1232:K1232)</f>
        <v/>
      </c>
      <c r="S1232" s="5">
        <f>SUMPRODUCT(Exposures!$B$10:$K$10,B1232:K1232)</f>
        <v/>
      </c>
    </row>
    <row r="1233">
      <c r="A1233" s="1" t="n">
        <v>44249</v>
      </c>
      <c r="B1233" s="5" t="n">
        <v>0.003639703025581128</v>
      </c>
      <c r="C1233" s="5" t="n">
        <v>0.003689325589082902</v>
      </c>
      <c r="D1233" s="5" t="n">
        <v>0.00651032051387289</v>
      </c>
      <c r="E1233" s="5" t="n">
        <v>0.002584831984798588</v>
      </c>
      <c r="F1233" s="5" t="n">
        <v>-0.003031155650108935</v>
      </c>
      <c r="G1233" s="5" t="n">
        <v>0.0002043068926722351</v>
      </c>
      <c r="H1233" s="5" t="n">
        <v>-0.01344304289159338</v>
      </c>
      <c r="I1233" s="5" t="n">
        <v>0.00182390371454973</v>
      </c>
      <c r="J1233" s="5" t="n">
        <v>0.007844319550937107</v>
      </c>
      <c r="K1233" s="5" t="n">
        <v>0.0001620095162407154</v>
      </c>
      <c r="L1233" s="5" t="n">
        <v>0.0006816512362845494</v>
      </c>
      <c r="M1233" s="5">
        <f>SUMPRODUCT(Exposures!$B$6:$K$6,B1233:K1233)</f>
        <v/>
      </c>
      <c r="N1233" s="5">
        <f>IF(AND($A1233&gt;=DATE(2020,2,1),$A1233&lt;=DATE(2020,5,31)),$M1233,"")</f>
        <v/>
      </c>
      <c r="O1233" s="5">
        <f>IF(AND($A1233&gt;=DATE(2022,1,1),$A1233&lt;=DATE(2022,10,31)),$M1233,"")</f>
        <v/>
      </c>
      <c r="P1233" s="5">
        <f>IF(AND($A1233&gt;=DATE(2018,10,1),$A1233&lt;=DATE(2018,12,31)),$M1233,"")</f>
        <v/>
      </c>
      <c r="Q1233" s="5">
        <f>SUMPRODUCT(Exposures!$B$8:$K$8,B1233:K1233)</f>
        <v/>
      </c>
      <c r="R1233" s="5">
        <f>SUMPRODUCT(Exposures!$B$9:$K$9,B1233:K1233)</f>
        <v/>
      </c>
      <c r="S1233" s="5">
        <f>SUMPRODUCT(Exposures!$B$10:$K$10,B1233:K1233)</f>
        <v/>
      </c>
    </row>
    <row r="1234">
      <c r="A1234" s="1" t="n">
        <v>44250</v>
      </c>
      <c r="B1234" s="5" t="n">
        <v>0.001455073745177333</v>
      </c>
      <c r="C1234" s="5" t="n">
        <v>-0.0008888376359070695</v>
      </c>
      <c r="D1234" s="5" t="n">
        <v>1.024396329516358e-05</v>
      </c>
      <c r="E1234" s="5" t="n">
        <v>0.002478159499416425</v>
      </c>
      <c r="F1234" s="5" t="n">
        <v>0.00533307100583258</v>
      </c>
      <c r="G1234" s="5" t="n">
        <v>-0.000388746449352163</v>
      </c>
      <c r="H1234" s="5" t="n">
        <v>-0.005791580607390727</v>
      </c>
      <c r="I1234" s="5" t="n">
        <v>-0.003584217117935279</v>
      </c>
      <c r="J1234" s="5" t="n">
        <v>-0.002165430815398583</v>
      </c>
      <c r="K1234" s="5" t="n">
        <v>-0.00237362796303966</v>
      </c>
      <c r="L1234" s="5" t="n">
        <v>0.0008455990101243411</v>
      </c>
      <c r="M1234" s="5">
        <f>SUMPRODUCT(Exposures!$B$6:$K$6,B1234:K1234)</f>
        <v/>
      </c>
      <c r="N1234" s="5">
        <f>IF(AND($A1234&gt;=DATE(2020,2,1),$A1234&lt;=DATE(2020,5,31)),$M1234,"")</f>
        <v/>
      </c>
      <c r="O1234" s="5">
        <f>IF(AND($A1234&gt;=DATE(2022,1,1),$A1234&lt;=DATE(2022,10,31)),$M1234,"")</f>
        <v/>
      </c>
      <c r="P1234" s="5">
        <f>IF(AND($A1234&gt;=DATE(2018,10,1),$A1234&lt;=DATE(2018,12,31)),$M1234,"")</f>
        <v/>
      </c>
      <c r="Q1234" s="5">
        <f>SUMPRODUCT(Exposures!$B$8:$K$8,B1234:K1234)</f>
        <v/>
      </c>
      <c r="R1234" s="5">
        <f>SUMPRODUCT(Exposures!$B$9:$K$9,B1234:K1234)</f>
        <v/>
      </c>
      <c r="S1234" s="5">
        <f>SUMPRODUCT(Exposures!$B$10:$K$10,B1234:K1234)</f>
        <v/>
      </c>
    </row>
    <row r="1235">
      <c r="A1235" s="1" t="n">
        <v>44251</v>
      </c>
      <c r="B1235" s="5" t="n">
        <v>0.01326280523645285</v>
      </c>
      <c r="C1235" s="5" t="n">
        <v>-0.0009375580484928368</v>
      </c>
      <c r="D1235" s="5" t="n">
        <v>-0.003282244761992284</v>
      </c>
      <c r="E1235" s="5" t="n">
        <v>-0.002744982475606401</v>
      </c>
      <c r="F1235" s="5" t="n">
        <v>0.002921727357870631</v>
      </c>
      <c r="G1235" s="5" t="n">
        <v>0.01729518797555915</v>
      </c>
      <c r="H1235" s="5" t="n">
        <v>-0.001707186177479917</v>
      </c>
      <c r="I1235" s="5" t="n">
        <v>0.00370109376035188</v>
      </c>
      <c r="J1235" s="5" t="n">
        <v>0.000608018356918389</v>
      </c>
      <c r="K1235" s="5" t="n">
        <v>-0.006892334573543142</v>
      </c>
      <c r="L1235" s="5" t="n">
        <v>-0.000869682825548725</v>
      </c>
      <c r="M1235" s="5">
        <f>SUMPRODUCT(Exposures!$B$6:$K$6,B1235:K1235)</f>
        <v/>
      </c>
      <c r="N1235" s="5">
        <f>IF(AND($A1235&gt;=DATE(2020,2,1),$A1235&lt;=DATE(2020,5,31)),$M1235,"")</f>
        <v/>
      </c>
      <c r="O1235" s="5">
        <f>IF(AND($A1235&gt;=DATE(2022,1,1),$A1235&lt;=DATE(2022,10,31)),$M1235,"")</f>
        <v/>
      </c>
      <c r="P1235" s="5">
        <f>IF(AND($A1235&gt;=DATE(2018,10,1),$A1235&lt;=DATE(2018,12,31)),$M1235,"")</f>
        <v/>
      </c>
      <c r="Q1235" s="5">
        <f>SUMPRODUCT(Exposures!$B$8:$K$8,B1235:K1235)</f>
        <v/>
      </c>
      <c r="R1235" s="5">
        <f>SUMPRODUCT(Exposures!$B$9:$K$9,B1235:K1235)</f>
        <v/>
      </c>
      <c r="S1235" s="5">
        <f>SUMPRODUCT(Exposures!$B$10:$K$10,B1235:K1235)</f>
        <v/>
      </c>
    </row>
    <row r="1236">
      <c r="A1236" s="1" t="n">
        <v>44252</v>
      </c>
      <c r="B1236" s="5" t="n">
        <v>-0.005399039323512324</v>
      </c>
      <c r="C1236" s="5" t="n">
        <v>0.0001717419409928872</v>
      </c>
      <c r="D1236" s="5" t="n">
        <v>-0.005066627276209846</v>
      </c>
      <c r="E1236" s="5" t="n">
        <v>0.003824778041320674</v>
      </c>
      <c r="F1236" s="5" t="n">
        <v>-0.009468348125130661</v>
      </c>
      <c r="G1236" s="5" t="n">
        <v>-0.02733926989316394</v>
      </c>
      <c r="H1236" s="5" t="n">
        <v>-0.0062603151585317</v>
      </c>
      <c r="I1236" s="5" t="n">
        <v>0.002096928692767424</v>
      </c>
      <c r="J1236" s="5" t="n">
        <v>-0.007502003673363834</v>
      </c>
      <c r="K1236" s="5" t="n">
        <v>0.00500715397047902</v>
      </c>
      <c r="L1236" s="5" t="n">
        <v>-0.0007128756488078959</v>
      </c>
      <c r="M1236" s="5">
        <f>SUMPRODUCT(Exposures!$B$6:$K$6,B1236:K1236)</f>
        <v/>
      </c>
      <c r="N1236" s="5">
        <f>IF(AND($A1236&gt;=DATE(2020,2,1),$A1236&lt;=DATE(2020,5,31)),$M1236,"")</f>
        <v/>
      </c>
      <c r="O1236" s="5">
        <f>IF(AND($A1236&gt;=DATE(2022,1,1),$A1236&lt;=DATE(2022,10,31)),$M1236,"")</f>
        <v/>
      </c>
      <c r="P1236" s="5">
        <f>IF(AND($A1236&gt;=DATE(2018,10,1),$A1236&lt;=DATE(2018,12,31)),$M1236,"")</f>
        <v/>
      </c>
      <c r="Q1236" s="5">
        <f>SUMPRODUCT(Exposures!$B$8:$K$8,B1236:K1236)</f>
        <v/>
      </c>
      <c r="R1236" s="5">
        <f>SUMPRODUCT(Exposures!$B$9:$K$9,B1236:K1236)</f>
        <v/>
      </c>
      <c r="S1236" s="5">
        <f>SUMPRODUCT(Exposures!$B$10:$K$10,B1236:K1236)</f>
        <v/>
      </c>
    </row>
    <row r="1237">
      <c r="A1237" s="1" t="n">
        <v>44253</v>
      </c>
      <c r="B1237" s="5" t="n">
        <v>0.00387070180371746</v>
      </c>
      <c r="C1237" s="5" t="n">
        <v>0.003054939486813844</v>
      </c>
      <c r="D1237" s="5" t="n">
        <v>0.005807817966958039</v>
      </c>
      <c r="E1237" s="5" t="n">
        <v>0.003233094389466266</v>
      </c>
      <c r="F1237" s="5" t="n">
        <v>0.003639284764896626</v>
      </c>
      <c r="G1237" s="5" t="n">
        <v>-0.002814963645197725</v>
      </c>
      <c r="H1237" s="5" t="n">
        <v>0.01158638367530229</v>
      </c>
      <c r="I1237" s="5" t="n">
        <v>0.001154950102968392</v>
      </c>
      <c r="J1237" s="5" t="n">
        <v>0.004157657641537424</v>
      </c>
      <c r="K1237" s="5" t="n">
        <v>-0.004345655606345702</v>
      </c>
      <c r="L1237" s="5" t="n">
        <v>-0.00369924541202854</v>
      </c>
      <c r="M1237" s="5">
        <f>SUMPRODUCT(Exposures!$B$6:$K$6,B1237:K1237)</f>
        <v/>
      </c>
      <c r="N1237" s="5">
        <f>IF(AND($A1237&gt;=DATE(2020,2,1),$A1237&lt;=DATE(2020,5,31)),$M1237,"")</f>
        <v/>
      </c>
      <c r="O1237" s="5">
        <f>IF(AND($A1237&gt;=DATE(2022,1,1),$A1237&lt;=DATE(2022,10,31)),$M1237,"")</f>
        <v/>
      </c>
      <c r="P1237" s="5">
        <f>IF(AND($A1237&gt;=DATE(2018,10,1),$A1237&lt;=DATE(2018,12,31)),$M1237,"")</f>
        <v/>
      </c>
      <c r="Q1237" s="5">
        <f>SUMPRODUCT(Exposures!$B$8:$K$8,B1237:K1237)</f>
        <v/>
      </c>
      <c r="R1237" s="5">
        <f>SUMPRODUCT(Exposures!$B$9:$K$9,B1237:K1237)</f>
        <v/>
      </c>
      <c r="S1237" s="5">
        <f>SUMPRODUCT(Exposures!$B$10:$K$10,B1237:K1237)</f>
        <v/>
      </c>
    </row>
    <row r="1238">
      <c r="A1238" s="1" t="n">
        <v>44256</v>
      </c>
      <c r="B1238" s="5" t="n">
        <v>0.007704361423526514</v>
      </c>
      <c r="C1238" s="5" t="n">
        <v>-0.001431718416619185</v>
      </c>
      <c r="D1238" s="5" t="n">
        <v>0.001371768444267958</v>
      </c>
      <c r="E1238" s="5" t="n">
        <v>-0.001099231281373232</v>
      </c>
      <c r="F1238" s="5" t="n">
        <v>0.001312360060862527</v>
      </c>
      <c r="G1238" s="5" t="n">
        <v>0.02325842122211673</v>
      </c>
      <c r="H1238" s="5" t="n">
        <v>0.003772565184376933</v>
      </c>
      <c r="I1238" s="5" t="n">
        <v>-0.0004071933898475645</v>
      </c>
      <c r="J1238" s="5" t="n">
        <v>0.003233432199964434</v>
      </c>
      <c r="K1238" s="5" t="n">
        <v>0.001206834981901364</v>
      </c>
      <c r="L1238" s="5" t="n">
        <v>0.002516721459935215</v>
      </c>
      <c r="M1238" s="5">
        <f>SUMPRODUCT(Exposures!$B$6:$K$6,B1238:K1238)</f>
        <v/>
      </c>
      <c r="N1238" s="5">
        <f>IF(AND($A1238&gt;=DATE(2020,2,1),$A1238&lt;=DATE(2020,5,31)),$M1238,"")</f>
        <v/>
      </c>
      <c r="O1238" s="5">
        <f>IF(AND($A1238&gt;=DATE(2022,1,1),$A1238&lt;=DATE(2022,10,31)),$M1238,"")</f>
        <v/>
      </c>
      <c r="P1238" s="5">
        <f>IF(AND($A1238&gt;=DATE(2018,10,1),$A1238&lt;=DATE(2018,12,31)),$M1238,"")</f>
        <v/>
      </c>
      <c r="Q1238" s="5">
        <f>SUMPRODUCT(Exposures!$B$8:$K$8,B1238:K1238)</f>
        <v/>
      </c>
      <c r="R1238" s="5">
        <f>SUMPRODUCT(Exposures!$B$9:$K$9,B1238:K1238)</f>
        <v/>
      </c>
      <c r="S1238" s="5">
        <f>SUMPRODUCT(Exposures!$B$10:$K$10,B1238:K1238)</f>
        <v/>
      </c>
    </row>
    <row r="1239">
      <c r="A1239" s="1" t="n">
        <v>44257</v>
      </c>
      <c r="B1239" s="5" t="n">
        <v>-3.032846110938265e-05</v>
      </c>
      <c r="C1239" s="5" t="n">
        <v>0.001399140441285906</v>
      </c>
      <c r="D1239" s="5" t="n">
        <v>0.0009876790591461708</v>
      </c>
      <c r="E1239" s="5" t="n">
        <v>-0.0004853918084003831</v>
      </c>
      <c r="F1239" s="5" t="n">
        <v>0.0004349069885521513</v>
      </c>
      <c r="G1239" s="5" t="n">
        <v>-0.007280206640116012</v>
      </c>
      <c r="H1239" s="5" t="n">
        <v>-0.003967939354061938</v>
      </c>
      <c r="I1239" s="5" t="n">
        <v>-0.0003430059440254897</v>
      </c>
      <c r="J1239" s="5" t="n">
        <v>-0.002324842255294821</v>
      </c>
      <c r="K1239" s="5" t="n">
        <v>-0.001826948630472997</v>
      </c>
      <c r="L1239" s="5" t="n">
        <v>0.001110562369335162</v>
      </c>
      <c r="M1239" s="5">
        <f>SUMPRODUCT(Exposures!$B$6:$K$6,B1239:K1239)</f>
        <v/>
      </c>
      <c r="N1239" s="5">
        <f>IF(AND($A1239&gt;=DATE(2020,2,1),$A1239&lt;=DATE(2020,5,31)),$M1239,"")</f>
        <v/>
      </c>
      <c r="O1239" s="5">
        <f>IF(AND($A1239&gt;=DATE(2022,1,1),$A1239&lt;=DATE(2022,10,31)),$M1239,"")</f>
        <v/>
      </c>
      <c r="P1239" s="5">
        <f>IF(AND($A1239&gt;=DATE(2018,10,1),$A1239&lt;=DATE(2018,12,31)),$M1239,"")</f>
        <v/>
      </c>
      <c r="Q1239" s="5">
        <f>SUMPRODUCT(Exposures!$B$8:$K$8,B1239:K1239)</f>
        <v/>
      </c>
      <c r="R1239" s="5">
        <f>SUMPRODUCT(Exposures!$B$9:$K$9,B1239:K1239)</f>
        <v/>
      </c>
      <c r="S1239" s="5">
        <f>SUMPRODUCT(Exposures!$B$10:$K$10,B1239:K1239)</f>
        <v/>
      </c>
    </row>
    <row r="1240">
      <c r="A1240" s="1" t="n">
        <v>44258</v>
      </c>
      <c r="B1240" s="5" t="n">
        <v>0.003107340990370223</v>
      </c>
      <c r="C1240" s="5" t="n">
        <v>0.002920582649365543</v>
      </c>
      <c r="D1240" s="5" t="n">
        <v>-0.0006718160018763231</v>
      </c>
      <c r="E1240" s="5" t="n">
        <v>0.00324638476627013</v>
      </c>
      <c r="F1240" s="5" t="n">
        <v>-0.001610379230853405</v>
      </c>
      <c r="G1240" s="5" t="n">
        <v>-0.005183439676181229</v>
      </c>
      <c r="H1240" s="5" t="n">
        <v>-0.01421813134384788</v>
      </c>
      <c r="I1240" s="5" t="n">
        <v>-0.001536365942179257</v>
      </c>
      <c r="J1240" s="5" t="n">
        <v>0.006860617466735346</v>
      </c>
      <c r="K1240" s="5" t="n">
        <v>0.001698139352712521</v>
      </c>
      <c r="L1240" s="5" t="n">
        <v>0.000496362918376957</v>
      </c>
      <c r="M1240" s="5">
        <f>SUMPRODUCT(Exposures!$B$6:$K$6,B1240:K1240)</f>
        <v/>
      </c>
      <c r="N1240" s="5">
        <f>IF(AND($A1240&gt;=DATE(2020,2,1),$A1240&lt;=DATE(2020,5,31)),$M1240,"")</f>
        <v/>
      </c>
      <c r="O1240" s="5">
        <f>IF(AND($A1240&gt;=DATE(2022,1,1),$A1240&lt;=DATE(2022,10,31)),$M1240,"")</f>
        <v/>
      </c>
      <c r="P1240" s="5">
        <f>IF(AND($A1240&gt;=DATE(2018,10,1),$A1240&lt;=DATE(2018,12,31)),$M1240,"")</f>
        <v/>
      </c>
      <c r="Q1240" s="5">
        <f>SUMPRODUCT(Exposures!$B$8:$K$8,B1240:K1240)</f>
        <v/>
      </c>
      <c r="R1240" s="5">
        <f>SUMPRODUCT(Exposures!$B$9:$K$9,B1240:K1240)</f>
        <v/>
      </c>
      <c r="S1240" s="5">
        <f>SUMPRODUCT(Exposures!$B$10:$K$10,B1240:K1240)</f>
        <v/>
      </c>
    </row>
    <row r="1241">
      <c r="A1241" s="1" t="n">
        <v>44259</v>
      </c>
      <c r="B1241" s="5" t="n">
        <v>-0.004356664929922607</v>
      </c>
      <c r="C1241" s="5" t="n">
        <v>0.003265940136585125</v>
      </c>
      <c r="D1241" s="5" t="n">
        <v>-0.0006438063161239182</v>
      </c>
      <c r="E1241" s="5" t="n">
        <v>-0.001015020892379906</v>
      </c>
      <c r="F1241" s="5" t="n">
        <v>0.000798716888678011</v>
      </c>
      <c r="G1241" s="5" t="n">
        <v>-0.0192777747625066</v>
      </c>
      <c r="H1241" s="5" t="n">
        <v>-0.006985653965747687</v>
      </c>
      <c r="I1241" s="5" t="n">
        <v>-0.0008319298785795593</v>
      </c>
      <c r="J1241" s="5" t="n">
        <v>-0.003341549562899583</v>
      </c>
      <c r="K1241" s="5" t="n">
        <v>0.002870427125918923</v>
      </c>
      <c r="L1241" s="5" t="n">
        <v>0.004827339281700253</v>
      </c>
      <c r="M1241" s="5">
        <f>SUMPRODUCT(Exposures!$B$6:$K$6,B1241:K1241)</f>
        <v/>
      </c>
      <c r="N1241" s="5">
        <f>IF(AND($A1241&gt;=DATE(2020,2,1),$A1241&lt;=DATE(2020,5,31)),$M1241,"")</f>
        <v/>
      </c>
      <c r="O1241" s="5">
        <f>IF(AND($A1241&gt;=DATE(2022,1,1),$A1241&lt;=DATE(2022,10,31)),$M1241,"")</f>
        <v/>
      </c>
      <c r="P1241" s="5">
        <f>IF(AND($A1241&gt;=DATE(2018,10,1),$A1241&lt;=DATE(2018,12,31)),$M1241,"")</f>
        <v/>
      </c>
      <c r="Q1241" s="5">
        <f>SUMPRODUCT(Exposures!$B$8:$K$8,B1241:K1241)</f>
        <v/>
      </c>
      <c r="R1241" s="5">
        <f>SUMPRODUCT(Exposures!$B$9:$K$9,B1241:K1241)</f>
        <v/>
      </c>
      <c r="S1241" s="5">
        <f>SUMPRODUCT(Exposures!$B$10:$K$10,B1241:K1241)</f>
        <v/>
      </c>
    </row>
    <row r="1242">
      <c r="A1242" s="1" t="n">
        <v>44260</v>
      </c>
      <c r="B1242" s="5" t="n">
        <v>0.001120350833457722</v>
      </c>
      <c r="C1242" s="5" t="n">
        <v>0.002413662804132784</v>
      </c>
      <c r="D1242" s="5" t="n">
        <v>-0.001681414708320841</v>
      </c>
      <c r="E1242" s="5" t="n">
        <v>9.063275424170913e-06</v>
      </c>
      <c r="F1242" s="5" t="n">
        <v>-0.0008457577474683413</v>
      </c>
      <c r="G1242" s="5" t="n">
        <v>0.01964350814843527</v>
      </c>
      <c r="H1242" s="5" t="n">
        <v>-0.002953197030810205</v>
      </c>
      <c r="I1242" s="5" t="n">
        <v>-0.001529298092838676</v>
      </c>
      <c r="J1242" s="5" t="n">
        <v>-0.002830525295414973</v>
      </c>
      <c r="K1242" s="5" t="n">
        <v>-0.0008570373313094401</v>
      </c>
      <c r="L1242" s="5" t="n">
        <v>-0.0003056575822679661</v>
      </c>
      <c r="M1242" s="5">
        <f>SUMPRODUCT(Exposures!$B$6:$K$6,B1242:K1242)</f>
        <v/>
      </c>
      <c r="N1242" s="5">
        <f>IF(AND($A1242&gt;=DATE(2020,2,1),$A1242&lt;=DATE(2020,5,31)),$M1242,"")</f>
        <v/>
      </c>
      <c r="O1242" s="5">
        <f>IF(AND($A1242&gt;=DATE(2022,1,1),$A1242&lt;=DATE(2022,10,31)),$M1242,"")</f>
        <v/>
      </c>
      <c r="P1242" s="5">
        <f>IF(AND($A1242&gt;=DATE(2018,10,1),$A1242&lt;=DATE(2018,12,31)),$M1242,"")</f>
        <v/>
      </c>
      <c r="Q1242" s="5">
        <f>SUMPRODUCT(Exposures!$B$8:$K$8,B1242:K1242)</f>
        <v/>
      </c>
      <c r="R1242" s="5">
        <f>SUMPRODUCT(Exposures!$B$9:$K$9,B1242:K1242)</f>
        <v/>
      </c>
      <c r="S1242" s="5">
        <f>SUMPRODUCT(Exposures!$B$10:$K$10,B1242:K1242)</f>
        <v/>
      </c>
    </row>
    <row r="1243">
      <c r="A1243" s="1" t="n">
        <v>44263</v>
      </c>
      <c r="B1243" s="5" t="n">
        <v>0.002126964166126658</v>
      </c>
      <c r="C1243" s="5" t="n">
        <v>0.002541231301103208</v>
      </c>
      <c r="D1243" s="5" t="n">
        <v>0.003559142660742784</v>
      </c>
      <c r="E1243" s="5" t="n">
        <v>0.00351421803849379</v>
      </c>
      <c r="F1243" s="5" t="n">
        <v>-0.01034032687934304</v>
      </c>
      <c r="G1243" s="5" t="n">
        <v>0.00287377214902791</v>
      </c>
      <c r="H1243" s="5" t="n">
        <v>-0.01711567705301956</v>
      </c>
      <c r="I1243" s="5" t="n">
        <v>-0.0035589801993406</v>
      </c>
      <c r="J1243" s="5" t="n">
        <v>0.00158747230257103</v>
      </c>
      <c r="K1243" s="5" t="n">
        <v>0.003582581765696916</v>
      </c>
      <c r="L1243" s="5" t="n">
        <v>-0.0001280166935769261</v>
      </c>
      <c r="M1243" s="5">
        <f>SUMPRODUCT(Exposures!$B$6:$K$6,B1243:K1243)</f>
        <v/>
      </c>
      <c r="N1243" s="5">
        <f>IF(AND($A1243&gt;=DATE(2020,2,1),$A1243&lt;=DATE(2020,5,31)),$M1243,"")</f>
        <v/>
      </c>
      <c r="O1243" s="5">
        <f>IF(AND($A1243&gt;=DATE(2022,1,1),$A1243&lt;=DATE(2022,10,31)),$M1243,"")</f>
        <v/>
      </c>
      <c r="P1243" s="5">
        <f>IF(AND($A1243&gt;=DATE(2018,10,1),$A1243&lt;=DATE(2018,12,31)),$M1243,"")</f>
        <v/>
      </c>
      <c r="Q1243" s="5">
        <f>SUMPRODUCT(Exposures!$B$8:$K$8,B1243:K1243)</f>
        <v/>
      </c>
      <c r="R1243" s="5">
        <f>SUMPRODUCT(Exposures!$B$9:$K$9,B1243:K1243)</f>
        <v/>
      </c>
      <c r="S1243" s="5">
        <f>SUMPRODUCT(Exposures!$B$10:$K$10,B1243:K1243)</f>
        <v/>
      </c>
    </row>
    <row r="1244">
      <c r="A1244" s="1" t="n">
        <v>44264</v>
      </c>
      <c r="B1244" s="5" t="n">
        <v>0.0002693848338640639</v>
      </c>
      <c r="C1244" s="5" t="n">
        <v>-0.003105057105767261</v>
      </c>
      <c r="D1244" s="5" t="n">
        <v>0.01017579628893238</v>
      </c>
      <c r="E1244" s="5" t="n">
        <v>-0.002872377373229255</v>
      </c>
      <c r="F1244" s="5" t="n">
        <v>0.008671583192890358</v>
      </c>
      <c r="G1244" s="5" t="n">
        <v>0.007961788556785089</v>
      </c>
      <c r="H1244" s="5" t="n">
        <v>0.01742604560176243</v>
      </c>
      <c r="I1244" s="5" t="n">
        <v>0.001192639447645204</v>
      </c>
      <c r="J1244" s="5" t="n">
        <v>0.0003090130360377861</v>
      </c>
      <c r="K1244" s="5" t="n">
        <v>-0.004160417428314717</v>
      </c>
      <c r="L1244" s="5" t="n">
        <v>-0.001384805029628014</v>
      </c>
      <c r="M1244" s="5">
        <f>SUMPRODUCT(Exposures!$B$6:$K$6,B1244:K1244)</f>
        <v/>
      </c>
      <c r="N1244" s="5">
        <f>IF(AND($A1244&gt;=DATE(2020,2,1),$A1244&lt;=DATE(2020,5,31)),$M1244,"")</f>
        <v/>
      </c>
      <c r="O1244" s="5">
        <f>IF(AND($A1244&gt;=DATE(2022,1,1),$A1244&lt;=DATE(2022,10,31)),$M1244,"")</f>
        <v/>
      </c>
      <c r="P1244" s="5">
        <f>IF(AND($A1244&gt;=DATE(2018,10,1),$A1244&lt;=DATE(2018,12,31)),$M1244,"")</f>
        <v/>
      </c>
      <c r="Q1244" s="5">
        <f>SUMPRODUCT(Exposures!$B$8:$K$8,B1244:K1244)</f>
        <v/>
      </c>
      <c r="R1244" s="5">
        <f>SUMPRODUCT(Exposures!$B$9:$K$9,B1244:K1244)</f>
        <v/>
      </c>
      <c r="S1244" s="5">
        <f>SUMPRODUCT(Exposures!$B$10:$K$10,B1244:K1244)</f>
        <v/>
      </c>
    </row>
    <row r="1245">
      <c r="A1245" s="1" t="n">
        <v>44265</v>
      </c>
      <c r="B1245" s="5" t="n">
        <v>0.004500234900027745</v>
      </c>
      <c r="C1245" s="5" t="n">
        <v>0.001148947795376612</v>
      </c>
      <c r="D1245" s="5" t="n">
        <v>-0.005652623271705469</v>
      </c>
      <c r="E1245" s="5" t="n">
        <v>0.001414174861475783</v>
      </c>
      <c r="F1245" s="5" t="n">
        <v>0.00258646881801573</v>
      </c>
      <c r="G1245" s="5" t="n">
        <v>0.01306350200917912</v>
      </c>
      <c r="H1245" s="5" t="n">
        <v>-0.00314651084977562</v>
      </c>
      <c r="I1245" s="5" t="n">
        <v>0.001680764822099366</v>
      </c>
      <c r="J1245" s="5" t="n">
        <v>0.003266058850432536</v>
      </c>
      <c r="K1245" s="5" t="n">
        <v>-0.006192677059325736</v>
      </c>
      <c r="L1245" s="5" t="n">
        <v>-0.002061451171539069</v>
      </c>
      <c r="M1245" s="5">
        <f>SUMPRODUCT(Exposures!$B$6:$K$6,B1245:K1245)</f>
        <v/>
      </c>
      <c r="N1245" s="5">
        <f>IF(AND($A1245&gt;=DATE(2020,2,1),$A1245&lt;=DATE(2020,5,31)),$M1245,"")</f>
        <v/>
      </c>
      <c r="O1245" s="5">
        <f>IF(AND($A1245&gt;=DATE(2022,1,1),$A1245&lt;=DATE(2022,10,31)),$M1245,"")</f>
        <v/>
      </c>
      <c r="P1245" s="5">
        <f>IF(AND($A1245&gt;=DATE(2018,10,1),$A1245&lt;=DATE(2018,12,31)),$M1245,"")</f>
        <v/>
      </c>
      <c r="Q1245" s="5">
        <f>SUMPRODUCT(Exposures!$B$8:$K$8,B1245:K1245)</f>
        <v/>
      </c>
      <c r="R1245" s="5">
        <f>SUMPRODUCT(Exposures!$B$9:$K$9,B1245:K1245)</f>
        <v/>
      </c>
      <c r="S1245" s="5">
        <f>SUMPRODUCT(Exposures!$B$10:$K$10,B1245:K1245)</f>
        <v/>
      </c>
    </row>
    <row r="1246">
      <c r="A1246" s="1" t="n">
        <v>44266</v>
      </c>
      <c r="B1246" s="5" t="n">
        <v>0.002275677528636235</v>
      </c>
      <c r="C1246" s="5" t="n">
        <v>-0.002769792309920179</v>
      </c>
      <c r="D1246" s="5" t="n">
        <v>0.001711890592324998</v>
      </c>
      <c r="E1246" s="5" t="n">
        <v>-0.0008384657116390191</v>
      </c>
      <c r="F1246" s="5" t="n">
        <v>0.001574532041552308</v>
      </c>
      <c r="G1246" s="5" t="n">
        <v>0.0144295977103953</v>
      </c>
      <c r="H1246" s="5" t="n">
        <v>0.006990841506140926</v>
      </c>
      <c r="I1246" s="5" t="n">
        <v>0.002573824965900229</v>
      </c>
      <c r="J1246" s="5" t="n">
        <v>0.004216910949957145</v>
      </c>
      <c r="K1246" s="5" t="n">
        <v>-0.001480435508736591</v>
      </c>
      <c r="L1246" s="5" t="n">
        <v>-0.001051068090563922</v>
      </c>
      <c r="M1246" s="5">
        <f>SUMPRODUCT(Exposures!$B$6:$K$6,B1246:K1246)</f>
        <v/>
      </c>
      <c r="N1246" s="5">
        <f>IF(AND($A1246&gt;=DATE(2020,2,1),$A1246&lt;=DATE(2020,5,31)),$M1246,"")</f>
        <v/>
      </c>
      <c r="O1246" s="5">
        <f>IF(AND($A1246&gt;=DATE(2022,1,1),$A1246&lt;=DATE(2022,10,31)),$M1246,"")</f>
        <v/>
      </c>
      <c r="P1246" s="5">
        <f>IF(AND($A1246&gt;=DATE(2018,10,1),$A1246&lt;=DATE(2018,12,31)),$M1246,"")</f>
        <v/>
      </c>
      <c r="Q1246" s="5">
        <f>SUMPRODUCT(Exposures!$B$8:$K$8,B1246:K1246)</f>
        <v/>
      </c>
      <c r="R1246" s="5">
        <f>SUMPRODUCT(Exposures!$B$9:$K$9,B1246:K1246)</f>
        <v/>
      </c>
      <c r="S1246" s="5">
        <f>SUMPRODUCT(Exposures!$B$10:$K$10,B1246:K1246)</f>
        <v/>
      </c>
    </row>
    <row r="1247">
      <c r="A1247" s="1" t="n">
        <v>44267</v>
      </c>
      <c r="B1247" s="5" t="n">
        <v>0.002968444488593616</v>
      </c>
      <c r="C1247" s="5" t="n">
        <v>0.003157589402412143</v>
      </c>
      <c r="D1247" s="5" t="n">
        <v>-0.0004341509767676073</v>
      </c>
      <c r="E1247" s="5" t="n">
        <v>0.001641468731667015</v>
      </c>
      <c r="F1247" s="5" t="n">
        <v>0.009108377007617095</v>
      </c>
      <c r="G1247" s="5" t="n">
        <v>0.008641571310085023</v>
      </c>
      <c r="H1247" s="5" t="n">
        <v>-0.009059355248375098</v>
      </c>
      <c r="I1247" s="5" t="n">
        <v>0.000779532355494561</v>
      </c>
      <c r="J1247" s="5" t="n">
        <v>0.0007620433176920803</v>
      </c>
      <c r="K1247" s="5" t="n">
        <v>-0.01508840921993047</v>
      </c>
      <c r="L1247" s="5" t="n">
        <v>-0.004473127873448629</v>
      </c>
      <c r="M1247" s="5">
        <f>SUMPRODUCT(Exposures!$B$6:$K$6,B1247:K1247)</f>
        <v/>
      </c>
      <c r="N1247" s="5">
        <f>IF(AND($A1247&gt;=DATE(2020,2,1),$A1247&lt;=DATE(2020,5,31)),$M1247,"")</f>
        <v/>
      </c>
      <c r="O1247" s="5">
        <f>IF(AND($A1247&gt;=DATE(2022,1,1),$A1247&lt;=DATE(2022,10,31)),$M1247,"")</f>
        <v/>
      </c>
      <c r="P1247" s="5">
        <f>IF(AND($A1247&gt;=DATE(2018,10,1),$A1247&lt;=DATE(2018,12,31)),$M1247,"")</f>
        <v/>
      </c>
      <c r="Q1247" s="5">
        <f>SUMPRODUCT(Exposures!$B$8:$K$8,B1247:K1247)</f>
        <v/>
      </c>
      <c r="R1247" s="5">
        <f>SUMPRODUCT(Exposures!$B$9:$K$9,B1247:K1247)</f>
        <v/>
      </c>
      <c r="S1247" s="5">
        <f>SUMPRODUCT(Exposures!$B$10:$K$10,B1247:K1247)</f>
        <v/>
      </c>
    </row>
    <row r="1248">
      <c r="A1248" s="1" t="n">
        <v>44270</v>
      </c>
      <c r="B1248" s="5" t="n">
        <v>2.856164189109765e-06</v>
      </c>
      <c r="C1248" s="5" t="n">
        <v>-0.0008476499973092943</v>
      </c>
      <c r="D1248" s="5" t="n">
        <v>-0.003138276471257564</v>
      </c>
      <c r="E1248" s="5" t="n">
        <v>-0.001073694167356954</v>
      </c>
      <c r="F1248" s="5" t="n">
        <v>0.006419987913944633</v>
      </c>
      <c r="G1248" s="5" t="n">
        <v>0.01108835232439494</v>
      </c>
      <c r="H1248" s="5" t="n">
        <v>0.00111121324967265</v>
      </c>
      <c r="I1248" s="5" t="n">
        <v>-0.002166613903729265</v>
      </c>
      <c r="J1248" s="5" t="n">
        <v>-0.000958541327488688</v>
      </c>
      <c r="K1248" s="5" t="n">
        <v>-0.00736741205408502</v>
      </c>
      <c r="L1248" s="5" t="n">
        <v>-0.003779170260771722</v>
      </c>
      <c r="M1248" s="5">
        <f>SUMPRODUCT(Exposures!$B$6:$K$6,B1248:K1248)</f>
        <v/>
      </c>
      <c r="N1248" s="5">
        <f>IF(AND($A1248&gt;=DATE(2020,2,1),$A1248&lt;=DATE(2020,5,31)),$M1248,"")</f>
        <v/>
      </c>
      <c r="O1248" s="5">
        <f>IF(AND($A1248&gt;=DATE(2022,1,1),$A1248&lt;=DATE(2022,10,31)),$M1248,"")</f>
        <v/>
      </c>
      <c r="P1248" s="5">
        <f>IF(AND($A1248&gt;=DATE(2018,10,1),$A1248&lt;=DATE(2018,12,31)),$M1248,"")</f>
        <v/>
      </c>
      <c r="Q1248" s="5">
        <f>SUMPRODUCT(Exposures!$B$8:$K$8,B1248:K1248)</f>
        <v/>
      </c>
      <c r="R1248" s="5">
        <f>SUMPRODUCT(Exposures!$B$9:$K$9,B1248:K1248)</f>
        <v/>
      </c>
      <c r="S1248" s="5">
        <f>SUMPRODUCT(Exposures!$B$10:$K$10,B1248:K1248)</f>
        <v/>
      </c>
    </row>
    <row r="1249">
      <c r="A1249" s="1" t="n">
        <v>44271</v>
      </c>
      <c r="B1249" s="5" t="n">
        <v>-0.004276135721862856</v>
      </c>
      <c r="C1249" s="5" t="n">
        <v>-0.001298201768846801</v>
      </c>
      <c r="D1249" s="5" t="n">
        <v>0.001490452669524218</v>
      </c>
      <c r="E1249" s="5" t="n">
        <v>0.0001746997074462216</v>
      </c>
      <c r="F1249" s="5" t="n">
        <v>0.001636287432127946</v>
      </c>
      <c r="G1249" s="5" t="n">
        <v>-0.01173599363057106</v>
      </c>
      <c r="H1249" s="5" t="n">
        <v>0.002787472186292769</v>
      </c>
      <c r="I1249" s="5" t="n">
        <v>0.0035065042149946</v>
      </c>
      <c r="J1249" s="5" t="n">
        <v>-0.008414165345197299</v>
      </c>
      <c r="K1249" s="5" t="n">
        <v>-0.0008718566399462894</v>
      </c>
      <c r="L1249" s="5" t="n">
        <v>0.001511776214256742</v>
      </c>
      <c r="M1249" s="5">
        <f>SUMPRODUCT(Exposures!$B$6:$K$6,B1249:K1249)</f>
        <v/>
      </c>
      <c r="N1249" s="5">
        <f>IF(AND($A1249&gt;=DATE(2020,2,1),$A1249&lt;=DATE(2020,5,31)),$M1249,"")</f>
        <v/>
      </c>
      <c r="O1249" s="5">
        <f>IF(AND($A1249&gt;=DATE(2022,1,1),$A1249&lt;=DATE(2022,10,31)),$M1249,"")</f>
        <v/>
      </c>
      <c r="P1249" s="5">
        <f>IF(AND($A1249&gt;=DATE(2018,10,1),$A1249&lt;=DATE(2018,12,31)),$M1249,"")</f>
        <v/>
      </c>
      <c r="Q1249" s="5">
        <f>SUMPRODUCT(Exposures!$B$8:$K$8,B1249:K1249)</f>
        <v/>
      </c>
      <c r="R1249" s="5">
        <f>SUMPRODUCT(Exposures!$B$9:$K$9,B1249:K1249)</f>
        <v/>
      </c>
      <c r="S1249" s="5">
        <f>SUMPRODUCT(Exposures!$B$10:$K$10,B1249:K1249)</f>
        <v/>
      </c>
    </row>
    <row r="1250">
      <c r="A1250" s="1" t="n">
        <v>44272</v>
      </c>
      <c r="B1250" s="5" t="n">
        <v>0.002341468584409788</v>
      </c>
      <c r="C1250" s="5" t="n">
        <v>0.000128559507824537</v>
      </c>
      <c r="D1250" s="5" t="n">
        <v>-0.0006351370149377788</v>
      </c>
      <c r="E1250" s="5" t="n">
        <v>0.001898318331073977</v>
      </c>
      <c r="F1250" s="5" t="n">
        <v>0.005221651948467541</v>
      </c>
      <c r="G1250" s="5" t="n">
        <v>0.006497549967612607</v>
      </c>
      <c r="H1250" s="5" t="n">
        <v>-0.003078842979324503</v>
      </c>
      <c r="I1250" s="5" t="n">
        <v>-0.002015724886420589</v>
      </c>
      <c r="J1250" s="5" t="n">
        <v>0.005834787706047927</v>
      </c>
      <c r="K1250" s="5" t="n">
        <v>-0.003580517225288185</v>
      </c>
      <c r="L1250" s="5" t="n">
        <v>-0.000576682176056184</v>
      </c>
      <c r="M1250" s="5">
        <f>SUMPRODUCT(Exposures!$B$6:$K$6,B1250:K1250)</f>
        <v/>
      </c>
      <c r="N1250" s="5">
        <f>IF(AND($A1250&gt;=DATE(2020,2,1),$A1250&lt;=DATE(2020,5,31)),$M1250,"")</f>
        <v/>
      </c>
      <c r="O1250" s="5">
        <f>IF(AND($A1250&gt;=DATE(2022,1,1),$A1250&lt;=DATE(2022,10,31)),$M1250,"")</f>
        <v/>
      </c>
      <c r="P1250" s="5">
        <f>IF(AND($A1250&gt;=DATE(2018,10,1),$A1250&lt;=DATE(2018,12,31)),$M1250,"")</f>
        <v/>
      </c>
      <c r="Q1250" s="5">
        <f>SUMPRODUCT(Exposures!$B$8:$K$8,B1250:K1250)</f>
        <v/>
      </c>
      <c r="R1250" s="5">
        <f>SUMPRODUCT(Exposures!$B$9:$K$9,B1250:K1250)</f>
        <v/>
      </c>
      <c r="S1250" s="5">
        <f>SUMPRODUCT(Exposures!$B$10:$K$10,B1250:K1250)</f>
        <v/>
      </c>
    </row>
    <row r="1251">
      <c r="A1251" s="1" t="n">
        <v>44273</v>
      </c>
      <c r="B1251" s="5" t="n">
        <v>-0.003424709330599335</v>
      </c>
      <c r="C1251" s="5" t="n">
        <v>0.002761025014577956</v>
      </c>
      <c r="D1251" s="5" t="n">
        <v>-0.0005010430788577029</v>
      </c>
      <c r="E1251" s="5" t="n">
        <v>0.002028802795026687</v>
      </c>
      <c r="F1251" s="5" t="n">
        <v>-0.009585921174901365</v>
      </c>
      <c r="G1251" s="5" t="n">
        <v>-0.01689094485279161</v>
      </c>
      <c r="H1251" s="5" t="n">
        <v>-0.00911940345487124</v>
      </c>
      <c r="I1251" s="5" t="n">
        <v>-0.001891394586415632</v>
      </c>
      <c r="J1251" s="5" t="n">
        <v>-0.004566011939380302</v>
      </c>
      <c r="K1251" s="5" t="n">
        <v>0.01080707245830685</v>
      </c>
      <c r="L1251" s="5" t="n">
        <v>0.001405673497052112</v>
      </c>
      <c r="M1251" s="5">
        <f>SUMPRODUCT(Exposures!$B$6:$K$6,B1251:K1251)</f>
        <v/>
      </c>
      <c r="N1251" s="5">
        <f>IF(AND($A1251&gt;=DATE(2020,2,1),$A1251&lt;=DATE(2020,5,31)),$M1251,"")</f>
        <v/>
      </c>
      <c r="O1251" s="5">
        <f>IF(AND($A1251&gt;=DATE(2022,1,1),$A1251&lt;=DATE(2022,10,31)),$M1251,"")</f>
        <v/>
      </c>
      <c r="P1251" s="5">
        <f>IF(AND($A1251&gt;=DATE(2018,10,1),$A1251&lt;=DATE(2018,12,31)),$M1251,"")</f>
        <v/>
      </c>
      <c r="Q1251" s="5">
        <f>SUMPRODUCT(Exposures!$B$8:$K$8,B1251:K1251)</f>
        <v/>
      </c>
      <c r="R1251" s="5">
        <f>SUMPRODUCT(Exposures!$B$9:$K$9,B1251:K1251)</f>
        <v/>
      </c>
      <c r="S1251" s="5">
        <f>SUMPRODUCT(Exposures!$B$10:$K$10,B1251:K1251)</f>
        <v/>
      </c>
    </row>
    <row r="1252">
      <c r="A1252" s="1" t="n">
        <v>44274</v>
      </c>
      <c r="B1252" s="5" t="n">
        <v>-0.005580036561907037</v>
      </c>
      <c r="C1252" s="5" t="n">
        <v>0.0003764130825124009</v>
      </c>
      <c r="D1252" s="5" t="n">
        <v>-0.0005000926714945469</v>
      </c>
      <c r="E1252" s="5" t="n">
        <v>-0.001204483785935662</v>
      </c>
      <c r="F1252" s="5" t="n">
        <v>0.001865338924177352</v>
      </c>
      <c r="G1252" s="5" t="n">
        <v>0.003341149935450812</v>
      </c>
      <c r="H1252" s="5" t="n">
        <v>0.002878562348818608</v>
      </c>
      <c r="I1252" s="5" t="n">
        <v>0.0001543791653323993</v>
      </c>
      <c r="J1252" s="5" t="n">
        <v>0.006224889493759628</v>
      </c>
      <c r="K1252" s="5" t="n">
        <v>-0.0007147547902800768</v>
      </c>
      <c r="L1252" s="5" t="n">
        <v>-0.002467776677560375</v>
      </c>
      <c r="M1252" s="5">
        <f>SUMPRODUCT(Exposures!$B$6:$K$6,B1252:K1252)</f>
        <v/>
      </c>
      <c r="N1252" s="5">
        <f>IF(AND($A1252&gt;=DATE(2020,2,1),$A1252&lt;=DATE(2020,5,31)),$M1252,"")</f>
        <v/>
      </c>
      <c r="O1252" s="5">
        <f>IF(AND($A1252&gt;=DATE(2022,1,1),$A1252&lt;=DATE(2022,10,31)),$M1252,"")</f>
        <v/>
      </c>
      <c r="P1252" s="5">
        <f>IF(AND($A1252&gt;=DATE(2018,10,1),$A1252&lt;=DATE(2018,12,31)),$M1252,"")</f>
        <v/>
      </c>
      <c r="Q1252" s="5">
        <f>SUMPRODUCT(Exposures!$B$8:$K$8,B1252:K1252)</f>
        <v/>
      </c>
      <c r="R1252" s="5">
        <f>SUMPRODUCT(Exposures!$B$9:$K$9,B1252:K1252)</f>
        <v/>
      </c>
      <c r="S1252" s="5">
        <f>SUMPRODUCT(Exposures!$B$10:$K$10,B1252:K1252)</f>
        <v/>
      </c>
    </row>
    <row r="1253">
      <c r="A1253" s="1" t="n">
        <v>44277</v>
      </c>
      <c r="B1253" s="5" t="n">
        <v>-0.004632463297711702</v>
      </c>
      <c r="C1253" s="5" t="n">
        <v>-0.002202675308582049</v>
      </c>
      <c r="D1253" s="5" t="n">
        <v>0.003218087117830444</v>
      </c>
      <c r="E1253" s="5" t="n">
        <v>0.0006835871222708133</v>
      </c>
      <c r="F1253" s="5" t="n">
        <v>-0.005896865171532953</v>
      </c>
      <c r="G1253" s="5" t="n">
        <v>-0.003070093832310027</v>
      </c>
      <c r="H1253" s="5" t="n">
        <v>0.006325763951841815</v>
      </c>
      <c r="I1253" s="5" t="n">
        <v>0.001898201363366598</v>
      </c>
      <c r="J1253" s="5" t="n">
        <v>-0.005716818270392734</v>
      </c>
      <c r="K1253" s="5" t="n">
        <v>0.008368256650423241</v>
      </c>
      <c r="L1253" s="5" t="n">
        <v>-0.003465138975971959</v>
      </c>
      <c r="M1253" s="5">
        <f>SUMPRODUCT(Exposures!$B$6:$K$6,B1253:K1253)</f>
        <v/>
      </c>
      <c r="N1253" s="5">
        <f>IF(AND($A1253&gt;=DATE(2020,2,1),$A1253&lt;=DATE(2020,5,31)),$M1253,"")</f>
        <v/>
      </c>
      <c r="O1253" s="5">
        <f>IF(AND($A1253&gt;=DATE(2022,1,1),$A1253&lt;=DATE(2022,10,31)),$M1253,"")</f>
        <v/>
      </c>
      <c r="P1253" s="5">
        <f>IF(AND($A1253&gt;=DATE(2018,10,1),$A1253&lt;=DATE(2018,12,31)),$M1253,"")</f>
        <v/>
      </c>
      <c r="Q1253" s="5">
        <f>SUMPRODUCT(Exposures!$B$8:$K$8,B1253:K1253)</f>
        <v/>
      </c>
      <c r="R1253" s="5">
        <f>SUMPRODUCT(Exposures!$B$9:$K$9,B1253:K1253)</f>
        <v/>
      </c>
      <c r="S1253" s="5">
        <f>SUMPRODUCT(Exposures!$B$10:$K$10,B1253:K1253)</f>
        <v/>
      </c>
    </row>
    <row r="1254">
      <c r="A1254" s="1" t="n">
        <v>44278</v>
      </c>
      <c r="B1254" s="5" t="n">
        <v>-0.007348275216879699</v>
      </c>
      <c r="C1254" s="5" t="n">
        <v>0.0006527696002903036</v>
      </c>
      <c r="D1254" s="5" t="n">
        <v>0.001849562394992496</v>
      </c>
      <c r="E1254" s="5" t="n">
        <v>0.001104302779120937</v>
      </c>
      <c r="F1254" s="5" t="n">
        <v>-0.001635547488904815</v>
      </c>
      <c r="G1254" s="5" t="n">
        <v>-0.02174128583292113</v>
      </c>
      <c r="H1254" s="5" t="n">
        <v>-0.001718690235560542</v>
      </c>
      <c r="I1254" s="5" t="n">
        <v>-0.000878722744343086</v>
      </c>
      <c r="J1254" s="5" t="n">
        <v>-0.008087054301360837</v>
      </c>
      <c r="K1254" s="5" t="n">
        <v>0.007183420254941432</v>
      </c>
      <c r="L1254" s="5" t="n">
        <v>0.0007116042387021206</v>
      </c>
      <c r="M1254" s="5">
        <f>SUMPRODUCT(Exposures!$B$6:$K$6,B1254:K1254)</f>
        <v/>
      </c>
      <c r="N1254" s="5">
        <f>IF(AND($A1254&gt;=DATE(2020,2,1),$A1254&lt;=DATE(2020,5,31)),$M1254,"")</f>
        <v/>
      </c>
      <c r="O1254" s="5">
        <f>IF(AND($A1254&gt;=DATE(2022,1,1),$A1254&lt;=DATE(2022,10,31)),$M1254,"")</f>
        <v/>
      </c>
      <c r="P1254" s="5">
        <f>IF(AND($A1254&gt;=DATE(2018,10,1),$A1254&lt;=DATE(2018,12,31)),$M1254,"")</f>
        <v/>
      </c>
      <c r="Q1254" s="5">
        <f>SUMPRODUCT(Exposures!$B$8:$K$8,B1254:K1254)</f>
        <v/>
      </c>
      <c r="R1254" s="5">
        <f>SUMPRODUCT(Exposures!$B$9:$K$9,B1254:K1254)</f>
        <v/>
      </c>
      <c r="S1254" s="5">
        <f>SUMPRODUCT(Exposures!$B$10:$K$10,B1254:K1254)</f>
        <v/>
      </c>
    </row>
    <row r="1255">
      <c r="A1255" s="1" t="n">
        <v>44279</v>
      </c>
      <c r="B1255" s="5" t="n">
        <v>0.008476984480468037</v>
      </c>
      <c r="C1255" s="5" t="n">
        <v>0.0008061561275302549</v>
      </c>
      <c r="D1255" s="5" t="n">
        <v>-0.00165723513679728</v>
      </c>
      <c r="E1255" s="5" t="n">
        <v>0.0001908343744387551</v>
      </c>
      <c r="F1255" s="5" t="n">
        <v>0.006750708618108493</v>
      </c>
      <c r="G1255" s="5" t="n">
        <v>-0.01020779443915047</v>
      </c>
      <c r="H1255" s="5" t="n">
        <v>-0.008288412275344773</v>
      </c>
      <c r="I1255" s="5" t="n">
        <v>0.001229123247824179</v>
      </c>
      <c r="J1255" s="5" t="n">
        <v>-0.01552599594735491</v>
      </c>
      <c r="K1255" s="5" t="n">
        <v>-0.01036165131245558</v>
      </c>
      <c r="L1255" s="5" t="n">
        <v>-0.0007294440068316174</v>
      </c>
      <c r="M1255" s="5">
        <f>SUMPRODUCT(Exposures!$B$6:$K$6,B1255:K1255)</f>
        <v/>
      </c>
      <c r="N1255" s="5">
        <f>IF(AND($A1255&gt;=DATE(2020,2,1),$A1255&lt;=DATE(2020,5,31)),$M1255,"")</f>
        <v/>
      </c>
      <c r="O1255" s="5">
        <f>IF(AND($A1255&gt;=DATE(2022,1,1),$A1255&lt;=DATE(2022,10,31)),$M1255,"")</f>
        <v/>
      </c>
      <c r="P1255" s="5">
        <f>IF(AND($A1255&gt;=DATE(2018,10,1),$A1255&lt;=DATE(2018,12,31)),$M1255,"")</f>
        <v/>
      </c>
      <c r="Q1255" s="5">
        <f>SUMPRODUCT(Exposures!$B$8:$K$8,B1255:K1255)</f>
        <v/>
      </c>
      <c r="R1255" s="5">
        <f>SUMPRODUCT(Exposures!$B$9:$K$9,B1255:K1255)</f>
        <v/>
      </c>
      <c r="S1255" s="5">
        <f>SUMPRODUCT(Exposures!$B$10:$K$10,B1255:K1255)</f>
        <v/>
      </c>
    </row>
    <row r="1256">
      <c r="A1256" s="1" t="n">
        <v>44280</v>
      </c>
      <c r="B1256" s="5" t="n">
        <v>0.006538381236478374</v>
      </c>
      <c r="C1256" s="5" t="n">
        <v>-9.886790581252654e-05</v>
      </c>
      <c r="D1256" s="5" t="n">
        <v>0.0009803590103993807</v>
      </c>
      <c r="E1256" s="5" t="n">
        <v>0.001139024431318659</v>
      </c>
      <c r="F1256" s="5" t="n">
        <v>-0.004917308311058083</v>
      </c>
      <c r="G1256" s="5" t="n">
        <v>0.01840759086363971</v>
      </c>
      <c r="H1256" s="5" t="n">
        <v>-0.002465215638920998</v>
      </c>
      <c r="I1256" s="5" t="n">
        <v>-0.0005886167404363699</v>
      </c>
      <c r="J1256" s="5" t="n">
        <v>0.005798768380984066</v>
      </c>
      <c r="K1256" s="5" t="n">
        <v>-0.0001773187841911054</v>
      </c>
      <c r="L1256" s="5" t="n">
        <v>0.000837420491290289</v>
      </c>
      <c r="M1256" s="5">
        <f>SUMPRODUCT(Exposures!$B$6:$K$6,B1256:K1256)</f>
        <v/>
      </c>
      <c r="N1256" s="5">
        <f>IF(AND($A1256&gt;=DATE(2020,2,1),$A1256&lt;=DATE(2020,5,31)),$M1256,"")</f>
        <v/>
      </c>
      <c r="O1256" s="5">
        <f>IF(AND($A1256&gt;=DATE(2022,1,1),$A1256&lt;=DATE(2022,10,31)),$M1256,"")</f>
        <v/>
      </c>
      <c r="P1256" s="5">
        <f>IF(AND($A1256&gt;=DATE(2018,10,1),$A1256&lt;=DATE(2018,12,31)),$M1256,"")</f>
        <v/>
      </c>
      <c r="Q1256" s="5">
        <f>SUMPRODUCT(Exposures!$B$8:$K$8,B1256:K1256)</f>
        <v/>
      </c>
      <c r="R1256" s="5">
        <f>SUMPRODUCT(Exposures!$B$9:$K$9,B1256:K1256)</f>
        <v/>
      </c>
      <c r="S1256" s="5">
        <f>SUMPRODUCT(Exposures!$B$10:$K$10,B1256:K1256)</f>
        <v/>
      </c>
    </row>
    <row r="1257">
      <c r="A1257" s="1" t="n">
        <v>44281</v>
      </c>
      <c r="B1257" s="5" t="n">
        <v>0.006600281065633954</v>
      </c>
      <c r="C1257" s="5" t="n">
        <v>-0.00207557868236634</v>
      </c>
      <c r="D1257" s="5" t="n">
        <v>-0.0006055811242448013</v>
      </c>
      <c r="E1257" s="5" t="n">
        <v>0.0007595076854056362</v>
      </c>
      <c r="F1257" s="5" t="n">
        <v>0.0003265235983513646</v>
      </c>
      <c r="G1257" s="5" t="n">
        <v>0.01880272460730155</v>
      </c>
      <c r="H1257" s="5" t="n">
        <v>0.002118037440063581</v>
      </c>
      <c r="I1257" s="5" t="n">
        <v>0.001679165634201322</v>
      </c>
      <c r="J1257" s="5" t="n">
        <v>-0.008113032470215937</v>
      </c>
      <c r="K1257" s="5" t="n">
        <v>-0.004115847484502861</v>
      </c>
      <c r="L1257" s="5" t="n">
        <v>-0.002706383633378221</v>
      </c>
      <c r="M1257" s="5">
        <f>SUMPRODUCT(Exposures!$B$6:$K$6,B1257:K1257)</f>
        <v/>
      </c>
      <c r="N1257" s="5">
        <f>IF(AND($A1257&gt;=DATE(2020,2,1),$A1257&lt;=DATE(2020,5,31)),$M1257,"")</f>
        <v/>
      </c>
      <c r="O1257" s="5">
        <f>IF(AND($A1257&gt;=DATE(2022,1,1),$A1257&lt;=DATE(2022,10,31)),$M1257,"")</f>
        <v/>
      </c>
      <c r="P1257" s="5">
        <f>IF(AND($A1257&gt;=DATE(2018,10,1),$A1257&lt;=DATE(2018,12,31)),$M1257,"")</f>
        <v/>
      </c>
      <c r="Q1257" s="5">
        <f>SUMPRODUCT(Exposures!$B$8:$K$8,B1257:K1257)</f>
        <v/>
      </c>
      <c r="R1257" s="5">
        <f>SUMPRODUCT(Exposures!$B$9:$K$9,B1257:K1257)</f>
        <v/>
      </c>
      <c r="S1257" s="5">
        <f>SUMPRODUCT(Exposures!$B$10:$K$10,B1257:K1257)</f>
        <v/>
      </c>
    </row>
    <row r="1258">
      <c r="A1258" s="1" t="n">
        <v>44284</v>
      </c>
      <c r="B1258" s="5" t="n">
        <v>-0.006662231395894665</v>
      </c>
      <c r="C1258" s="5" t="n">
        <v>0.001742630790767433</v>
      </c>
      <c r="D1258" s="5" t="n">
        <v>-0.001515155499834778</v>
      </c>
      <c r="E1258" s="5" t="n">
        <v>-0.0004078470188992781</v>
      </c>
      <c r="F1258" s="5" t="n">
        <v>0.007332004282633504</v>
      </c>
      <c r="G1258" s="5" t="n">
        <v>-0.01286162945243969</v>
      </c>
      <c r="H1258" s="5" t="n">
        <v>-0.007590144379924333</v>
      </c>
      <c r="I1258" s="5" t="n">
        <v>-2.827140730722252e-05</v>
      </c>
      <c r="J1258" s="5" t="n">
        <v>-0.005821787919007832</v>
      </c>
      <c r="K1258" s="5" t="n">
        <v>-0.001199519938955458</v>
      </c>
      <c r="L1258" s="5" t="n">
        <v>-0.001519351073776753</v>
      </c>
      <c r="M1258" s="5">
        <f>SUMPRODUCT(Exposures!$B$6:$K$6,B1258:K1258)</f>
        <v/>
      </c>
      <c r="N1258" s="5">
        <f>IF(AND($A1258&gt;=DATE(2020,2,1),$A1258&lt;=DATE(2020,5,31)),$M1258,"")</f>
        <v/>
      </c>
      <c r="O1258" s="5">
        <f>IF(AND($A1258&gt;=DATE(2022,1,1),$A1258&lt;=DATE(2022,10,31)),$M1258,"")</f>
        <v/>
      </c>
      <c r="P1258" s="5">
        <f>IF(AND($A1258&gt;=DATE(2018,10,1),$A1258&lt;=DATE(2018,12,31)),$M1258,"")</f>
        <v/>
      </c>
      <c r="Q1258" s="5">
        <f>SUMPRODUCT(Exposures!$B$8:$K$8,B1258:K1258)</f>
        <v/>
      </c>
      <c r="R1258" s="5">
        <f>SUMPRODUCT(Exposures!$B$9:$K$9,B1258:K1258)</f>
        <v/>
      </c>
      <c r="S1258" s="5">
        <f>SUMPRODUCT(Exposures!$B$10:$K$10,B1258:K1258)</f>
        <v/>
      </c>
    </row>
    <row r="1259">
      <c r="A1259" s="1" t="n">
        <v>44285</v>
      </c>
      <c r="B1259" s="5" t="n">
        <v>0.006072089232798552</v>
      </c>
      <c r="C1259" s="5" t="n">
        <v>-0.0009659235032190204</v>
      </c>
      <c r="D1259" s="5" t="n">
        <v>0.0001998977881203826</v>
      </c>
      <c r="E1259" s="5" t="n">
        <v>-0.000139072278500007</v>
      </c>
      <c r="F1259" s="5" t="n">
        <v>-0.003380121917627013</v>
      </c>
      <c r="G1259" s="5" t="n">
        <v>0.00766074443370839</v>
      </c>
      <c r="H1259" s="5" t="n">
        <v>0.0005616758470283168</v>
      </c>
      <c r="I1259" s="5" t="n">
        <v>-0.001697854682445189</v>
      </c>
      <c r="J1259" s="5" t="n">
        <v>0.007719657300971627</v>
      </c>
      <c r="K1259" s="5" t="n">
        <v>0.0004966729942161106</v>
      </c>
      <c r="L1259" s="5" t="n">
        <v>0.001867192140852863</v>
      </c>
      <c r="M1259" s="5">
        <f>SUMPRODUCT(Exposures!$B$6:$K$6,B1259:K1259)</f>
        <v/>
      </c>
      <c r="N1259" s="5">
        <f>IF(AND($A1259&gt;=DATE(2020,2,1),$A1259&lt;=DATE(2020,5,31)),$M1259,"")</f>
        <v/>
      </c>
      <c r="O1259" s="5">
        <f>IF(AND($A1259&gt;=DATE(2022,1,1),$A1259&lt;=DATE(2022,10,31)),$M1259,"")</f>
        <v/>
      </c>
      <c r="P1259" s="5">
        <f>IF(AND($A1259&gt;=DATE(2018,10,1),$A1259&lt;=DATE(2018,12,31)),$M1259,"")</f>
        <v/>
      </c>
      <c r="Q1259" s="5">
        <f>SUMPRODUCT(Exposures!$B$8:$K$8,B1259:K1259)</f>
        <v/>
      </c>
      <c r="R1259" s="5">
        <f>SUMPRODUCT(Exposures!$B$9:$K$9,B1259:K1259)</f>
        <v/>
      </c>
      <c r="S1259" s="5">
        <f>SUMPRODUCT(Exposures!$B$10:$K$10,B1259:K1259)</f>
        <v/>
      </c>
    </row>
    <row r="1260">
      <c r="A1260" s="1" t="n">
        <v>44286</v>
      </c>
      <c r="B1260" s="5" t="n">
        <v>0.00120526223231527</v>
      </c>
      <c r="C1260" s="5" t="n">
        <v>-0.003183858950797097</v>
      </c>
      <c r="D1260" s="5" t="n">
        <v>0.003619457555145152</v>
      </c>
      <c r="E1260" s="5" t="n">
        <v>-0.002633230528674644</v>
      </c>
      <c r="F1260" s="5" t="n">
        <v>-0.001553992111280966</v>
      </c>
      <c r="G1260" s="5" t="n">
        <v>0.00541279434939733</v>
      </c>
      <c r="H1260" s="5" t="n">
        <v>0.008737285810563404</v>
      </c>
      <c r="I1260" s="5" t="n">
        <v>0.002289028770151549</v>
      </c>
      <c r="J1260" s="5" t="n">
        <v>-0.000633715175426983</v>
      </c>
      <c r="K1260" s="5" t="n">
        <v>-0.001361486954265371</v>
      </c>
      <c r="L1260" s="5" t="n">
        <v>-0.002198439465892126</v>
      </c>
      <c r="M1260" s="5">
        <f>SUMPRODUCT(Exposures!$B$6:$K$6,B1260:K1260)</f>
        <v/>
      </c>
      <c r="N1260" s="5">
        <f>IF(AND($A1260&gt;=DATE(2020,2,1),$A1260&lt;=DATE(2020,5,31)),$M1260,"")</f>
        <v/>
      </c>
      <c r="O1260" s="5">
        <f>IF(AND($A1260&gt;=DATE(2022,1,1),$A1260&lt;=DATE(2022,10,31)),$M1260,"")</f>
        <v/>
      </c>
      <c r="P1260" s="5">
        <f>IF(AND($A1260&gt;=DATE(2018,10,1),$A1260&lt;=DATE(2018,12,31)),$M1260,"")</f>
        <v/>
      </c>
      <c r="Q1260" s="5">
        <f>SUMPRODUCT(Exposures!$B$8:$K$8,B1260:K1260)</f>
        <v/>
      </c>
      <c r="R1260" s="5">
        <f>SUMPRODUCT(Exposures!$B$9:$K$9,B1260:K1260)</f>
        <v/>
      </c>
      <c r="S1260" s="5">
        <f>SUMPRODUCT(Exposures!$B$10:$K$10,B1260:K1260)</f>
        <v/>
      </c>
    </row>
    <row r="1261">
      <c r="A1261" s="1" t="n">
        <v>44287</v>
      </c>
      <c r="B1261" s="5" t="n">
        <v>0.007608562724579412</v>
      </c>
      <c r="C1261" s="5" t="n">
        <v>0.000185173910905777</v>
      </c>
      <c r="D1261" s="5" t="n">
        <v>-0.00397875600313722</v>
      </c>
      <c r="E1261" s="5" t="n">
        <v>0.0001342183379843773</v>
      </c>
      <c r="F1261" s="5" t="n">
        <v>0.005637743699536487</v>
      </c>
      <c r="G1261" s="5" t="n">
        <v>0.01311825477030243</v>
      </c>
      <c r="H1261" s="5" t="n">
        <v>-0.0004835838302371374</v>
      </c>
      <c r="I1261" s="5" t="n">
        <v>0.0004771209805208051</v>
      </c>
      <c r="J1261" s="5" t="n">
        <v>-0.004025582369143733</v>
      </c>
      <c r="K1261" s="5" t="n">
        <v>-0.009989419674574089</v>
      </c>
      <c r="L1261" s="5" t="n">
        <v>-0.0008856580915323698</v>
      </c>
      <c r="M1261" s="5">
        <f>SUMPRODUCT(Exposures!$B$6:$K$6,B1261:K1261)</f>
        <v/>
      </c>
      <c r="N1261" s="5">
        <f>IF(AND($A1261&gt;=DATE(2020,2,1),$A1261&lt;=DATE(2020,5,31)),$M1261,"")</f>
        <v/>
      </c>
      <c r="O1261" s="5">
        <f>IF(AND($A1261&gt;=DATE(2022,1,1),$A1261&lt;=DATE(2022,10,31)),$M1261,"")</f>
        <v/>
      </c>
      <c r="P1261" s="5">
        <f>IF(AND($A1261&gt;=DATE(2018,10,1),$A1261&lt;=DATE(2018,12,31)),$M1261,"")</f>
        <v/>
      </c>
      <c r="Q1261" s="5">
        <f>SUMPRODUCT(Exposures!$B$8:$K$8,B1261:K1261)</f>
        <v/>
      </c>
      <c r="R1261" s="5">
        <f>SUMPRODUCT(Exposures!$B$9:$K$9,B1261:K1261)</f>
        <v/>
      </c>
      <c r="S1261" s="5">
        <f>SUMPRODUCT(Exposures!$B$10:$K$10,B1261:K1261)</f>
        <v/>
      </c>
    </row>
    <row r="1262">
      <c r="A1262" s="1" t="n">
        <v>44291</v>
      </c>
      <c r="B1262" s="5" t="n">
        <v>0.003845593541458973</v>
      </c>
      <c r="C1262" s="5" t="n">
        <v>-0.0006281095136566144</v>
      </c>
      <c r="D1262" s="5" t="n">
        <v>0.0006470384369977362</v>
      </c>
      <c r="E1262" s="5" t="n">
        <v>0.001728378601881758</v>
      </c>
      <c r="F1262" s="5" t="n">
        <v>0.004851814885840247</v>
      </c>
      <c r="G1262" s="5" t="n">
        <v>0.008801271696884501</v>
      </c>
      <c r="H1262" s="5" t="n">
        <v>-0.00162177233809087</v>
      </c>
      <c r="I1262" s="5" t="n">
        <v>-0.0001400087569467045</v>
      </c>
      <c r="J1262" s="5" t="n">
        <v>-0.003927089599654143</v>
      </c>
      <c r="K1262" s="5" t="n">
        <v>-0.005559488826151521</v>
      </c>
      <c r="L1262" s="5" t="n">
        <v>-0.00124878910108255</v>
      </c>
      <c r="M1262" s="5">
        <f>SUMPRODUCT(Exposures!$B$6:$K$6,B1262:K1262)</f>
        <v/>
      </c>
      <c r="N1262" s="5">
        <f>IF(AND($A1262&gt;=DATE(2020,2,1),$A1262&lt;=DATE(2020,5,31)),$M1262,"")</f>
        <v/>
      </c>
      <c r="O1262" s="5">
        <f>IF(AND($A1262&gt;=DATE(2022,1,1),$A1262&lt;=DATE(2022,10,31)),$M1262,"")</f>
        <v/>
      </c>
      <c r="P1262" s="5">
        <f>IF(AND($A1262&gt;=DATE(2018,10,1),$A1262&lt;=DATE(2018,12,31)),$M1262,"")</f>
        <v/>
      </c>
      <c r="Q1262" s="5">
        <f>SUMPRODUCT(Exposures!$B$8:$K$8,B1262:K1262)</f>
        <v/>
      </c>
      <c r="R1262" s="5">
        <f>SUMPRODUCT(Exposures!$B$9:$K$9,B1262:K1262)</f>
        <v/>
      </c>
      <c r="S1262" s="5">
        <f>SUMPRODUCT(Exposures!$B$10:$K$10,B1262:K1262)</f>
        <v/>
      </c>
    </row>
    <row r="1263">
      <c r="A1263" s="1" t="n">
        <v>44292</v>
      </c>
      <c r="B1263" s="5" t="n">
        <v>-0.00313485034389989</v>
      </c>
      <c r="C1263" s="5" t="n">
        <v>0.001544941903328006</v>
      </c>
      <c r="D1263" s="5" t="n">
        <v>-0.001951112747557139</v>
      </c>
      <c r="E1263" s="5" t="n">
        <v>-0.0005102348978692664</v>
      </c>
      <c r="F1263" s="5" t="n">
        <v>-0.0001698242711800785</v>
      </c>
      <c r="G1263" s="5" t="n">
        <v>-0.0006622327070085722</v>
      </c>
      <c r="H1263" s="5" t="n">
        <v>0.005268662830630528</v>
      </c>
      <c r="I1263" s="5" t="n">
        <v>-0.003147989679023654</v>
      </c>
      <c r="J1263" s="5" t="n">
        <v>0.002433505901009053</v>
      </c>
      <c r="K1263" s="5" t="n">
        <v>0.003710196979726409</v>
      </c>
      <c r="L1263" s="5" t="n">
        <v>-1.104213814417498e-05</v>
      </c>
      <c r="M1263" s="5">
        <f>SUMPRODUCT(Exposures!$B$6:$K$6,B1263:K1263)</f>
        <v/>
      </c>
      <c r="N1263" s="5">
        <f>IF(AND($A1263&gt;=DATE(2020,2,1),$A1263&lt;=DATE(2020,5,31)),$M1263,"")</f>
        <v/>
      </c>
      <c r="O1263" s="5">
        <f>IF(AND($A1263&gt;=DATE(2022,1,1),$A1263&lt;=DATE(2022,10,31)),$M1263,"")</f>
        <v/>
      </c>
      <c r="P1263" s="5">
        <f>IF(AND($A1263&gt;=DATE(2018,10,1),$A1263&lt;=DATE(2018,12,31)),$M1263,"")</f>
        <v/>
      </c>
      <c r="Q1263" s="5">
        <f>SUMPRODUCT(Exposures!$B$8:$K$8,B1263:K1263)</f>
        <v/>
      </c>
      <c r="R1263" s="5">
        <f>SUMPRODUCT(Exposures!$B$9:$K$9,B1263:K1263)</f>
        <v/>
      </c>
      <c r="S1263" s="5">
        <f>SUMPRODUCT(Exposures!$B$10:$K$10,B1263:K1263)</f>
        <v/>
      </c>
    </row>
    <row r="1264">
      <c r="A1264" s="1" t="n">
        <v>44293</v>
      </c>
      <c r="B1264" s="5" t="n">
        <v>-0.002214499539778709</v>
      </c>
      <c r="C1264" s="5" t="n">
        <v>-9.233334805547227e-05</v>
      </c>
      <c r="D1264" s="5" t="n">
        <v>-0.0008694382173361141</v>
      </c>
      <c r="E1264" s="5" t="n">
        <v>0.0008401658160238897</v>
      </c>
      <c r="F1264" s="5" t="n">
        <v>0.006701516450945473</v>
      </c>
      <c r="G1264" s="5" t="n">
        <v>-0.004272439027623439</v>
      </c>
      <c r="H1264" s="5" t="n">
        <v>0.003066739150904394</v>
      </c>
      <c r="I1264" s="5" t="n">
        <v>0.002188528486898686</v>
      </c>
      <c r="J1264" s="5" t="n">
        <v>-0.001352399383635145</v>
      </c>
      <c r="K1264" s="5" t="n">
        <v>-0.005253721539459039</v>
      </c>
      <c r="L1264" s="5" t="n">
        <v>0.001591663155654139</v>
      </c>
      <c r="M1264" s="5">
        <f>SUMPRODUCT(Exposures!$B$6:$K$6,B1264:K1264)</f>
        <v/>
      </c>
      <c r="N1264" s="5">
        <f>IF(AND($A1264&gt;=DATE(2020,2,1),$A1264&lt;=DATE(2020,5,31)),$M1264,"")</f>
        <v/>
      </c>
      <c r="O1264" s="5">
        <f>IF(AND($A1264&gt;=DATE(2022,1,1),$A1264&lt;=DATE(2022,10,31)),$M1264,"")</f>
        <v/>
      </c>
      <c r="P1264" s="5">
        <f>IF(AND($A1264&gt;=DATE(2018,10,1),$A1264&lt;=DATE(2018,12,31)),$M1264,"")</f>
        <v/>
      </c>
      <c r="Q1264" s="5">
        <f>SUMPRODUCT(Exposures!$B$8:$K$8,B1264:K1264)</f>
        <v/>
      </c>
      <c r="R1264" s="5">
        <f>SUMPRODUCT(Exposures!$B$9:$K$9,B1264:K1264)</f>
        <v/>
      </c>
      <c r="S1264" s="5">
        <f>SUMPRODUCT(Exposures!$B$10:$K$10,B1264:K1264)</f>
        <v/>
      </c>
    </row>
    <row r="1265">
      <c r="A1265" s="1" t="n">
        <v>44294</v>
      </c>
      <c r="B1265" s="5" t="n">
        <v>-4.90529360697721e-05</v>
      </c>
      <c r="C1265" s="5" t="n">
        <v>-0.0008806857598800579</v>
      </c>
      <c r="D1265" s="5" t="n">
        <v>-0.001712460394676883</v>
      </c>
      <c r="E1265" s="5" t="n">
        <v>-0.003017360331128774</v>
      </c>
      <c r="F1265" s="5" t="n">
        <v>-5.700008068831346e-05</v>
      </c>
      <c r="G1265" s="5" t="n">
        <v>0.003744716890924001</v>
      </c>
      <c r="H1265" s="5" t="n">
        <v>0.007948522323217157</v>
      </c>
      <c r="I1265" s="5" t="n">
        <v>-0.0001093434038589904</v>
      </c>
      <c r="J1265" s="5" t="n">
        <v>-0.001433096755860595</v>
      </c>
      <c r="K1265" s="5" t="n">
        <v>0.002192983537242853</v>
      </c>
      <c r="L1265" s="5" t="n">
        <v>-0.001001115844589868</v>
      </c>
      <c r="M1265" s="5">
        <f>SUMPRODUCT(Exposures!$B$6:$K$6,B1265:K1265)</f>
        <v/>
      </c>
      <c r="N1265" s="5">
        <f>IF(AND($A1265&gt;=DATE(2020,2,1),$A1265&lt;=DATE(2020,5,31)),$M1265,"")</f>
        <v/>
      </c>
      <c r="O1265" s="5">
        <f>IF(AND($A1265&gt;=DATE(2022,1,1),$A1265&lt;=DATE(2022,10,31)),$M1265,"")</f>
        <v/>
      </c>
      <c r="P1265" s="5">
        <f>IF(AND($A1265&gt;=DATE(2018,10,1),$A1265&lt;=DATE(2018,12,31)),$M1265,"")</f>
        <v/>
      </c>
      <c r="Q1265" s="5">
        <f>SUMPRODUCT(Exposures!$B$8:$K$8,B1265:K1265)</f>
        <v/>
      </c>
      <c r="R1265" s="5">
        <f>SUMPRODUCT(Exposures!$B$9:$K$9,B1265:K1265)</f>
        <v/>
      </c>
      <c r="S1265" s="5">
        <f>SUMPRODUCT(Exposures!$B$10:$K$10,B1265:K1265)</f>
        <v/>
      </c>
    </row>
    <row r="1266">
      <c r="A1266" s="1" t="n">
        <v>44295</v>
      </c>
      <c r="B1266" s="5" t="n">
        <v>0.0008043593973260901</v>
      </c>
      <c r="C1266" s="5" t="n">
        <v>-0.0006874082971177367</v>
      </c>
      <c r="D1266" s="5" t="n">
        <v>0.003011239338525941</v>
      </c>
      <c r="E1266" s="5" t="n">
        <v>0.0009603104314507964</v>
      </c>
      <c r="F1266" s="5" t="n">
        <v>-0.001508791348188677</v>
      </c>
      <c r="G1266" s="5" t="n">
        <v>0.004442970134600699</v>
      </c>
      <c r="H1266" s="5" t="n">
        <v>0.003909456414401873</v>
      </c>
      <c r="I1266" s="5" t="n">
        <v>0.0005240600154517203</v>
      </c>
      <c r="J1266" s="5" t="n">
        <v>-0.00621657488468555</v>
      </c>
      <c r="K1266" s="5" t="n">
        <v>0.0006484901023291661</v>
      </c>
      <c r="L1266" s="5" t="n">
        <v>0.0009186376824067856</v>
      </c>
      <c r="M1266" s="5">
        <f>SUMPRODUCT(Exposures!$B$6:$K$6,B1266:K1266)</f>
        <v/>
      </c>
      <c r="N1266" s="5">
        <f>IF(AND($A1266&gt;=DATE(2020,2,1),$A1266&lt;=DATE(2020,5,31)),$M1266,"")</f>
        <v/>
      </c>
      <c r="O1266" s="5">
        <f>IF(AND($A1266&gt;=DATE(2022,1,1),$A1266&lt;=DATE(2022,10,31)),$M1266,"")</f>
        <v/>
      </c>
      <c r="P1266" s="5">
        <f>IF(AND($A1266&gt;=DATE(2018,10,1),$A1266&lt;=DATE(2018,12,31)),$M1266,"")</f>
        <v/>
      </c>
      <c r="Q1266" s="5">
        <f>SUMPRODUCT(Exposures!$B$8:$K$8,B1266:K1266)</f>
        <v/>
      </c>
      <c r="R1266" s="5">
        <f>SUMPRODUCT(Exposures!$B$9:$K$9,B1266:K1266)</f>
        <v/>
      </c>
      <c r="S1266" s="5">
        <f>SUMPRODUCT(Exposures!$B$10:$K$10,B1266:K1266)</f>
        <v/>
      </c>
    </row>
    <row r="1267">
      <c r="A1267" s="1" t="n">
        <v>44298</v>
      </c>
      <c r="B1267" s="5" t="n">
        <v>-0.004913858683244012</v>
      </c>
      <c r="C1267" s="5" t="n">
        <v>0.001263831348486183</v>
      </c>
      <c r="D1267" s="5" t="n">
        <v>-0.001425591982223627</v>
      </c>
      <c r="E1267" s="5" t="n">
        <v>0.0006844964476021354</v>
      </c>
      <c r="F1267" s="5" t="n">
        <v>-0.00716355760525419</v>
      </c>
      <c r="G1267" s="5" t="n">
        <v>0.0003979487965071815</v>
      </c>
      <c r="H1267" s="5" t="n">
        <v>0.004005280415042399</v>
      </c>
      <c r="I1267" s="5" t="n">
        <v>-0.006590027229183467</v>
      </c>
      <c r="J1267" s="5" t="n">
        <v>0.0001575712408279232</v>
      </c>
      <c r="K1267" s="5" t="n">
        <v>0.01306421234184858</v>
      </c>
      <c r="L1267" s="5" t="n">
        <v>0.003310005385339052</v>
      </c>
      <c r="M1267" s="5">
        <f>SUMPRODUCT(Exposures!$B$6:$K$6,B1267:K1267)</f>
        <v/>
      </c>
      <c r="N1267" s="5">
        <f>IF(AND($A1267&gt;=DATE(2020,2,1),$A1267&lt;=DATE(2020,5,31)),$M1267,"")</f>
        <v/>
      </c>
      <c r="O1267" s="5">
        <f>IF(AND($A1267&gt;=DATE(2022,1,1),$A1267&lt;=DATE(2022,10,31)),$M1267,"")</f>
        <v/>
      </c>
      <c r="P1267" s="5">
        <f>IF(AND($A1267&gt;=DATE(2018,10,1),$A1267&lt;=DATE(2018,12,31)),$M1267,"")</f>
        <v/>
      </c>
      <c r="Q1267" s="5">
        <f>SUMPRODUCT(Exposures!$B$8:$K$8,B1267:K1267)</f>
        <v/>
      </c>
      <c r="R1267" s="5">
        <f>SUMPRODUCT(Exposures!$B$9:$K$9,B1267:K1267)</f>
        <v/>
      </c>
      <c r="S1267" s="5">
        <f>SUMPRODUCT(Exposures!$B$10:$K$10,B1267:K1267)</f>
        <v/>
      </c>
    </row>
    <row r="1268">
      <c r="A1268" s="1" t="n">
        <v>44299</v>
      </c>
      <c r="B1268" s="5" t="n">
        <v>-0.007339840843257027</v>
      </c>
      <c r="C1268" s="5" t="n">
        <v>-0.002722104987595488</v>
      </c>
      <c r="D1268" s="5" t="n">
        <v>-0.0007098666248147959</v>
      </c>
      <c r="E1268" s="5" t="n">
        <v>-0.00158322812242478</v>
      </c>
      <c r="F1268" s="5" t="n">
        <v>0.0004773457108072773</v>
      </c>
      <c r="G1268" s="5" t="n">
        <v>0.0002150101722950002</v>
      </c>
      <c r="H1268" s="5" t="n">
        <v>0.005851253822159242</v>
      </c>
      <c r="I1268" s="5" t="n">
        <v>0.001581108255899063</v>
      </c>
      <c r="J1268" s="5" t="n">
        <v>-0.0003404411872493362</v>
      </c>
      <c r="K1268" s="5" t="n">
        <v>0.001428032961052725</v>
      </c>
      <c r="L1268" s="5" t="n">
        <v>-0.0007078196532337282</v>
      </c>
      <c r="M1268" s="5">
        <f>SUMPRODUCT(Exposures!$B$6:$K$6,B1268:K1268)</f>
        <v/>
      </c>
      <c r="N1268" s="5">
        <f>IF(AND($A1268&gt;=DATE(2020,2,1),$A1268&lt;=DATE(2020,5,31)),$M1268,"")</f>
        <v/>
      </c>
      <c r="O1268" s="5">
        <f>IF(AND($A1268&gt;=DATE(2022,1,1),$A1268&lt;=DATE(2022,10,31)),$M1268,"")</f>
        <v/>
      </c>
      <c r="P1268" s="5">
        <f>IF(AND($A1268&gt;=DATE(2018,10,1),$A1268&lt;=DATE(2018,12,31)),$M1268,"")</f>
        <v/>
      </c>
      <c r="Q1268" s="5">
        <f>SUMPRODUCT(Exposures!$B$8:$K$8,B1268:K1268)</f>
        <v/>
      </c>
      <c r="R1268" s="5">
        <f>SUMPRODUCT(Exposures!$B$9:$K$9,B1268:K1268)</f>
        <v/>
      </c>
      <c r="S1268" s="5">
        <f>SUMPRODUCT(Exposures!$B$10:$K$10,B1268:K1268)</f>
        <v/>
      </c>
    </row>
    <row r="1269">
      <c r="A1269" s="1" t="n">
        <v>44300</v>
      </c>
      <c r="B1269" s="5" t="n">
        <v>0.001800537256870452</v>
      </c>
      <c r="C1269" s="5" t="n">
        <v>0.0005600789559769401</v>
      </c>
      <c r="D1269" s="5" t="n">
        <v>0.0006449526905007049</v>
      </c>
      <c r="E1269" s="5" t="n">
        <v>0.001348922065916649</v>
      </c>
      <c r="F1269" s="5" t="n">
        <v>-0.006796902283502001</v>
      </c>
      <c r="G1269" s="5" t="n">
        <v>0.004552374024817531</v>
      </c>
      <c r="H1269" s="5" t="n">
        <v>-0.0003328376334345213</v>
      </c>
      <c r="I1269" s="5" t="n">
        <v>-0.0006660436828220251</v>
      </c>
      <c r="J1269" s="5" t="n">
        <v>0.002745360274374443</v>
      </c>
      <c r="K1269" s="5" t="n">
        <v>0.004471155224006798</v>
      </c>
      <c r="L1269" s="5" t="n">
        <v>0.003567379222408791</v>
      </c>
      <c r="M1269" s="5">
        <f>SUMPRODUCT(Exposures!$B$6:$K$6,B1269:K1269)</f>
        <v/>
      </c>
      <c r="N1269" s="5">
        <f>IF(AND($A1269&gt;=DATE(2020,2,1),$A1269&lt;=DATE(2020,5,31)),$M1269,"")</f>
        <v/>
      </c>
      <c r="O1269" s="5">
        <f>IF(AND($A1269&gt;=DATE(2022,1,1),$A1269&lt;=DATE(2022,10,31)),$M1269,"")</f>
        <v/>
      </c>
      <c r="P1269" s="5">
        <f>IF(AND($A1269&gt;=DATE(2018,10,1),$A1269&lt;=DATE(2018,12,31)),$M1269,"")</f>
        <v/>
      </c>
      <c r="Q1269" s="5">
        <f>SUMPRODUCT(Exposures!$B$8:$K$8,B1269:K1269)</f>
        <v/>
      </c>
      <c r="R1269" s="5">
        <f>SUMPRODUCT(Exposures!$B$9:$K$9,B1269:K1269)</f>
        <v/>
      </c>
      <c r="S1269" s="5">
        <f>SUMPRODUCT(Exposures!$B$10:$K$10,B1269:K1269)</f>
        <v/>
      </c>
    </row>
    <row r="1270">
      <c r="A1270" s="1" t="n">
        <v>44301</v>
      </c>
      <c r="B1270" s="5" t="n">
        <v>-0.003009980011026397</v>
      </c>
      <c r="C1270" s="5" t="n">
        <v>-0.0006832861565605758</v>
      </c>
      <c r="D1270" s="5" t="n">
        <v>0.0009064740340243337</v>
      </c>
      <c r="E1270" s="5" t="n">
        <v>-0.0009534478876754896</v>
      </c>
      <c r="F1270" s="5" t="n">
        <v>0.001510780547747386</v>
      </c>
      <c r="G1270" s="5" t="n">
        <v>0.008911264458835</v>
      </c>
      <c r="H1270" s="5" t="n">
        <v>0.001284456822414352</v>
      </c>
      <c r="I1270" s="5" t="n">
        <v>0.001039348140715024</v>
      </c>
      <c r="J1270" s="5" t="n">
        <v>-0.001246433190940141</v>
      </c>
      <c r="K1270" s="5" t="n">
        <v>-0.0020734562279198</v>
      </c>
      <c r="L1270" s="5" t="n">
        <v>-0.00482246322817552</v>
      </c>
      <c r="M1270" s="5">
        <f>SUMPRODUCT(Exposures!$B$6:$K$6,B1270:K1270)</f>
        <v/>
      </c>
      <c r="N1270" s="5">
        <f>IF(AND($A1270&gt;=DATE(2020,2,1),$A1270&lt;=DATE(2020,5,31)),$M1270,"")</f>
        <v/>
      </c>
      <c r="O1270" s="5">
        <f>IF(AND($A1270&gt;=DATE(2022,1,1),$A1270&lt;=DATE(2022,10,31)),$M1270,"")</f>
        <v/>
      </c>
      <c r="P1270" s="5">
        <f>IF(AND($A1270&gt;=DATE(2018,10,1),$A1270&lt;=DATE(2018,12,31)),$M1270,"")</f>
        <v/>
      </c>
      <c r="Q1270" s="5">
        <f>SUMPRODUCT(Exposures!$B$8:$K$8,B1270:K1270)</f>
        <v/>
      </c>
      <c r="R1270" s="5">
        <f>SUMPRODUCT(Exposures!$B$9:$K$9,B1270:K1270)</f>
        <v/>
      </c>
      <c r="S1270" s="5">
        <f>SUMPRODUCT(Exposures!$B$10:$K$10,B1270:K1270)</f>
        <v/>
      </c>
    </row>
    <row r="1271">
      <c r="A1271" s="1" t="n">
        <v>44302</v>
      </c>
      <c r="B1271" s="5" t="n">
        <v>-0.001330489404405803</v>
      </c>
      <c r="C1271" s="5" t="n">
        <v>-0.002132211335112807</v>
      </c>
      <c r="D1271" s="5" t="n">
        <v>0.001429184238539841</v>
      </c>
      <c r="E1271" s="5" t="n">
        <v>0.0007638571646255469</v>
      </c>
      <c r="F1271" s="5" t="n">
        <v>-0.003545483912746159</v>
      </c>
      <c r="G1271" s="5" t="n">
        <v>0.005242979680818494</v>
      </c>
      <c r="H1271" s="5" t="n">
        <v>0.00377518956845456</v>
      </c>
      <c r="I1271" s="5" t="n">
        <v>-0.0009610115954247678</v>
      </c>
      <c r="J1271" s="5" t="n">
        <v>-0.003316956114953983</v>
      </c>
      <c r="K1271" s="5" t="n">
        <v>0.002476449007528421</v>
      </c>
      <c r="L1271" s="5" t="n">
        <v>0.001487605105103229</v>
      </c>
      <c r="M1271" s="5">
        <f>SUMPRODUCT(Exposures!$B$6:$K$6,B1271:K1271)</f>
        <v/>
      </c>
      <c r="N1271" s="5">
        <f>IF(AND($A1271&gt;=DATE(2020,2,1),$A1271&lt;=DATE(2020,5,31)),$M1271,"")</f>
        <v/>
      </c>
      <c r="O1271" s="5">
        <f>IF(AND($A1271&gt;=DATE(2022,1,1),$A1271&lt;=DATE(2022,10,31)),$M1271,"")</f>
        <v/>
      </c>
      <c r="P1271" s="5">
        <f>IF(AND($A1271&gt;=DATE(2018,10,1),$A1271&lt;=DATE(2018,12,31)),$M1271,"")</f>
        <v/>
      </c>
      <c r="Q1271" s="5">
        <f>SUMPRODUCT(Exposures!$B$8:$K$8,B1271:K1271)</f>
        <v/>
      </c>
      <c r="R1271" s="5">
        <f>SUMPRODUCT(Exposures!$B$9:$K$9,B1271:K1271)</f>
        <v/>
      </c>
      <c r="S1271" s="5">
        <f>SUMPRODUCT(Exposures!$B$10:$K$10,B1271:K1271)</f>
        <v/>
      </c>
    </row>
    <row r="1272">
      <c r="A1272" s="1" t="n">
        <v>44305</v>
      </c>
      <c r="B1272" s="5" t="n">
        <v>-0.004940504830093713</v>
      </c>
      <c r="C1272" s="5" t="n">
        <v>0.002413047766891887</v>
      </c>
      <c r="D1272" s="5" t="n">
        <v>0.003285117377593058</v>
      </c>
      <c r="E1272" s="5" t="n">
        <v>0.0006767158167782512</v>
      </c>
      <c r="F1272" s="5" t="n">
        <v>0.003012946723791159</v>
      </c>
      <c r="G1272" s="5" t="n">
        <v>-0.007559436871442897</v>
      </c>
      <c r="H1272" s="5" t="n">
        <v>0.002975520069114924</v>
      </c>
      <c r="I1272" s="5" t="n">
        <v>-0.0007724173989808599</v>
      </c>
      <c r="J1272" s="5" t="n">
        <v>-0.002258422551555751</v>
      </c>
      <c r="K1272" s="5" t="n">
        <v>-0.001272851878471872</v>
      </c>
      <c r="L1272" s="5" t="n">
        <v>0.00196505878590551</v>
      </c>
      <c r="M1272" s="5">
        <f>SUMPRODUCT(Exposures!$B$6:$K$6,B1272:K1272)</f>
        <v/>
      </c>
      <c r="N1272" s="5">
        <f>IF(AND($A1272&gt;=DATE(2020,2,1),$A1272&lt;=DATE(2020,5,31)),$M1272,"")</f>
        <v/>
      </c>
      <c r="O1272" s="5">
        <f>IF(AND($A1272&gt;=DATE(2022,1,1),$A1272&lt;=DATE(2022,10,31)),$M1272,"")</f>
        <v/>
      </c>
      <c r="P1272" s="5">
        <f>IF(AND($A1272&gt;=DATE(2018,10,1),$A1272&lt;=DATE(2018,12,31)),$M1272,"")</f>
        <v/>
      </c>
      <c r="Q1272" s="5">
        <f>SUMPRODUCT(Exposures!$B$8:$K$8,B1272:K1272)</f>
        <v/>
      </c>
      <c r="R1272" s="5">
        <f>SUMPRODUCT(Exposures!$B$9:$K$9,B1272:K1272)</f>
        <v/>
      </c>
      <c r="S1272" s="5">
        <f>SUMPRODUCT(Exposures!$B$10:$K$10,B1272:K1272)</f>
        <v/>
      </c>
    </row>
    <row r="1273">
      <c r="A1273" s="1" t="n">
        <v>44306</v>
      </c>
      <c r="B1273" s="5" t="n">
        <v>-0.004223993937484517</v>
      </c>
      <c r="C1273" s="5" t="n">
        <v>-0.00299024942084716</v>
      </c>
      <c r="D1273" s="5" t="n">
        <v>-0.003909269372586759</v>
      </c>
      <c r="E1273" s="5" t="n">
        <v>0.000615018486591239</v>
      </c>
      <c r="F1273" s="5" t="n">
        <v>-0.001418047053004767</v>
      </c>
      <c r="G1273" s="5" t="n">
        <v>-0.01386966738815766</v>
      </c>
      <c r="H1273" s="5" t="n">
        <v>-0.007848018615601839</v>
      </c>
      <c r="I1273" s="5" t="n">
        <v>-0.0006832853454669177</v>
      </c>
      <c r="J1273" s="5" t="n">
        <v>-0.006893695720538679</v>
      </c>
      <c r="K1273" s="5" t="n">
        <v>-0.001649029050539528</v>
      </c>
      <c r="L1273" s="5" t="n">
        <v>-0.001697839226252082</v>
      </c>
      <c r="M1273" s="5">
        <f>SUMPRODUCT(Exposures!$B$6:$K$6,B1273:K1273)</f>
        <v/>
      </c>
      <c r="N1273" s="5">
        <f>IF(AND($A1273&gt;=DATE(2020,2,1),$A1273&lt;=DATE(2020,5,31)),$M1273,"")</f>
        <v/>
      </c>
      <c r="O1273" s="5">
        <f>IF(AND($A1273&gt;=DATE(2022,1,1),$A1273&lt;=DATE(2022,10,31)),$M1273,"")</f>
        <v/>
      </c>
      <c r="P1273" s="5">
        <f>IF(AND($A1273&gt;=DATE(2018,10,1),$A1273&lt;=DATE(2018,12,31)),$M1273,"")</f>
        <v/>
      </c>
      <c r="Q1273" s="5">
        <f>SUMPRODUCT(Exposures!$B$8:$K$8,B1273:K1273)</f>
        <v/>
      </c>
      <c r="R1273" s="5">
        <f>SUMPRODUCT(Exposures!$B$9:$K$9,B1273:K1273)</f>
        <v/>
      </c>
      <c r="S1273" s="5">
        <f>SUMPRODUCT(Exposures!$B$10:$K$10,B1273:K1273)</f>
        <v/>
      </c>
    </row>
    <row r="1274">
      <c r="A1274" s="1" t="n">
        <v>44307</v>
      </c>
      <c r="B1274" s="5" t="n">
        <v>0.006809639921085209</v>
      </c>
      <c r="C1274" s="5" t="n">
        <v>-0.0006491067798841757</v>
      </c>
      <c r="D1274" s="5" t="n">
        <v>-0.001349257378263849</v>
      </c>
      <c r="E1274" s="5" t="n">
        <v>-0.0007429805610191196</v>
      </c>
      <c r="F1274" s="5" t="n">
        <v>-0.0002946227867208816</v>
      </c>
      <c r="G1274" s="5" t="n">
        <v>0.01511525628960433</v>
      </c>
      <c r="H1274" s="5" t="n">
        <v>0.003700738595266523</v>
      </c>
      <c r="I1274" s="5" t="n">
        <v>0.001559042423324557</v>
      </c>
      <c r="J1274" s="5" t="n">
        <v>-0.0008519166465527795</v>
      </c>
      <c r="K1274" s="5" t="n">
        <v>-0.003319371066679339</v>
      </c>
      <c r="L1274" s="5" t="n">
        <v>-0.00144472783631076</v>
      </c>
      <c r="M1274" s="5">
        <f>SUMPRODUCT(Exposures!$B$6:$K$6,B1274:K1274)</f>
        <v/>
      </c>
      <c r="N1274" s="5">
        <f>IF(AND($A1274&gt;=DATE(2020,2,1),$A1274&lt;=DATE(2020,5,31)),$M1274,"")</f>
        <v/>
      </c>
      <c r="O1274" s="5">
        <f>IF(AND($A1274&gt;=DATE(2022,1,1),$A1274&lt;=DATE(2022,10,31)),$M1274,"")</f>
        <v/>
      </c>
      <c r="P1274" s="5">
        <f>IF(AND($A1274&gt;=DATE(2018,10,1),$A1274&lt;=DATE(2018,12,31)),$M1274,"")</f>
        <v/>
      </c>
      <c r="Q1274" s="5">
        <f>SUMPRODUCT(Exposures!$B$8:$K$8,B1274:K1274)</f>
        <v/>
      </c>
      <c r="R1274" s="5">
        <f>SUMPRODUCT(Exposures!$B$9:$K$9,B1274:K1274)</f>
        <v/>
      </c>
      <c r="S1274" s="5">
        <f>SUMPRODUCT(Exposures!$B$10:$K$10,B1274:K1274)</f>
        <v/>
      </c>
    </row>
    <row r="1275">
      <c r="A1275" s="1" t="n">
        <v>44308</v>
      </c>
      <c r="B1275" s="5" t="n">
        <v>-0.005290087231241759</v>
      </c>
      <c r="C1275" s="5" t="n">
        <v>-0.0009337382456918594</v>
      </c>
      <c r="D1275" s="5" t="n">
        <v>-0.0005158238664497576</v>
      </c>
      <c r="E1275" s="5" t="n">
        <v>-0.002323502922172674</v>
      </c>
      <c r="F1275" s="5" t="n">
        <v>-0.007274911351011834</v>
      </c>
      <c r="G1275" s="5" t="n">
        <v>-0.0036576374499414</v>
      </c>
      <c r="H1275" s="5" t="n">
        <v>0.008879769973111223</v>
      </c>
      <c r="I1275" s="5" t="n">
        <v>0.0004090635569640842</v>
      </c>
      <c r="J1275" s="5" t="n">
        <v>-0.002690495978252617</v>
      </c>
      <c r="K1275" s="5" t="n">
        <v>0.005367814230977479</v>
      </c>
      <c r="L1275" s="5" t="n">
        <v>0.0005465556034352253</v>
      </c>
      <c r="M1275" s="5">
        <f>SUMPRODUCT(Exposures!$B$6:$K$6,B1275:K1275)</f>
        <v/>
      </c>
      <c r="N1275" s="5">
        <f>IF(AND($A1275&gt;=DATE(2020,2,1),$A1275&lt;=DATE(2020,5,31)),$M1275,"")</f>
        <v/>
      </c>
      <c r="O1275" s="5">
        <f>IF(AND($A1275&gt;=DATE(2022,1,1),$A1275&lt;=DATE(2022,10,31)),$M1275,"")</f>
        <v/>
      </c>
      <c r="P1275" s="5">
        <f>IF(AND($A1275&gt;=DATE(2018,10,1),$A1275&lt;=DATE(2018,12,31)),$M1275,"")</f>
        <v/>
      </c>
      <c r="Q1275" s="5">
        <f>SUMPRODUCT(Exposures!$B$8:$K$8,B1275:K1275)</f>
        <v/>
      </c>
      <c r="R1275" s="5">
        <f>SUMPRODUCT(Exposures!$B$9:$K$9,B1275:K1275)</f>
        <v/>
      </c>
      <c r="S1275" s="5">
        <f>SUMPRODUCT(Exposures!$B$10:$K$10,B1275:K1275)</f>
        <v/>
      </c>
    </row>
    <row r="1276">
      <c r="A1276" s="1" t="n">
        <v>44309</v>
      </c>
      <c r="B1276" s="5" t="n">
        <v>0.003773791410596182</v>
      </c>
      <c r="C1276" s="5" t="n">
        <v>0.0002768298051025137</v>
      </c>
      <c r="D1276" s="5" t="n">
        <v>0.007021780226394166</v>
      </c>
      <c r="E1276" s="5" t="n">
        <v>6.683708955830437e-05</v>
      </c>
      <c r="F1276" s="5" t="n">
        <v>0.001646373866946649</v>
      </c>
      <c r="G1276" s="5" t="n">
        <v>0.01501159823346071</v>
      </c>
      <c r="H1276" s="5" t="n">
        <v>0.006592552458808329</v>
      </c>
      <c r="I1276" s="5" t="n">
        <v>-6.965548477559777e-05</v>
      </c>
      <c r="J1276" s="5" t="n">
        <v>0.001661409469130931</v>
      </c>
      <c r="K1276" s="5" t="n">
        <v>-0.0002369473890935702</v>
      </c>
      <c r="L1276" s="5" t="n">
        <v>0.00184388990496877</v>
      </c>
      <c r="M1276" s="5">
        <f>SUMPRODUCT(Exposures!$B$6:$K$6,B1276:K1276)</f>
        <v/>
      </c>
      <c r="N1276" s="5">
        <f>IF(AND($A1276&gt;=DATE(2020,2,1),$A1276&lt;=DATE(2020,5,31)),$M1276,"")</f>
        <v/>
      </c>
      <c r="O1276" s="5">
        <f>IF(AND($A1276&gt;=DATE(2022,1,1),$A1276&lt;=DATE(2022,10,31)),$M1276,"")</f>
        <v/>
      </c>
      <c r="P1276" s="5">
        <f>IF(AND($A1276&gt;=DATE(2018,10,1),$A1276&lt;=DATE(2018,12,31)),$M1276,"")</f>
        <v/>
      </c>
      <c r="Q1276" s="5">
        <f>SUMPRODUCT(Exposures!$B$8:$K$8,B1276:K1276)</f>
        <v/>
      </c>
      <c r="R1276" s="5">
        <f>SUMPRODUCT(Exposures!$B$9:$K$9,B1276:K1276)</f>
        <v/>
      </c>
      <c r="S1276" s="5">
        <f>SUMPRODUCT(Exposures!$B$10:$K$10,B1276:K1276)</f>
        <v/>
      </c>
    </row>
    <row r="1277">
      <c r="A1277" s="1" t="n">
        <v>44312</v>
      </c>
      <c r="B1277" s="5" t="n">
        <v>0.004122150072308162</v>
      </c>
      <c r="C1277" s="5" t="n">
        <v>-0.001466924193039181</v>
      </c>
      <c r="D1277" s="5" t="n">
        <v>0.001608124390443595</v>
      </c>
      <c r="E1277" s="5" t="n">
        <v>-0.0004122464413622875</v>
      </c>
      <c r="F1277" s="5" t="n">
        <v>0.0039527656919231</v>
      </c>
      <c r="G1277" s="5" t="n">
        <v>0.006957132267318263</v>
      </c>
      <c r="H1277" s="5" t="n">
        <v>-0.002968263148607337</v>
      </c>
      <c r="I1277" s="5" t="n">
        <v>0.0005870644449562398</v>
      </c>
      <c r="J1277" s="5" t="n">
        <v>0.009114686641518464</v>
      </c>
      <c r="K1277" s="5" t="n">
        <v>-0.002535079175565858</v>
      </c>
      <c r="L1277" s="5" t="n">
        <v>0.0002720587138641075</v>
      </c>
      <c r="M1277" s="5">
        <f>SUMPRODUCT(Exposures!$B$6:$K$6,B1277:K1277)</f>
        <v/>
      </c>
      <c r="N1277" s="5">
        <f>IF(AND($A1277&gt;=DATE(2020,2,1),$A1277&lt;=DATE(2020,5,31)),$M1277,"")</f>
        <v/>
      </c>
      <c r="O1277" s="5">
        <f>IF(AND($A1277&gt;=DATE(2022,1,1),$A1277&lt;=DATE(2022,10,31)),$M1277,"")</f>
        <v/>
      </c>
      <c r="P1277" s="5">
        <f>IF(AND($A1277&gt;=DATE(2018,10,1),$A1277&lt;=DATE(2018,12,31)),$M1277,"")</f>
        <v/>
      </c>
      <c r="Q1277" s="5">
        <f>SUMPRODUCT(Exposures!$B$8:$K$8,B1277:K1277)</f>
        <v/>
      </c>
      <c r="R1277" s="5">
        <f>SUMPRODUCT(Exposures!$B$9:$K$9,B1277:K1277)</f>
        <v/>
      </c>
      <c r="S1277" s="5">
        <f>SUMPRODUCT(Exposures!$B$10:$K$10,B1277:K1277)</f>
        <v/>
      </c>
    </row>
    <row r="1278">
      <c r="A1278" s="1" t="n">
        <v>44313</v>
      </c>
      <c r="B1278" s="5" t="n">
        <v>0.002146953033180763</v>
      </c>
      <c r="C1278" s="5" t="n">
        <v>-0.000303975649716993</v>
      </c>
      <c r="D1278" s="5" t="n">
        <v>-0.007657003167896133</v>
      </c>
      <c r="E1278" s="5" t="n">
        <v>0.001962490659333306</v>
      </c>
      <c r="F1278" s="5" t="n">
        <v>4.666394240118883e-05</v>
      </c>
      <c r="G1278" s="5" t="n">
        <v>-0.001095132180542268</v>
      </c>
      <c r="H1278" s="5" t="n">
        <v>0.002032498594846081</v>
      </c>
      <c r="I1278" s="5" t="n">
        <v>-0.0010116946630473</v>
      </c>
      <c r="J1278" s="5" t="n">
        <v>-0.001835077543935553</v>
      </c>
      <c r="K1278" s="5" t="n">
        <v>0.001958849446969235</v>
      </c>
      <c r="L1278" s="5" t="n">
        <v>0.0009893160803013531</v>
      </c>
      <c r="M1278" s="5">
        <f>SUMPRODUCT(Exposures!$B$6:$K$6,B1278:K1278)</f>
        <v/>
      </c>
      <c r="N1278" s="5">
        <f>IF(AND($A1278&gt;=DATE(2020,2,1),$A1278&lt;=DATE(2020,5,31)),$M1278,"")</f>
        <v/>
      </c>
      <c r="O1278" s="5">
        <f>IF(AND($A1278&gt;=DATE(2022,1,1),$A1278&lt;=DATE(2022,10,31)),$M1278,"")</f>
        <v/>
      </c>
      <c r="P1278" s="5">
        <f>IF(AND($A1278&gt;=DATE(2018,10,1),$A1278&lt;=DATE(2018,12,31)),$M1278,"")</f>
        <v/>
      </c>
      <c r="Q1278" s="5">
        <f>SUMPRODUCT(Exposures!$B$8:$K$8,B1278:K1278)</f>
        <v/>
      </c>
      <c r="R1278" s="5">
        <f>SUMPRODUCT(Exposures!$B$9:$K$9,B1278:K1278)</f>
        <v/>
      </c>
      <c r="S1278" s="5">
        <f>SUMPRODUCT(Exposures!$B$10:$K$10,B1278:K1278)</f>
        <v/>
      </c>
    </row>
    <row r="1279">
      <c r="A1279" s="1" t="n">
        <v>44314</v>
      </c>
      <c r="B1279" s="5" t="n">
        <v>-0.00239811015324428</v>
      </c>
      <c r="C1279" s="5" t="n">
        <v>0.0005622245514405309</v>
      </c>
      <c r="D1279" s="5" t="n">
        <v>-0.004381773018306873</v>
      </c>
      <c r="E1279" s="5" t="n">
        <v>-0.003899492897758235</v>
      </c>
      <c r="F1279" s="5" t="n">
        <v>-0.003443884095316809</v>
      </c>
      <c r="G1279" s="5" t="n">
        <v>-0.0007102729712019384</v>
      </c>
      <c r="H1279" s="5" t="n">
        <v>0.005759220194028936</v>
      </c>
      <c r="I1279" s="5" t="n">
        <v>-0.0009765833634453247</v>
      </c>
      <c r="J1279" s="5" t="n">
        <v>0.0005962460492501174</v>
      </c>
      <c r="K1279" s="5" t="n">
        <v>0.005136666008271953</v>
      </c>
      <c r="L1279" s="5" t="n">
        <v>0.00577914895538453</v>
      </c>
      <c r="M1279" s="5">
        <f>SUMPRODUCT(Exposures!$B$6:$K$6,B1279:K1279)</f>
        <v/>
      </c>
      <c r="N1279" s="5">
        <f>IF(AND($A1279&gt;=DATE(2020,2,1),$A1279&lt;=DATE(2020,5,31)),$M1279,"")</f>
        <v/>
      </c>
      <c r="O1279" s="5">
        <f>IF(AND($A1279&gt;=DATE(2022,1,1),$A1279&lt;=DATE(2022,10,31)),$M1279,"")</f>
        <v/>
      </c>
      <c r="P1279" s="5">
        <f>IF(AND($A1279&gt;=DATE(2018,10,1),$A1279&lt;=DATE(2018,12,31)),$M1279,"")</f>
        <v/>
      </c>
      <c r="Q1279" s="5">
        <f>SUMPRODUCT(Exposures!$B$8:$K$8,B1279:K1279)</f>
        <v/>
      </c>
      <c r="R1279" s="5">
        <f>SUMPRODUCT(Exposures!$B$9:$K$9,B1279:K1279)</f>
        <v/>
      </c>
      <c r="S1279" s="5">
        <f>SUMPRODUCT(Exposures!$B$10:$K$10,B1279:K1279)</f>
        <v/>
      </c>
    </row>
    <row r="1280">
      <c r="A1280" s="1" t="n">
        <v>44315</v>
      </c>
      <c r="B1280" s="5" t="n">
        <v>0.004755042642154845</v>
      </c>
      <c r="C1280" s="5" t="n">
        <v>0.004673394703243379</v>
      </c>
      <c r="D1280" s="5" t="n">
        <v>0.0006995690753387114</v>
      </c>
      <c r="E1280" s="5" t="n">
        <v>0.0007146378687385841</v>
      </c>
      <c r="F1280" s="5" t="n">
        <v>-0.002817716038762634</v>
      </c>
      <c r="G1280" s="5" t="n">
        <v>0.002568945886954398</v>
      </c>
      <c r="H1280" s="5" t="n">
        <v>-0.002233472257957392</v>
      </c>
      <c r="I1280" s="5" t="n">
        <v>0.0002893518640187016</v>
      </c>
      <c r="J1280" s="5" t="n">
        <v>-0.003773335416554376</v>
      </c>
      <c r="K1280" s="5" t="n">
        <v>0.001598811780077887</v>
      </c>
      <c r="L1280" s="5" t="n">
        <v>0.001636771673347931</v>
      </c>
      <c r="M1280" s="5">
        <f>SUMPRODUCT(Exposures!$B$6:$K$6,B1280:K1280)</f>
        <v/>
      </c>
      <c r="N1280" s="5">
        <f>IF(AND($A1280&gt;=DATE(2020,2,1),$A1280&lt;=DATE(2020,5,31)),$M1280,"")</f>
        <v/>
      </c>
      <c r="O1280" s="5">
        <f>IF(AND($A1280&gt;=DATE(2022,1,1),$A1280&lt;=DATE(2022,10,31)),$M1280,"")</f>
        <v/>
      </c>
      <c r="P1280" s="5">
        <f>IF(AND($A1280&gt;=DATE(2018,10,1),$A1280&lt;=DATE(2018,12,31)),$M1280,"")</f>
        <v/>
      </c>
      <c r="Q1280" s="5">
        <f>SUMPRODUCT(Exposures!$B$8:$K$8,B1280:K1280)</f>
        <v/>
      </c>
      <c r="R1280" s="5">
        <f>SUMPRODUCT(Exposures!$B$9:$K$9,B1280:K1280)</f>
        <v/>
      </c>
      <c r="S1280" s="5">
        <f>SUMPRODUCT(Exposures!$B$10:$K$10,B1280:K1280)</f>
        <v/>
      </c>
    </row>
    <row r="1281">
      <c r="A1281" s="1" t="n">
        <v>44316</v>
      </c>
      <c r="B1281" s="5" t="n">
        <v>-0.005114623285645084</v>
      </c>
      <c r="C1281" s="5" t="n">
        <v>0.0005148194873781941</v>
      </c>
      <c r="D1281" s="5" t="n">
        <v>0.004694817055056285</v>
      </c>
      <c r="E1281" s="5" t="n">
        <v>0.002249397108263312</v>
      </c>
      <c r="F1281" s="5" t="n">
        <v>0.002574715578009652</v>
      </c>
      <c r="G1281" s="5" t="n">
        <v>-0.01019805544750423</v>
      </c>
      <c r="H1281" s="5" t="n">
        <v>-0.0008118821976172881</v>
      </c>
      <c r="I1281" s="5" t="n">
        <v>0.001263202003142262</v>
      </c>
      <c r="J1281" s="5" t="n">
        <v>-0.001570665042115629</v>
      </c>
      <c r="K1281" s="5" t="n">
        <v>-0.003731618511203419</v>
      </c>
      <c r="L1281" s="5" t="n">
        <v>-0.001943830002850685</v>
      </c>
      <c r="M1281" s="5">
        <f>SUMPRODUCT(Exposures!$B$6:$K$6,B1281:K1281)</f>
        <v/>
      </c>
      <c r="N1281" s="5">
        <f>IF(AND($A1281&gt;=DATE(2020,2,1),$A1281&lt;=DATE(2020,5,31)),$M1281,"")</f>
        <v/>
      </c>
      <c r="O1281" s="5">
        <f>IF(AND($A1281&gt;=DATE(2022,1,1),$A1281&lt;=DATE(2022,10,31)),$M1281,"")</f>
        <v/>
      </c>
      <c r="P1281" s="5">
        <f>IF(AND($A1281&gt;=DATE(2018,10,1),$A1281&lt;=DATE(2018,12,31)),$M1281,"")</f>
        <v/>
      </c>
      <c r="Q1281" s="5">
        <f>SUMPRODUCT(Exposures!$B$8:$K$8,B1281:K1281)</f>
        <v/>
      </c>
      <c r="R1281" s="5">
        <f>SUMPRODUCT(Exposures!$B$9:$K$9,B1281:K1281)</f>
        <v/>
      </c>
      <c r="S1281" s="5">
        <f>SUMPRODUCT(Exposures!$B$10:$K$10,B1281:K1281)</f>
        <v/>
      </c>
    </row>
    <row r="1282">
      <c r="A1282" s="1" t="n">
        <v>44319</v>
      </c>
      <c r="B1282" s="5" t="n">
        <v>-0.001868377154437062</v>
      </c>
      <c r="C1282" s="5" t="n">
        <v>0.000879871278761495</v>
      </c>
      <c r="D1282" s="5" t="n">
        <v>-0.0006892767656593062</v>
      </c>
      <c r="E1282" s="5" t="n">
        <v>-0.0009892682393407581</v>
      </c>
      <c r="F1282" s="5" t="n">
        <v>-0.01055676863406145</v>
      </c>
      <c r="G1282" s="5" t="n">
        <v>0.005571207244003559</v>
      </c>
      <c r="H1282" s="5" t="n">
        <v>0.0007287912944983235</v>
      </c>
      <c r="I1282" s="5" t="n">
        <v>0.001491389841013529</v>
      </c>
      <c r="J1282" s="5" t="n">
        <v>0.002801993125540251</v>
      </c>
      <c r="K1282" s="5" t="n">
        <v>0.008801696475588056</v>
      </c>
      <c r="L1282" s="5" t="n">
        <v>0.002373141254765782</v>
      </c>
      <c r="M1282" s="5">
        <f>SUMPRODUCT(Exposures!$B$6:$K$6,B1282:K1282)</f>
        <v/>
      </c>
      <c r="N1282" s="5">
        <f>IF(AND($A1282&gt;=DATE(2020,2,1),$A1282&lt;=DATE(2020,5,31)),$M1282,"")</f>
        <v/>
      </c>
      <c r="O1282" s="5">
        <f>IF(AND($A1282&gt;=DATE(2022,1,1),$A1282&lt;=DATE(2022,10,31)),$M1282,"")</f>
        <v/>
      </c>
      <c r="P1282" s="5">
        <f>IF(AND($A1282&gt;=DATE(2018,10,1),$A1282&lt;=DATE(2018,12,31)),$M1282,"")</f>
        <v/>
      </c>
      <c r="Q1282" s="5">
        <f>SUMPRODUCT(Exposures!$B$8:$K$8,B1282:K1282)</f>
        <v/>
      </c>
      <c r="R1282" s="5">
        <f>SUMPRODUCT(Exposures!$B$9:$K$9,B1282:K1282)</f>
        <v/>
      </c>
      <c r="S1282" s="5">
        <f>SUMPRODUCT(Exposures!$B$10:$K$10,B1282:K1282)</f>
        <v/>
      </c>
    </row>
    <row r="1283">
      <c r="A1283" s="1" t="n">
        <v>44320</v>
      </c>
      <c r="B1283" s="5" t="n">
        <v>0.0003815873725572144</v>
      </c>
      <c r="C1283" s="5" t="n">
        <v>0.0002496014620207726</v>
      </c>
      <c r="D1283" s="5" t="n">
        <v>-0.00328994068419385</v>
      </c>
      <c r="E1283" s="5" t="n">
        <v>0.001703524250579379</v>
      </c>
      <c r="F1283" s="5" t="n">
        <v>-0.00329344092105211</v>
      </c>
      <c r="G1283" s="5" t="n">
        <v>-0.005369940263785284</v>
      </c>
      <c r="H1283" s="5" t="n">
        <v>-0.00111996093680058</v>
      </c>
      <c r="I1283" s="5" t="n">
        <v>0.000172345816889065</v>
      </c>
      <c r="J1283" s="5" t="n">
        <v>-0.005725137494876773</v>
      </c>
      <c r="K1283" s="5" t="n">
        <v>0.0007796829549466219</v>
      </c>
      <c r="L1283" s="5" t="n">
        <v>0.002519353937501815</v>
      </c>
      <c r="M1283" s="5">
        <f>SUMPRODUCT(Exposures!$B$6:$K$6,B1283:K1283)</f>
        <v/>
      </c>
      <c r="N1283" s="5">
        <f>IF(AND($A1283&gt;=DATE(2020,2,1),$A1283&lt;=DATE(2020,5,31)),$M1283,"")</f>
        <v/>
      </c>
      <c r="O1283" s="5">
        <f>IF(AND($A1283&gt;=DATE(2022,1,1),$A1283&lt;=DATE(2022,10,31)),$M1283,"")</f>
        <v/>
      </c>
      <c r="P1283" s="5">
        <f>IF(AND($A1283&gt;=DATE(2018,10,1),$A1283&lt;=DATE(2018,12,31)),$M1283,"")</f>
        <v/>
      </c>
      <c r="Q1283" s="5">
        <f>SUMPRODUCT(Exposures!$B$8:$K$8,B1283:K1283)</f>
        <v/>
      </c>
      <c r="R1283" s="5">
        <f>SUMPRODUCT(Exposures!$B$9:$K$9,B1283:K1283)</f>
        <v/>
      </c>
      <c r="S1283" s="5">
        <f>SUMPRODUCT(Exposures!$B$10:$K$10,B1283:K1283)</f>
        <v/>
      </c>
    </row>
    <row r="1284">
      <c r="A1284" s="1" t="n">
        <v>44321</v>
      </c>
      <c r="B1284" s="5" t="n">
        <v>-0.001749908344624134</v>
      </c>
      <c r="C1284" s="5" t="n">
        <v>-0.002295176338418458</v>
      </c>
      <c r="D1284" s="5" t="n">
        <v>-0.0006953554934501836</v>
      </c>
      <c r="E1284" s="5" t="n">
        <v>0.002324085373620846</v>
      </c>
      <c r="F1284" s="5" t="n">
        <v>-0.001677308827165395</v>
      </c>
      <c r="G1284" s="5" t="n">
        <v>0.0025561707473702</v>
      </c>
      <c r="H1284" s="5" t="n">
        <v>0.007450757841687304</v>
      </c>
      <c r="I1284" s="5" t="n">
        <v>0.001131143666757765</v>
      </c>
      <c r="J1284" s="5" t="n">
        <v>-0.003220010995437364</v>
      </c>
      <c r="K1284" s="5" t="n">
        <v>0.001987748875719942</v>
      </c>
      <c r="L1284" s="5" t="n">
        <v>0.00304170323453472</v>
      </c>
      <c r="M1284" s="5">
        <f>SUMPRODUCT(Exposures!$B$6:$K$6,B1284:K1284)</f>
        <v/>
      </c>
      <c r="N1284" s="5">
        <f>IF(AND($A1284&gt;=DATE(2020,2,1),$A1284&lt;=DATE(2020,5,31)),$M1284,"")</f>
        <v/>
      </c>
      <c r="O1284" s="5">
        <f>IF(AND($A1284&gt;=DATE(2022,1,1),$A1284&lt;=DATE(2022,10,31)),$M1284,"")</f>
        <v/>
      </c>
      <c r="P1284" s="5">
        <f>IF(AND($A1284&gt;=DATE(2018,10,1),$A1284&lt;=DATE(2018,12,31)),$M1284,"")</f>
        <v/>
      </c>
      <c r="Q1284" s="5">
        <f>SUMPRODUCT(Exposures!$B$8:$K$8,B1284:K1284)</f>
        <v/>
      </c>
      <c r="R1284" s="5">
        <f>SUMPRODUCT(Exposures!$B$9:$K$9,B1284:K1284)</f>
        <v/>
      </c>
      <c r="S1284" s="5">
        <f>SUMPRODUCT(Exposures!$B$10:$K$10,B1284:K1284)</f>
        <v/>
      </c>
    </row>
    <row r="1285">
      <c r="A1285" s="1" t="n">
        <v>44322</v>
      </c>
      <c r="B1285" s="5" t="n">
        <v>-0.001690600682394553</v>
      </c>
      <c r="C1285" s="5" t="n">
        <v>0.001557652876010203</v>
      </c>
      <c r="D1285" s="5" t="n">
        <v>0.002451321566662597</v>
      </c>
      <c r="E1285" s="5" t="n">
        <v>0.0004755073702886861</v>
      </c>
      <c r="F1285" s="5" t="n">
        <v>-0.000831951385227752</v>
      </c>
      <c r="G1285" s="5" t="n">
        <v>0.006347081320516373</v>
      </c>
      <c r="H1285" s="5" t="n">
        <v>-0.001100668838858972</v>
      </c>
      <c r="I1285" s="5" t="n">
        <v>0.0003574301942520764</v>
      </c>
      <c r="J1285" s="5" t="n">
        <v>0.003323565351953215</v>
      </c>
      <c r="K1285" s="5" t="n">
        <v>0.0007346547052396332</v>
      </c>
      <c r="L1285" s="5" t="n">
        <v>0.001731415638794414</v>
      </c>
      <c r="M1285" s="5">
        <f>SUMPRODUCT(Exposures!$B$6:$K$6,B1285:K1285)</f>
        <v/>
      </c>
      <c r="N1285" s="5">
        <f>IF(AND($A1285&gt;=DATE(2020,2,1),$A1285&lt;=DATE(2020,5,31)),$M1285,"")</f>
        <v/>
      </c>
      <c r="O1285" s="5">
        <f>IF(AND($A1285&gt;=DATE(2022,1,1),$A1285&lt;=DATE(2022,10,31)),$M1285,"")</f>
        <v/>
      </c>
      <c r="P1285" s="5">
        <f>IF(AND($A1285&gt;=DATE(2018,10,1),$A1285&lt;=DATE(2018,12,31)),$M1285,"")</f>
        <v/>
      </c>
      <c r="Q1285" s="5">
        <f>SUMPRODUCT(Exposures!$B$8:$K$8,B1285:K1285)</f>
        <v/>
      </c>
      <c r="R1285" s="5">
        <f>SUMPRODUCT(Exposures!$B$9:$K$9,B1285:K1285)</f>
        <v/>
      </c>
      <c r="S1285" s="5">
        <f>SUMPRODUCT(Exposures!$B$10:$K$10,B1285:K1285)</f>
        <v/>
      </c>
    </row>
    <row r="1286">
      <c r="A1286" s="1" t="n">
        <v>44323</v>
      </c>
      <c r="B1286" s="5" t="n">
        <v>0.0002197590900066774</v>
      </c>
      <c r="C1286" s="5" t="n">
        <v>-0.0002365445424088342</v>
      </c>
      <c r="D1286" s="5" t="n">
        <v>0.001316010553890921</v>
      </c>
      <c r="E1286" s="5" t="n">
        <v>-0.0009276986735072081</v>
      </c>
      <c r="F1286" s="5" t="n">
        <v>0.0007716754785362565</v>
      </c>
      <c r="G1286" s="5" t="n">
        <v>0.01379536093137726</v>
      </c>
      <c r="H1286" s="5" t="n">
        <v>0.002057661468365594</v>
      </c>
      <c r="I1286" s="5" t="n">
        <v>0.001304951214878086</v>
      </c>
      <c r="J1286" s="5" t="n">
        <v>0.005200286968503562</v>
      </c>
      <c r="K1286" s="5" t="n">
        <v>-0.002055556225568181</v>
      </c>
      <c r="L1286" s="5" t="n">
        <v>-6.839060044584559e-05</v>
      </c>
      <c r="M1286" s="5">
        <f>SUMPRODUCT(Exposures!$B$6:$K$6,B1286:K1286)</f>
        <v/>
      </c>
      <c r="N1286" s="5">
        <f>IF(AND($A1286&gt;=DATE(2020,2,1),$A1286&lt;=DATE(2020,5,31)),$M1286,"")</f>
        <v/>
      </c>
      <c r="O1286" s="5">
        <f>IF(AND($A1286&gt;=DATE(2022,1,1),$A1286&lt;=DATE(2022,10,31)),$M1286,"")</f>
        <v/>
      </c>
      <c r="P1286" s="5">
        <f>IF(AND($A1286&gt;=DATE(2018,10,1),$A1286&lt;=DATE(2018,12,31)),$M1286,"")</f>
        <v/>
      </c>
      <c r="Q1286" s="5">
        <f>SUMPRODUCT(Exposures!$B$8:$K$8,B1286:K1286)</f>
        <v/>
      </c>
      <c r="R1286" s="5">
        <f>SUMPRODUCT(Exposures!$B$9:$K$9,B1286:K1286)</f>
        <v/>
      </c>
      <c r="S1286" s="5">
        <f>SUMPRODUCT(Exposures!$B$10:$K$10,B1286:K1286)</f>
        <v/>
      </c>
    </row>
    <row r="1287">
      <c r="A1287" s="1" t="n">
        <v>44326</v>
      </c>
      <c r="B1287" s="5" t="n">
        <v>-0.004059562288940594</v>
      </c>
      <c r="C1287" s="5" t="n">
        <v>-0.0007668091533632081</v>
      </c>
      <c r="D1287" s="5" t="n">
        <v>-0.004391038045295175</v>
      </c>
      <c r="E1287" s="5" t="n">
        <v>0.00512223171573936</v>
      </c>
      <c r="F1287" s="5" t="n">
        <v>-0.002229352734678012</v>
      </c>
      <c r="G1287" s="5" t="n">
        <v>-0.009671099716803752</v>
      </c>
      <c r="H1287" s="5" t="n">
        <v>-0.007720640399379279</v>
      </c>
      <c r="I1287" s="5" t="n">
        <v>-0.001410094887278809</v>
      </c>
      <c r="J1287" s="5" t="n">
        <v>-0.004848665508884076</v>
      </c>
      <c r="K1287" s="5" t="n">
        <v>-0.0006079858845060731</v>
      </c>
      <c r="L1287" s="5" t="n">
        <v>0.001150421597961517</v>
      </c>
      <c r="M1287" s="5">
        <f>SUMPRODUCT(Exposures!$B$6:$K$6,B1287:K1287)</f>
        <v/>
      </c>
      <c r="N1287" s="5">
        <f>IF(AND($A1287&gt;=DATE(2020,2,1),$A1287&lt;=DATE(2020,5,31)),$M1287,"")</f>
        <v/>
      </c>
      <c r="O1287" s="5">
        <f>IF(AND($A1287&gt;=DATE(2022,1,1),$A1287&lt;=DATE(2022,10,31)),$M1287,"")</f>
        <v/>
      </c>
      <c r="P1287" s="5">
        <f>IF(AND($A1287&gt;=DATE(2018,10,1),$A1287&lt;=DATE(2018,12,31)),$M1287,"")</f>
        <v/>
      </c>
      <c r="Q1287" s="5">
        <f>SUMPRODUCT(Exposures!$B$8:$K$8,B1287:K1287)</f>
        <v/>
      </c>
      <c r="R1287" s="5">
        <f>SUMPRODUCT(Exposures!$B$9:$K$9,B1287:K1287)</f>
        <v/>
      </c>
      <c r="S1287" s="5">
        <f>SUMPRODUCT(Exposures!$B$10:$K$10,B1287:K1287)</f>
        <v/>
      </c>
    </row>
    <row r="1288">
      <c r="A1288" s="1" t="n">
        <v>44327</v>
      </c>
      <c r="B1288" s="5" t="n">
        <v>-0.0008083348892293914</v>
      </c>
      <c r="C1288" s="5" t="n">
        <v>0.0008995124307369631</v>
      </c>
      <c r="D1288" s="5" t="n">
        <v>0.002698099411561222</v>
      </c>
      <c r="E1288" s="5" t="n">
        <v>-0.0007222204900811925</v>
      </c>
      <c r="F1288" s="5" t="n">
        <v>0.001273978952849555</v>
      </c>
      <c r="G1288" s="5" t="n">
        <v>-0.006942754111791721</v>
      </c>
      <c r="H1288" s="5" t="n">
        <v>-0.001867659924467885</v>
      </c>
      <c r="I1288" s="5" t="n">
        <v>-0.0001828305624026146</v>
      </c>
      <c r="J1288" s="5" t="n">
        <v>0.006091945954087699</v>
      </c>
      <c r="K1288" s="5" t="n">
        <v>0.0003218469653539126</v>
      </c>
      <c r="L1288" s="5" t="n">
        <v>-0.002288422690615091</v>
      </c>
      <c r="M1288" s="5">
        <f>SUMPRODUCT(Exposures!$B$6:$K$6,B1288:K1288)</f>
        <v/>
      </c>
      <c r="N1288" s="5">
        <f>IF(AND($A1288&gt;=DATE(2020,2,1),$A1288&lt;=DATE(2020,5,31)),$M1288,"")</f>
        <v/>
      </c>
      <c r="O1288" s="5">
        <f>IF(AND($A1288&gt;=DATE(2022,1,1),$A1288&lt;=DATE(2022,10,31)),$M1288,"")</f>
        <v/>
      </c>
      <c r="P1288" s="5">
        <f>IF(AND($A1288&gt;=DATE(2018,10,1),$A1288&lt;=DATE(2018,12,31)),$M1288,"")</f>
        <v/>
      </c>
      <c r="Q1288" s="5">
        <f>SUMPRODUCT(Exposures!$B$8:$K$8,B1288:K1288)</f>
        <v/>
      </c>
      <c r="R1288" s="5">
        <f>SUMPRODUCT(Exposures!$B$9:$K$9,B1288:K1288)</f>
        <v/>
      </c>
      <c r="S1288" s="5">
        <f>SUMPRODUCT(Exposures!$B$10:$K$10,B1288:K1288)</f>
        <v/>
      </c>
    </row>
    <row r="1289">
      <c r="A1289" s="1" t="n">
        <v>44328</v>
      </c>
      <c r="B1289" s="5" t="n">
        <v>-0.003707564461949472</v>
      </c>
      <c r="C1289" s="5" t="n">
        <v>-0.002437254470115013</v>
      </c>
      <c r="D1289" s="5" t="n">
        <v>0.001884708034020361</v>
      </c>
      <c r="E1289" s="5" t="n">
        <v>0.001257914007282868</v>
      </c>
      <c r="F1289" s="5" t="n">
        <v>-0.01044356988746082</v>
      </c>
      <c r="G1289" s="5" t="n">
        <v>-0.02717016916789208</v>
      </c>
      <c r="H1289" s="5" t="n">
        <v>-0.009110027112314765</v>
      </c>
      <c r="I1289" s="5" t="n">
        <v>0.0009403431594266543</v>
      </c>
      <c r="J1289" s="5" t="n">
        <v>-0.0003744482703161578</v>
      </c>
      <c r="K1289" s="5" t="n">
        <v>0.01345570729029217</v>
      </c>
      <c r="L1289" s="5" t="n">
        <v>0.007055621593124759</v>
      </c>
      <c r="M1289" s="5">
        <f>SUMPRODUCT(Exposures!$B$6:$K$6,B1289:K1289)</f>
        <v/>
      </c>
      <c r="N1289" s="5">
        <f>IF(AND($A1289&gt;=DATE(2020,2,1),$A1289&lt;=DATE(2020,5,31)),$M1289,"")</f>
        <v/>
      </c>
      <c r="O1289" s="5">
        <f>IF(AND($A1289&gt;=DATE(2022,1,1),$A1289&lt;=DATE(2022,10,31)),$M1289,"")</f>
        <v/>
      </c>
      <c r="P1289" s="5">
        <f>IF(AND($A1289&gt;=DATE(2018,10,1),$A1289&lt;=DATE(2018,12,31)),$M1289,"")</f>
        <v/>
      </c>
      <c r="Q1289" s="5">
        <f>SUMPRODUCT(Exposures!$B$8:$K$8,B1289:K1289)</f>
        <v/>
      </c>
      <c r="R1289" s="5">
        <f>SUMPRODUCT(Exposures!$B$9:$K$9,B1289:K1289)</f>
        <v/>
      </c>
      <c r="S1289" s="5">
        <f>SUMPRODUCT(Exposures!$B$10:$K$10,B1289:K1289)</f>
        <v/>
      </c>
    </row>
    <row r="1290">
      <c r="A1290" s="1" t="n">
        <v>44329</v>
      </c>
      <c r="B1290" s="5" t="n">
        <v>0.005953300714772028</v>
      </c>
      <c r="C1290" s="5" t="n">
        <v>0.0005805151698163763</v>
      </c>
      <c r="D1290" s="5" t="n">
        <v>-0.0007050528136806768</v>
      </c>
      <c r="E1290" s="5" t="n">
        <v>0.0006873378477305534</v>
      </c>
      <c r="F1290" s="5" t="n">
        <v>-0.002791256732621166</v>
      </c>
      <c r="G1290" s="5" t="n">
        <v>0.01446010508330274</v>
      </c>
      <c r="H1290" s="5" t="n">
        <v>0.003394969021463999</v>
      </c>
      <c r="I1290" s="5" t="n">
        <v>0.001944487029904368</v>
      </c>
      <c r="J1290" s="5" t="n">
        <v>-0.01103832544791141</v>
      </c>
      <c r="K1290" s="5" t="n">
        <v>-0.006669753436715114</v>
      </c>
      <c r="L1290" s="5" t="n">
        <v>0.0001930373266502538</v>
      </c>
      <c r="M1290" s="5">
        <f>SUMPRODUCT(Exposures!$B$6:$K$6,B1290:K1290)</f>
        <v/>
      </c>
      <c r="N1290" s="5">
        <f>IF(AND($A1290&gt;=DATE(2020,2,1),$A1290&lt;=DATE(2020,5,31)),$M1290,"")</f>
        <v/>
      </c>
      <c r="O1290" s="5">
        <f>IF(AND($A1290&gt;=DATE(2022,1,1),$A1290&lt;=DATE(2022,10,31)),$M1290,"")</f>
        <v/>
      </c>
      <c r="P1290" s="5">
        <f>IF(AND($A1290&gt;=DATE(2018,10,1),$A1290&lt;=DATE(2018,12,31)),$M1290,"")</f>
        <v/>
      </c>
      <c r="Q1290" s="5">
        <f>SUMPRODUCT(Exposures!$B$8:$K$8,B1290:K1290)</f>
        <v/>
      </c>
      <c r="R1290" s="5">
        <f>SUMPRODUCT(Exposures!$B$9:$K$9,B1290:K1290)</f>
        <v/>
      </c>
      <c r="S1290" s="5">
        <f>SUMPRODUCT(Exposures!$B$10:$K$10,B1290:K1290)</f>
        <v/>
      </c>
    </row>
    <row r="1291">
      <c r="A1291" s="1" t="n">
        <v>44330</v>
      </c>
      <c r="B1291" s="5" t="n">
        <v>0.002395287030552631</v>
      </c>
      <c r="C1291" s="5" t="n">
        <v>-0.0002624379134883422</v>
      </c>
      <c r="D1291" s="5" t="n">
        <v>0.002091550160826112</v>
      </c>
      <c r="E1291" s="5" t="n">
        <v>0.000440680090651905</v>
      </c>
      <c r="F1291" s="5" t="n">
        <v>0.00661744608796404</v>
      </c>
      <c r="G1291" s="5" t="n">
        <v>0.0171774405090688</v>
      </c>
      <c r="H1291" s="5" t="n">
        <v>0.003761815872978956</v>
      </c>
      <c r="I1291" s="5" t="n">
        <v>-0.0008629912026316621</v>
      </c>
      <c r="J1291" s="5" t="n">
        <v>0.005532287004538065</v>
      </c>
      <c r="K1291" s="5" t="n">
        <v>-0.003735306444612113</v>
      </c>
      <c r="L1291" s="5" t="n">
        <v>-0.0005536519050161012</v>
      </c>
      <c r="M1291" s="5">
        <f>SUMPRODUCT(Exposures!$B$6:$K$6,B1291:K1291)</f>
        <v/>
      </c>
      <c r="N1291" s="5">
        <f>IF(AND($A1291&gt;=DATE(2020,2,1),$A1291&lt;=DATE(2020,5,31)),$M1291,"")</f>
        <v/>
      </c>
      <c r="O1291" s="5">
        <f>IF(AND($A1291&gt;=DATE(2022,1,1),$A1291&lt;=DATE(2022,10,31)),$M1291,"")</f>
        <v/>
      </c>
      <c r="P1291" s="5">
        <f>IF(AND($A1291&gt;=DATE(2018,10,1),$A1291&lt;=DATE(2018,12,31)),$M1291,"")</f>
        <v/>
      </c>
      <c r="Q1291" s="5">
        <f>SUMPRODUCT(Exposures!$B$8:$K$8,B1291:K1291)</f>
        <v/>
      </c>
      <c r="R1291" s="5">
        <f>SUMPRODUCT(Exposures!$B$9:$K$9,B1291:K1291)</f>
        <v/>
      </c>
      <c r="S1291" s="5">
        <f>SUMPRODUCT(Exposures!$B$10:$K$10,B1291:K1291)</f>
        <v/>
      </c>
    </row>
    <row r="1292">
      <c r="A1292" s="1" t="n">
        <v>44333</v>
      </c>
      <c r="B1292" s="5" t="n">
        <v>-0.0003766885297729838</v>
      </c>
      <c r="C1292" s="5" t="n">
        <v>0.0008018231367028812</v>
      </c>
      <c r="D1292" s="5" t="n">
        <v>-0.0001419755537520259</v>
      </c>
      <c r="E1292" s="5" t="n">
        <v>-0.0003533950037713271</v>
      </c>
      <c r="F1292" s="5" t="n">
        <v>0.0007407138201005494</v>
      </c>
      <c r="G1292" s="5" t="n">
        <v>0.0001259094025273274</v>
      </c>
      <c r="H1292" s="5" t="n">
        <v>2.648504288486474e-05</v>
      </c>
      <c r="I1292" s="5" t="n">
        <v>0.0007151523878244466</v>
      </c>
      <c r="J1292" s="5" t="n">
        <v>0.00484447154657943</v>
      </c>
      <c r="K1292" s="5" t="n">
        <v>4.061086768727116e-05</v>
      </c>
      <c r="L1292" s="5" t="n">
        <v>0.001782071994652162</v>
      </c>
      <c r="M1292" s="5">
        <f>SUMPRODUCT(Exposures!$B$6:$K$6,B1292:K1292)</f>
        <v/>
      </c>
      <c r="N1292" s="5">
        <f>IF(AND($A1292&gt;=DATE(2020,2,1),$A1292&lt;=DATE(2020,5,31)),$M1292,"")</f>
        <v/>
      </c>
      <c r="O1292" s="5">
        <f>IF(AND($A1292&gt;=DATE(2022,1,1),$A1292&lt;=DATE(2022,10,31)),$M1292,"")</f>
        <v/>
      </c>
      <c r="P1292" s="5">
        <f>IF(AND($A1292&gt;=DATE(2018,10,1),$A1292&lt;=DATE(2018,12,31)),$M1292,"")</f>
        <v/>
      </c>
      <c r="Q1292" s="5">
        <f>SUMPRODUCT(Exposures!$B$8:$K$8,B1292:K1292)</f>
        <v/>
      </c>
      <c r="R1292" s="5">
        <f>SUMPRODUCT(Exposures!$B$9:$K$9,B1292:K1292)</f>
        <v/>
      </c>
      <c r="S1292" s="5">
        <f>SUMPRODUCT(Exposures!$B$10:$K$10,B1292:K1292)</f>
        <v/>
      </c>
    </row>
    <row r="1293">
      <c r="A1293" s="1" t="n">
        <v>44334</v>
      </c>
      <c r="B1293" s="5" t="n">
        <v>-0.00522700181074055</v>
      </c>
      <c r="C1293" s="5" t="n">
        <v>-0.002385440940199409</v>
      </c>
      <c r="D1293" s="5" t="n">
        <v>-0.0004860570059886473</v>
      </c>
      <c r="E1293" s="5" t="n">
        <v>-0.001170464748537326</v>
      </c>
      <c r="F1293" s="5" t="n">
        <v>0.001558883392859582</v>
      </c>
      <c r="G1293" s="5" t="n">
        <v>-0.006613952050128482</v>
      </c>
      <c r="H1293" s="5" t="n">
        <v>-0.001617752579814786</v>
      </c>
      <c r="I1293" s="5" t="n">
        <v>0.0006551225200999377</v>
      </c>
      <c r="J1293" s="5" t="n">
        <v>0.005619956502205201</v>
      </c>
      <c r="K1293" s="5" t="n">
        <v>0.0009682571199085901</v>
      </c>
      <c r="L1293" s="5" t="n">
        <v>0.0004883765942046092</v>
      </c>
      <c r="M1293" s="5">
        <f>SUMPRODUCT(Exposures!$B$6:$K$6,B1293:K1293)</f>
        <v/>
      </c>
      <c r="N1293" s="5">
        <f>IF(AND($A1293&gt;=DATE(2020,2,1),$A1293&lt;=DATE(2020,5,31)),$M1293,"")</f>
        <v/>
      </c>
      <c r="O1293" s="5">
        <f>IF(AND($A1293&gt;=DATE(2022,1,1),$A1293&lt;=DATE(2022,10,31)),$M1293,"")</f>
        <v/>
      </c>
      <c r="P1293" s="5">
        <f>IF(AND($A1293&gt;=DATE(2018,10,1),$A1293&lt;=DATE(2018,12,31)),$M1293,"")</f>
        <v/>
      </c>
      <c r="Q1293" s="5">
        <f>SUMPRODUCT(Exposures!$B$8:$K$8,B1293:K1293)</f>
        <v/>
      </c>
      <c r="R1293" s="5">
        <f>SUMPRODUCT(Exposures!$B$9:$K$9,B1293:K1293)</f>
        <v/>
      </c>
      <c r="S1293" s="5">
        <f>SUMPRODUCT(Exposures!$B$10:$K$10,B1293:K1293)</f>
        <v/>
      </c>
    </row>
    <row r="1294">
      <c r="A1294" s="1" t="n">
        <v>44335</v>
      </c>
      <c r="B1294" s="5" t="n">
        <v>0.001231835335237919</v>
      </c>
      <c r="C1294" s="5" t="n">
        <v>-0.001257017038886928</v>
      </c>
      <c r="D1294" s="5" t="n">
        <v>0.001008783064946289</v>
      </c>
      <c r="E1294" s="5" t="n">
        <v>-0.001101391953233126</v>
      </c>
      <c r="F1294" s="5" t="n">
        <v>0.003330645166085815</v>
      </c>
      <c r="G1294" s="5" t="n">
        <v>-0.005904413815305974</v>
      </c>
      <c r="H1294" s="5" t="n">
        <v>-0.001954099470642775</v>
      </c>
      <c r="I1294" s="5" t="n">
        <v>0.002201108507041337</v>
      </c>
      <c r="J1294" s="5" t="n">
        <v>-0.003012901582310493</v>
      </c>
      <c r="K1294" s="5" t="n">
        <v>-0.003790133233160191</v>
      </c>
      <c r="L1294" s="5" t="n">
        <v>0.0003335576146345631</v>
      </c>
      <c r="M1294" s="5">
        <f>SUMPRODUCT(Exposures!$B$6:$K$6,B1294:K1294)</f>
        <v/>
      </c>
      <c r="N1294" s="5">
        <f>IF(AND($A1294&gt;=DATE(2020,2,1),$A1294&lt;=DATE(2020,5,31)),$M1294,"")</f>
        <v/>
      </c>
      <c r="O1294" s="5">
        <f>IF(AND($A1294&gt;=DATE(2022,1,1),$A1294&lt;=DATE(2022,10,31)),$M1294,"")</f>
        <v/>
      </c>
      <c r="P1294" s="5">
        <f>IF(AND($A1294&gt;=DATE(2018,10,1),$A1294&lt;=DATE(2018,12,31)),$M1294,"")</f>
        <v/>
      </c>
      <c r="Q1294" s="5">
        <f>SUMPRODUCT(Exposures!$B$8:$K$8,B1294:K1294)</f>
        <v/>
      </c>
      <c r="R1294" s="5">
        <f>SUMPRODUCT(Exposures!$B$9:$K$9,B1294:K1294)</f>
        <v/>
      </c>
      <c r="S1294" s="5">
        <f>SUMPRODUCT(Exposures!$B$10:$K$10,B1294:K1294)</f>
        <v/>
      </c>
    </row>
    <row r="1295">
      <c r="A1295" s="1" t="n">
        <v>44336</v>
      </c>
      <c r="B1295" s="5" t="n">
        <v>0.001870079933577842</v>
      </c>
      <c r="C1295" s="5" t="n">
        <v>-0.00184073650704709</v>
      </c>
      <c r="D1295" s="5" t="n">
        <v>0.004222125781678569</v>
      </c>
      <c r="E1295" s="5" t="n">
        <v>0.0004658362363353983</v>
      </c>
      <c r="F1295" s="5" t="n">
        <v>0.005576033698407838</v>
      </c>
      <c r="G1295" s="5" t="n">
        <v>0.007923126685565501</v>
      </c>
      <c r="H1295" s="5" t="n">
        <v>-0.003334789432517205</v>
      </c>
      <c r="I1295" s="5" t="n">
        <v>0.0006685840229811442</v>
      </c>
      <c r="J1295" s="5" t="n">
        <v>0.0007334874379708836</v>
      </c>
      <c r="K1295" s="5" t="n">
        <v>-0.002679547496340192</v>
      </c>
      <c r="L1295" s="5" t="n">
        <v>-0.003530346008084584</v>
      </c>
      <c r="M1295" s="5">
        <f>SUMPRODUCT(Exposures!$B$6:$K$6,B1295:K1295)</f>
        <v/>
      </c>
      <c r="N1295" s="5">
        <f>IF(AND($A1295&gt;=DATE(2020,2,1),$A1295&lt;=DATE(2020,5,31)),$M1295,"")</f>
        <v/>
      </c>
      <c r="O1295" s="5">
        <f>IF(AND($A1295&gt;=DATE(2022,1,1),$A1295&lt;=DATE(2022,10,31)),$M1295,"")</f>
        <v/>
      </c>
      <c r="P1295" s="5">
        <f>IF(AND($A1295&gt;=DATE(2018,10,1),$A1295&lt;=DATE(2018,12,31)),$M1295,"")</f>
        <v/>
      </c>
      <c r="Q1295" s="5">
        <f>SUMPRODUCT(Exposures!$B$8:$K$8,B1295:K1295)</f>
        <v/>
      </c>
      <c r="R1295" s="5">
        <f>SUMPRODUCT(Exposures!$B$9:$K$9,B1295:K1295)</f>
        <v/>
      </c>
      <c r="S1295" s="5">
        <f>SUMPRODUCT(Exposures!$B$10:$K$10,B1295:K1295)</f>
        <v/>
      </c>
    </row>
    <row r="1296">
      <c r="A1296" s="1" t="n">
        <v>44337</v>
      </c>
      <c r="B1296" s="5" t="n">
        <v>0.003592505143946203</v>
      </c>
      <c r="C1296" s="5" t="n">
        <v>-0.002659099532035618</v>
      </c>
      <c r="D1296" s="5" t="n">
        <v>-0.001322226752615296</v>
      </c>
      <c r="E1296" s="5" t="n">
        <v>0.001750294434885868</v>
      </c>
      <c r="F1296" s="5" t="n">
        <v>-0.001317519987213045</v>
      </c>
      <c r="G1296" s="5" t="n">
        <v>0.003307415596445352</v>
      </c>
      <c r="H1296" s="5" t="n">
        <v>-0.001414094651464822</v>
      </c>
      <c r="I1296" s="5" t="n">
        <v>0.001812812550101645</v>
      </c>
      <c r="J1296" s="5" t="n">
        <v>-0.002162025197838847</v>
      </c>
      <c r="K1296" s="5" t="n">
        <v>-0.003518261934530259</v>
      </c>
      <c r="L1296" s="5" t="n">
        <v>0.001930828899002462</v>
      </c>
      <c r="M1296" s="5">
        <f>SUMPRODUCT(Exposures!$B$6:$K$6,B1296:K1296)</f>
        <v/>
      </c>
      <c r="N1296" s="5">
        <f>IF(AND($A1296&gt;=DATE(2020,2,1),$A1296&lt;=DATE(2020,5,31)),$M1296,"")</f>
        <v/>
      </c>
      <c r="O1296" s="5">
        <f>IF(AND($A1296&gt;=DATE(2022,1,1),$A1296&lt;=DATE(2022,10,31)),$M1296,"")</f>
        <v/>
      </c>
      <c r="P1296" s="5">
        <f>IF(AND($A1296&gt;=DATE(2018,10,1),$A1296&lt;=DATE(2018,12,31)),$M1296,"")</f>
        <v/>
      </c>
      <c r="Q1296" s="5">
        <f>SUMPRODUCT(Exposures!$B$8:$K$8,B1296:K1296)</f>
        <v/>
      </c>
      <c r="R1296" s="5">
        <f>SUMPRODUCT(Exposures!$B$9:$K$9,B1296:K1296)</f>
        <v/>
      </c>
      <c r="S1296" s="5">
        <f>SUMPRODUCT(Exposures!$B$10:$K$10,B1296:K1296)</f>
        <v/>
      </c>
    </row>
    <row r="1297">
      <c r="A1297" s="1" t="n">
        <v>44340</v>
      </c>
      <c r="B1297" s="5" t="n">
        <v>0.00592111886606969</v>
      </c>
      <c r="C1297" s="5" t="n">
        <v>-0.002344959680018048</v>
      </c>
      <c r="D1297" s="5" t="n">
        <v>0.001470316770349483</v>
      </c>
      <c r="E1297" s="5" t="n">
        <v>0.0006750470307339682</v>
      </c>
      <c r="F1297" s="5" t="n">
        <v>0.007136354327840102</v>
      </c>
      <c r="G1297" s="5" t="n">
        <v>0.004908340556396227</v>
      </c>
      <c r="H1297" s="5" t="n">
        <v>0.004643435668479826</v>
      </c>
      <c r="I1297" s="5" t="n">
        <v>0.0008450902674171002</v>
      </c>
      <c r="J1297" s="5" t="n">
        <v>-0.006980650733665009</v>
      </c>
      <c r="K1297" s="5" t="n">
        <v>-0.005305116225454818</v>
      </c>
      <c r="L1297" s="5" t="n">
        <v>0.0002456385418981066</v>
      </c>
      <c r="M1297" s="5">
        <f>SUMPRODUCT(Exposures!$B$6:$K$6,B1297:K1297)</f>
        <v/>
      </c>
      <c r="N1297" s="5">
        <f>IF(AND($A1297&gt;=DATE(2020,2,1),$A1297&lt;=DATE(2020,5,31)),$M1297,"")</f>
        <v/>
      </c>
      <c r="O1297" s="5">
        <f>IF(AND($A1297&gt;=DATE(2022,1,1),$A1297&lt;=DATE(2022,10,31)),$M1297,"")</f>
        <v/>
      </c>
      <c r="P1297" s="5">
        <f>IF(AND($A1297&gt;=DATE(2018,10,1),$A1297&lt;=DATE(2018,12,31)),$M1297,"")</f>
        <v/>
      </c>
      <c r="Q1297" s="5">
        <f>SUMPRODUCT(Exposures!$B$8:$K$8,B1297:K1297)</f>
        <v/>
      </c>
      <c r="R1297" s="5">
        <f>SUMPRODUCT(Exposures!$B$9:$K$9,B1297:K1297)</f>
        <v/>
      </c>
      <c r="S1297" s="5">
        <f>SUMPRODUCT(Exposures!$B$10:$K$10,B1297:K1297)</f>
        <v/>
      </c>
    </row>
    <row r="1298">
      <c r="A1298" s="1" t="n">
        <v>44341</v>
      </c>
      <c r="B1298" s="5" t="n">
        <v>-3.442691201025437e-05</v>
      </c>
      <c r="C1298" s="5" t="n">
        <v>-0.0001364095070289963</v>
      </c>
      <c r="D1298" s="5" t="n">
        <v>0.00113642871727216</v>
      </c>
      <c r="E1298" s="5" t="n">
        <v>-0.001347736422114515</v>
      </c>
      <c r="F1298" s="5" t="n">
        <v>0.007838269737292541</v>
      </c>
      <c r="G1298" s="5" t="n">
        <v>-0.007830809046245054</v>
      </c>
      <c r="H1298" s="5" t="n">
        <v>0.00157734074308412</v>
      </c>
      <c r="I1298" s="5" t="n">
        <v>0.0002461675657856152</v>
      </c>
      <c r="J1298" s="5" t="n">
        <v>-0.003117934501569758</v>
      </c>
      <c r="K1298" s="5" t="n">
        <v>-0.004980370232646816</v>
      </c>
      <c r="L1298" s="5" t="n">
        <v>-0.003450080014156893</v>
      </c>
      <c r="M1298" s="5">
        <f>SUMPRODUCT(Exposures!$B$6:$K$6,B1298:K1298)</f>
        <v/>
      </c>
      <c r="N1298" s="5">
        <f>IF(AND($A1298&gt;=DATE(2020,2,1),$A1298&lt;=DATE(2020,5,31)),$M1298,"")</f>
        <v/>
      </c>
      <c r="O1298" s="5">
        <f>IF(AND($A1298&gt;=DATE(2022,1,1),$A1298&lt;=DATE(2022,10,31)),$M1298,"")</f>
        <v/>
      </c>
      <c r="P1298" s="5">
        <f>IF(AND($A1298&gt;=DATE(2018,10,1),$A1298&lt;=DATE(2018,12,31)),$M1298,"")</f>
        <v/>
      </c>
      <c r="Q1298" s="5">
        <f>SUMPRODUCT(Exposures!$B$8:$K$8,B1298:K1298)</f>
        <v/>
      </c>
      <c r="R1298" s="5">
        <f>SUMPRODUCT(Exposures!$B$9:$K$9,B1298:K1298)</f>
        <v/>
      </c>
      <c r="S1298" s="5">
        <f>SUMPRODUCT(Exposures!$B$10:$K$10,B1298:K1298)</f>
        <v/>
      </c>
    </row>
    <row r="1299">
      <c r="A1299" s="1" t="n">
        <v>44342</v>
      </c>
      <c r="B1299" s="5" t="n">
        <v>0.0002502713469236624</v>
      </c>
      <c r="C1299" s="5" t="n">
        <v>0.0004696542183312537</v>
      </c>
      <c r="D1299" s="5" t="n">
        <v>-0.000484891193141077</v>
      </c>
      <c r="E1299" s="5" t="n">
        <v>-0.0009275533326027129</v>
      </c>
      <c r="F1299" s="5" t="n">
        <v>0.0004879120459168975</v>
      </c>
      <c r="G1299" s="5" t="n">
        <v>0.008338873907476486</v>
      </c>
      <c r="H1299" s="5" t="n">
        <v>0.002944567706854305</v>
      </c>
      <c r="I1299" s="5" t="n">
        <v>-0.0005772045983709863</v>
      </c>
      <c r="J1299" s="5" t="n">
        <v>0.005251021429871253</v>
      </c>
      <c r="K1299" s="5" t="n">
        <v>-0.002997920058289676</v>
      </c>
      <c r="L1299" s="5" t="n">
        <v>0.001861478466974712</v>
      </c>
      <c r="M1299" s="5">
        <f>SUMPRODUCT(Exposures!$B$6:$K$6,B1299:K1299)</f>
        <v/>
      </c>
      <c r="N1299" s="5">
        <f>IF(AND($A1299&gt;=DATE(2020,2,1),$A1299&lt;=DATE(2020,5,31)),$M1299,"")</f>
        <v/>
      </c>
      <c r="O1299" s="5">
        <f>IF(AND($A1299&gt;=DATE(2022,1,1),$A1299&lt;=DATE(2022,10,31)),$M1299,"")</f>
        <v/>
      </c>
      <c r="P1299" s="5">
        <f>IF(AND($A1299&gt;=DATE(2018,10,1),$A1299&lt;=DATE(2018,12,31)),$M1299,"")</f>
        <v/>
      </c>
      <c r="Q1299" s="5">
        <f>SUMPRODUCT(Exposures!$B$8:$K$8,B1299:K1299)</f>
        <v/>
      </c>
      <c r="R1299" s="5">
        <f>SUMPRODUCT(Exposures!$B$9:$K$9,B1299:K1299)</f>
        <v/>
      </c>
      <c r="S1299" s="5">
        <f>SUMPRODUCT(Exposures!$B$10:$K$10,B1299:K1299)</f>
        <v/>
      </c>
    </row>
    <row r="1300">
      <c r="A1300" s="1" t="n">
        <v>44343</v>
      </c>
      <c r="B1300" s="5" t="n">
        <v>0.002827170373358092</v>
      </c>
      <c r="C1300" s="5" t="n">
        <v>-0.001051630767881884</v>
      </c>
      <c r="D1300" s="5" t="n">
        <v>-0.001064725563104511</v>
      </c>
      <c r="E1300" s="5" t="n">
        <v>0.0009604189538759702</v>
      </c>
      <c r="F1300" s="5" t="n">
        <v>-0.0009037243881089298</v>
      </c>
      <c r="G1300" s="5" t="n">
        <v>0.008543361448154907</v>
      </c>
      <c r="H1300" s="5" t="n">
        <v>0.00402454614979028</v>
      </c>
      <c r="I1300" s="5" t="n">
        <v>-0.0003696487856601218</v>
      </c>
      <c r="J1300" s="5" t="n">
        <v>0.004344122513179859</v>
      </c>
      <c r="K1300" s="5" t="n">
        <v>-0.000807488868246714</v>
      </c>
      <c r="L1300" s="5" t="n">
        <v>0.002027912545322074</v>
      </c>
      <c r="M1300" s="5">
        <f>SUMPRODUCT(Exposures!$B$6:$K$6,B1300:K1300)</f>
        <v/>
      </c>
      <c r="N1300" s="5">
        <f>IF(AND($A1300&gt;=DATE(2020,2,1),$A1300&lt;=DATE(2020,5,31)),$M1300,"")</f>
        <v/>
      </c>
      <c r="O1300" s="5">
        <f>IF(AND($A1300&gt;=DATE(2022,1,1),$A1300&lt;=DATE(2022,10,31)),$M1300,"")</f>
        <v/>
      </c>
      <c r="P1300" s="5">
        <f>IF(AND($A1300&gt;=DATE(2018,10,1),$A1300&lt;=DATE(2018,12,31)),$M1300,"")</f>
        <v/>
      </c>
      <c r="Q1300" s="5">
        <f>SUMPRODUCT(Exposures!$B$8:$K$8,B1300:K1300)</f>
        <v/>
      </c>
      <c r="R1300" s="5">
        <f>SUMPRODUCT(Exposures!$B$9:$K$9,B1300:K1300)</f>
        <v/>
      </c>
      <c r="S1300" s="5">
        <f>SUMPRODUCT(Exposures!$B$10:$K$10,B1300:K1300)</f>
        <v/>
      </c>
    </row>
    <row r="1301">
      <c r="A1301" s="1" t="n">
        <v>44344</v>
      </c>
      <c r="B1301" s="5" t="n">
        <v>-0.004020896772749498</v>
      </c>
      <c r="C1301" s="5" t="n">
        <v>-0.003016750056334661</v>
      </c>
      <c r="D1301" s="5" t="n">
        <v>0.001031893974446553</v>
      </c>
      <c r="E1301" s="5" t="n">
        <v>-0.000348673570193809</v>
      </c>
      <c r="F1301" s="5" t="n">
        <v>0.002522896499189457</v>
      </c>
      <c r="G1301" s="5" t="n">
        <v>0.001017493003291877</v>
      </c>
      <c r="H1301" s="5" t="n">
        <v>0.0009514062279122242</v>
      </c>
      <c r="I1301" s="5" t="n">
        <v>-0.000516268961298913</v>
      </c>
      <c r="J1301" s="5" t="n">
        <v>-0.001973805031272867</v>
      </c>
      <c r="K1301" s="5" t="n">
        <v>-0.002213413500027618</v>
      </c>
      <c r="L1301" s="5" t="n">
        <v>0.001606483897053545</v>
      </c>
      <c r="M1301" s="5">
        <f>SUMPRODUCT(Exposures!$B$6:$K$6,B1301:K1301)</f>
        <v/>
      </c>
      <c r="N1301" s="5">
        <f>IF(AND($A1301&gt;=DATE(2020,2,1),$A1301&lt;=DATE(2020,5,31)),$M1301,"")</f>
        <v/>
      </c>
      <c r="O1301" s="5">
        <f>IF(AND($A1301&gt;=DATE(2022,1,1),$A1301&lt;=DATE(2022,10,31)),$M1301,"")</f>
        <v/>
      </c>
      <c r="P1301" s="5">
        <f>IF(AND($A1301&gt;=DATE(2018,10,1),$A1301&lt;=DATE(2018,12,31)),$M1301,"")</f>
        <v/>
      </c>
      <c r="Q1301" s="5">
        <f>SUMPRODUCT(Exposures!$B$8:$K$8,B1301:K1301)</f>
        <v/>
      </c>
      <c r="R1301" s="5">
        <f>SUMPRODUCT(Exposures!$B$9:$K$9,B1301:K1301)</f>
        <v/>
      </c>
      <c r="S1301" s="5">
        <f>SUMPRODUCT(Exposures!$B$10:$K$10,B1301:K1301)</f>
        <v/>
      </c>
    </row>
    <row r="1302">
      <c r="A1302" s="1" t="n">
        <v>44348</v>
      </c>
      <c r="B1302" s="5" t="n">
        <v>0.004012283853265484</v>
      </c>
      <c r="C1302" s="5" t="n">
        <v>-0.001235063261428109</v>
      </c>
      <c r="D1302" s="5" t="n">
        <v>-0.002027364816678699</v>
      </c>
      <c r="E1302" s="5" t="n">
        <v>0.003905591220648776</v>
      </c>
      <c r="F1302" s="5" t="n">
        <v>-0.00223316946214216</v>
      </c>
      <c r="G1302" s="5" t="n">
        <v>0.00683153938658061</v>
      </c>
      <c r="H1302" s="5" t="n">
        <v>-0.00140023860268476</v>
      </c>
      <c r="I1302" s="5" t="n">
        <v>-0.001925789910791525</v>
      </c>
      <c r="J1302" s="5" t="n">
        <v>0.007570525779811833</v>
      </c>
      <c r="K1302" s="5" t="n">
        <v>0.002890559232847449</v>
      </c>
      <c r="L1302" s="5" t="n">
        <v>0.003169008521157657</v>
      </c>
      <c r="M1302" s="5">
        <f>SUMPRODUCT(Exposures!$B$6:$K$6,B1302:K1302)</f>
        <v/>
      </c>
      <c r="N1302" s="5">
        <f>IF(AND($A1302&gt;=DATE(2020,2,1),$A1302&lt;=DATE(2020,5,31)),$M1302,"")</f>
        <v/>
      </c>
      <c r="O1302" s="5">
        <f>IF(AND($A1302&gt;=DATE(2022,1,1),$A1302&lt;=DATE(2022,10,31)),$M1302,"")</f>
        <v/>
      </c>
      <c r="P1302" s="5">
        <f>IF(AND($A1302&gt;=DATE(2018,10,1),$A1302&lt;=DATE(2018,12,31)),$M1302,"")</f>
        <v/>
      </c>
      <c r="Q1302" s="5">
        <f>SUMPRODUCT(Exposures!$B$8:$K$8,B1302:K1302)</f>
        <v/>
      </c>
      <c r="R1302" s="5">
        <f>SUMPRODUCT(Exposures!$B$9:$K$9,B1302:K1302)</f>
        <v/>
      </c>
      <c r="S1302" s="5">
        <f>SUMPRODUCT(Exposures!$B$10:$K$10,B1302:K1302)</f>
        <v/>
      </c>
    </row>
    <row r="1303">
      <c r="A1303" s="1" t="n">
        <v>44349</v>
      </c>
      <c r="B1303" s="5" t="n">
        <v>-0.002070552702410476</v>
      </c>
      <c r="C1303" s="5" t="n">
        <v>-0.0004153420713087513</v>
      </c>
      <c r="D1303" s="5" t="n">
        <v>-0.002112655673959957</v>
      </c>
      <c r="E1303" s="5" t="n">
        <v>0.001591262074004486</v>
      </c>
      <c r="F1303" s="5" t="n">
        <v>0.008940860740151432</v>
      </c>
      <c r="G1303" s="5" t="n">
        <v>-0.001955881427411269</v>
      </c>
      <c r="H1303" s="5" t="n">
        <v>-0.00558254923567794</v>
      </c>
      <c r="I1303" s="5" t="n">
        <v>0.0005605250698038302</v>
      </c>
      <c r="J1303" s="5" t="n">
        <v>0.001945695221822909</v>
      </c>
      <c r="K1303" s="5" t="n">
        <v>-0.007118221055443054</v>
      </c>
      <c r="L1303" s="5" t="n">
        <v>-0.001604683688974756</v>
      </c>
      <c r="M1303" s="5">
        <f>SUMPRODUCT(Exposures!$B$6:$K$6,B1303:K1303)</f>
        <v/>
      </c>
      <c r="N1303" s="5">
        <f>IF(AND($A1303&gt;=DATE(2020,2,1),$A1303&lt;=DATE(2020,5,31)),$M1303,"")</f>
        <v/>
      </c>
      <c r="O1303" s="5">
        <f>IF(AND($A1303&gt;=DATE(2022,1,1),$A1303&lt;=DATE(2022,10,31)),$M1303,"")</f>
        <v/>
      </c>
      <c r="P1303" s="5">
        <f>IF(AND($A1303&gt;=DATE(2018,10,1),$A1303&lt;=DATE(2018,12,31)),$M1303,"")</f>
        <v/>
      </c>
      <c r="Q1303" s="5">
        <f>SUMPRODUCT(Exposures!$B$8:$K$8,B1303:K1303)</f>
        <v/>
      </c>
      <c r="R1303" s="5">
        <f>SUMPRODUCT(Exposures!$B$9:$K$9,B1303:K1303)</f>
        <v/>
      </c>
      <c r="S1303" s="5">
        <f>SUMPRODUCT(Exposures!$B$10:$K$10,B1303:K1303)</f>
        <v/>
      </c>
    </row>
    <row r="1304">
      <c r="A1304" s="1" t="n">
        <v>44350</v>
      </c>
      <c r="B1304" s="5" t="n">
        <v>-0.002944134527908074</v>
      </c>
      <c r="C1304" s="5" t="n">
        <v>0.0003235783928737582</v>
      </c>
      <c r="D1304" s="5" t="n">
        <v>0.004471449531761949</v>
      </c>
      <c r="E1304" s="5" t="n">
        <v>0.001763855950119463</v>
      </c>
      <c r="F1304" s="5" t="n">
        <v>-0.008675751600191845</v>
      </c>
      <c r="G1304" s="5" t="n">
        <v>-0.003701935755318685</v>
      </c>
      <c r="H1304" s="5" t="n">
        <v>-0.001396715737862038</v>
      </c>
      <c r="I1304" s="5" t="n">
        <v>-0.0006019173302098342</v>
      </c>
      <c r="J1304" s="5" t="n">
        <v>-0.002470869711478314</v>
      </c>
      <c r="K1304" s="5" t="n">
        <v>0.007474598433920066</v>
      </c>
      <c r="L1304" s="5" t="n">
        <v>0.001691985304622333</v>
      </c>
      <c r="M1304" s="5">
        <f>SUMPRODUCT(Exposures!$B$6:$K$6,B1304:K1304)</f>
        <v/>
      </c>
      <c r="N1304" s="5">
        <f>IF(AND($A1304&gt;=DATE(2020,2,1),$A1304&lt;=DATE(2020,5,31)),$M1304,"")</f>
        <v/>
      </c>
      <c r="O1304" s="5">
        <f>IF(AND($A1304&gt;=DATE(2022,1,1),$A1304&lt;=DATE(2022,10,31)),$M1304,"")</f>
        <v/>
      </c>
      <c r="P1304" s="5">
        <f>IF(AND($A1304&gt;=DATE(2018,10,1),$A1304&lt;=DATE(2018,12,31)),$M1304,"")</f>
        <v/>
      </c>
      <c r="Q1304" s="5">
        <f>SUMPRODUCT(Exposures!$B$8:$K$8,B1304:K1304)</f>
        <v/>
      </c>
      <c r="R1304" s="5">
        <f>SUMPRODUCT(Exposures!$B$9:$K$9,B1304:K1304)</f>
        <v/>
      </c>
      <c r="S1304" s="5">
        <f>SUMPRODUCT(Exposures!$B$10:$K$10,B1304:K1304)</f>
        <v/>
      </c>
    </row>
    <row r="1305">
      <c r="A1305" s="1" t="n">
        <v>44351</v>
      </c>
      <c r="B1305" s="5" t="n">
        <v>0.00453378539847876</v>
      </c>
      <c r="C1305" s="5" t="n">
        <v>0.0006209853593167255</v>
      </c>
      <c r="D1305" s="5" t="n">
        <v>-0.001202887292549798</v>
      </c>
      <c r="E1305" s="5" t="n">
        <v>-0.001679828639882278</v>
      </c>
      <c r="F1305" s="5" t="n">
        <v>0.00183586469467435</v>
      </c>
      <c r="G1305" s="5" t="n">
        <v>0.004512819940691398</v>
      </c>
      <c r="H1305" s="5" t="n">
        <v>-0.001886050598102339</v>
      </c>
      <c r="I1305" s="5" t="n">
        <v>0.0007431263478441742</v>
      </c>
      <c r="J1305" s="5" t="n">
        <v>-0.002642532732417339</v>
      </c>
      <c r="K1305" s="5" t="n">
        <v>-0.001594109639377279</v>
      </c>
      <c r="L1305" s="5" t="n">
        <v>-0.003012877479747628</v>
      </c>
      <c r="M1305" s="5">
        <f>SUMPRODUCT(Exposures!$B$6:$K$6,B1305:K1305)</f>
        <v/>
      </c>
      <c r="N1305" s="5">
        <f>IF(AND($A1305&gt;=DATE(2020,2,1),$A1305&lt;=DATE(2020,5,31)),$M1305,"")</f>
        <v/>
      </c>
      <c r="O1305" s="5">
        <f>IF(AND($A1305&gt;=DATE(2022,1,1),$A1305&lt;=DATE(2022,10,31)),$M1305,"")</f>
        <v/>
      </c>
      <c r="P1305" s="5">
        <f>IF(AND($A1305&gt;=DATE(2018,10,1),$A1305&lt;=DATE(2018,12,31)),$M1305,"")</f>
        <v/>
      </c>
      <c r="Q1305" s="5">
        <f>SUMPRODUCT(Exposures!$B$8:$K$8,B1305:K1305)</f>
        <v/>
      </c>
      <c r="R1305" s="5">
        <f>SUMPRODUCT(Exposures!$B$9:$K$9,B1305:K1305)</f>
        <v/>
      </c>
      <c r="S1305" s="5">
        <f>SUMPRODUCT(Exposures!$B$10:$K$10,B1305:K1305)</f>
        <v/>
      </c>
    </row>
    <row r="1306">
      <c r="A1306" s="1" t="n">
        <v>44354</v>
      </c>
      <c r="B1306" s="5" t="n">
        <v>-0.006464048565715072</v>
      </c>
      <c r="C1306" s="5" t="n">
        <v>-0.0004010614904616009</v>
      </c>
      <c r="D1306" s="5" t="n">
        <v>-6.759184768002113e-05</v>
      </c>
      <c r="E1306" s="5" t="n">
        <v>0.0004236706726605632</v>
      </c>
      <c r="F1306" s="5" t="n">
        <v>0.003680493420775479</v>
      </c>
      <c r="G1306" s="5" t="n">
        <v>0.007910111234838958</v>
      </c>
      <c r="H1306" s="5" t="n">
        <v>-0.00818622987588323</v>
      </c>
      <c r="I1306" s="5" t="n">
        <v>0.001558231538718625</v>
      </c>
      <c r="J1306" s="5" t="n">
        <v>0.02055203448100622</v>
      </c>
      <c r="K1306" s="5" t="n">
        <v>-0.003340111405775842</v>
      </c>
      <c r="L1306" s="5" t="n">
        <v>-0.002497217713586311</v>
      </c>
      <c r="M1306" s="5">
        <f>SUMPRODUCT(Exposures!$B$6:$K$6,B1306:K1306)</f>
        <v/>
      </c>
      <c r="N1306" s="5">
        <f>IF(AND($A1306&gt;=DATE(2020,2,1),$A1306&lt;=DATE(2020,5,31)),$M1306,"")</f>
        <v/>
      </c>
      <c r="O1306" s="5">
        <f>IF(AND($A1306&gt;=DATE(2022,1,1),$A1306&lt;=DATE(2022,10,31)),$M1306,"")</f>
        <v/>
      </c>
      <c r="P1306" s="5">
        <f>IF(AND($A1306&gt;=DATE(2018,10,1),$A1306&lt;=DATE(2018,12,31)),$M1306,"")</f>
        <v/>
      </c>
      <c r="Q1306" s="5">
        <f>SUMPRODUCT(Exposures!$B$8:$K$8,B1306:K1306)</f>
        <v/>
      </c>
      <c r="R1306" s="5">
        <f>SUMPRODUCT(Exposures!$B$9:$K$9,B1306:K1306)</f>
        <v/>
      </c>
      <c r="S1306" s="5">
        <f>SUMPRODUCT(Exposures!$B$10:$K$10,B1306:K1306)</f>
        <v/>
      </c>
    </row>
    <row r="1307">
      <c r="A1307" s="1" t="n">
        <v>44355</v>
      </c>
      <c r="B1307" s="5" t="n">
        <v>-1.16530829501766e-05</v>
      </c>
      <c r="C1307" s="5" t="n">
        <v>-0.001971669451046413</v>
      </c>
      <c r="D1307" s="5" t="n">
        <v>-0.001337330413989563</v>
      </c>
      <c r="E1307" s="5" t="n">
        <v>-0.001468797095006231</v>
      </c>
      <c r="F1307" s="5" t="n">
        <v>0.002960840965104003</v>
      </c>
      <c r="G1307" s="5" t="n">
        <v>0.0068301655137487</v>
      </c>
      <c r="H1307" s="5" t="n">
        <v>0.002464058160848408</v>
      </c>
      <c r="I1307" s="5" t="n">
        <v>-0.0009931995036193235</v>
      </c>
      <c r="J1307" s="5" t="n">
        <v>0.003916130799744656</v>
      </c>
      <c r="K1307" s="5" t="n">
        <v>-0.005388549550186904</v>
      </c>
      <c r="L1307" s="5" t="n">
        <v>-0.00029255690145498</v>
      </c>
      <c r="M1307" s="5">
        <f>SUMPRODUCT(Exposures!$B$6:$K$6,B1307:K1307)</f>
        <v/>
      </c>
      <c r="N1307" s="5">
        <f>IF(AND($A1307&gt;=DATE(2020,2,1),$A1307&lt;=DATE(2020,5,31)),$M1307,"")</f>
        <v/>
      </c>
      <c r="O1307" s="5">
        <f>IF(AND($A1307&gt;=DATE(2022,1,1),$A1307&lt;=DATE(2022,10,31)),$M1307,"")</f>
        <v/>
      </c>
      <c r="P1307" s="5">
        <f>IF(AND($A1307&gt;=DATE(2018,10,1),$A1307&lt;=DATE(2018,12,31)),$M1307,"")</f>
        <v/>
      </c>
      <c r="Q1307" s="5">
        <f>SUMPRODUCT(Exposures!$B$8:$K$8,B1307:K1307)</f>
        <v/>
      </c>
      <c r="R1307" s="5">
        <f>SUMPRODUCT(Exposures!$B$9:$K$9,B1307:K1307)</f>
        <v/>
      </c>
      <c r="S1307" s="5">
        <f>SUMPRODUCT(Exposures!$B$10:$K$10,B1307:K1307)</f>
        <v/>
      </c>
    </row>
    <row r="1308">
      <c r="A1308" s="1" t="n">
        <v>44356</v>
      </c>
      <c r="B1308" s="5" t="n">
        <v>-0.002662466644058972</v>
      </c>
      <c r="C1308" s="5" t="n">
        <v>-0.0001076097972241606</v>
      </c>
      <c r="D1308" s="5" t="n">
        <v>0.0008307560046139899</v>
      </c>
      <c r="E1308" s="5" t="n">
        <v>0.0008493850102408212</v>
      </c>
      <c r="F1308" s="5" t="n">
        <v>0.002467713667428242</v>
      </c>
      <c r="G1308" s="5" t="n">
        <v>-0.004925191780544284</v>
      </c>
      <c r="H1308" s="5" t="n">
        <v>-0.002446115605480372</v>
      </c>
      <c r="I1308" s="5" t="n">
        <v>0.000599024800758396</v>
      </c>
      <c r="J1308" s="5" t="n">
        <v>-0.002113429029870786</v>
      </c>
      <c r="K1308" s="5" t="n">
        <v>-0.002618284260876843</v>
      </c>
      <c r="L1308" s="5" t="n">
        <v>-0.002225017429089059</v>
      </c>
      <c r="M1308" s="5">
        <f>SUMPRODUCT(Exposures!$B$6:$K$6,B1308:K1308)</f>
        <v/>
      </c>
      <c r="N1308" s="5">
        <f>IF(AND($A1308&gt;=DATE(2020,2,1),$A1308&lt;=DATE(2020,5,31)),$M1308,"")</f>
        <v/>
      </c>
      <c r="O1308" s="5">
        <f>IF(AND($A1308&gt;=DATE(2022,1,1),$A1308&lt;=DATE(2022,10,31)),$M1308,"")</f>
        <v/>
      </c>
      <c r="P1308" s="5">
        <f>IF(AND($A1308&gt;=DATE(2018,10,1),$A1308&lt;=DATE(2018,12,31)),$M1308,"")</f>
        <v/>
      </c>
      <c r="Q1308" s="5">
        <f>SUMPRODUCT(Exposures!$B$8:$K$8,B1308:K1308)</f>
        <v/>
      </c>
      <c r="R1308" s="5">
        <f>SUMPRODUCT(Exposures!$B$9:$K$9,B1308:K1308)</f>
        <v/>
      </c>
      <c r="S1308" s="5">
        <f>SUMPRODUCT(Exposures!$B$10:$K$10,B1308:K1308)</f>
        <v/>
      </c>
    </row>
    <row r="1309">
      <c r="A1309" s="1" t="n">
        <v>44357</v>
      </c>
      <c r="B1309" s="5" t="n">
        <v>-0.001660021923727161</v>
      </c>
      <c r="C1309" s="5" t="n">
        <v>0.001916381789283832</v>
      </c>
      <c r="D1309" s="5" t="n">
        <v>0.0057389288057038</v>
      </c>
      <c r="E1309" s="5" t="n">
        <v>-0.003024865336431918</v>
      </c>
      <c r="F1309" s="5" t="n">
        <v>0.005142554056174536</v>
      </c>
      <c r="G1309" s="5" t="n">
        <v>-8.729419005594376e-05</v>
      </c>
      <c r="H1309" s="5" t="n">
        <v>-0.005324111111958791</v>
      </c>
      <c r="I1309" s="5" t="n">
        <v>0.002902307565236613</v>
      </c>
      <c r="J1309" s="5" t="n">
        <v>-0.001327460477570096</v>
      </c>
      <c r="K1309" s="5" t="n">
        <v>-0.005038667639622052</v>
      </c>
      <c r="L1309" s="5" t="n">
        <v>-0.005560410117349944</v>
      </c>
      <c r="M1309" s="5">
        <f>SUMPRODUCT(Exposures!$B$6:$K$6,B1309:K1309)</f>
        <v/>
      </c>
      <c r="N1309" s="5">
        <f>IF(AND($A1309&gt;=DATE(2020,2,1),$A1309&lt;=DATE(2020,5,31)),$M1309,"")</f>
        <v/>
      </c>
      <c r="O1309" s="5">
        <f>IF(AND($A1309&gt;=DATE(2022,1,1),$A1309&lt;=DATE(2022,10,31)),$M1309,"")</f>
        <v/>
      </c>
      <c r="P1309" s="5">
        <f>IF(AND($A1309&gt;=DATE(2018,10,1),$A1309&lt;=DATE(2018,12,31)),$M1309,"")</f>
        <v/>
      </c>
      <c r="Q1309" s="5">
        <f>SUMPRODUCT(Exposures!$B$8:$K$8,B1309:K1309)</f>
        <v/>
      </c>
      <c r="R1309" s="5">
        <f>SUMPRODUCT(Exposures!$B$9:$K$9,B1309:K1309)</f>
        <v/>
      </c>
      <c r="S1309" s="5">
        <f>SUMPRODUCT(Exposures!$B$10:$K$10,B1309:K1309)</f>
        <v/>
      </c>
    </row>
    <row r="1310">
      <c r="A1310" s="1" t="n">
        <v>44358</v>
      </c>
      <c r="B1310" s="5" t="n">
        <v>0.002852499391277969</v>
      </c>
      <c r="C1310" s="5" t="n">
        <v>0.0007647080336095421</v>
      </c>
      <c r="D1310" s="5" t="n">
        <v>-0.001188986061560399</v>
      </c>
      <c r="E1310" s="5" t="n">
        <v>0.0006727346995790629</v>
      </c>
      <c r="F1310" s="5" t="n">
        <v>-0.003258592705620619</v>
      </c>
      <c r="G1310" s="5" t="n">
        <v>0.006749043146239029</v>
      </c>
      <c r="H1310" s="5" t="n">
        <v>0.00455657275052423</v>
      </c>
      <c r="I1310" s="5" t="n">
        <v>0.001017064926016912</v>
      </c>
      <c r="J1310" s="5" t="n">
        <v>-0.0004637555893709728</v>
      </c>
      <c r="K1310" s="5" t="n">
        <v>-0.001294262719852851</v>
      </c>
      <c r="L1310" s="5" t="n">
        <v>-0.001360335757620773</v>
      </c>
      <c r="M1310" s="5">
        <f>SUMPRODUCT(Exposures!$B$6:$K$6,B1310:K1310)</f>
        <v/>
      </c>
      <c r="N1310" s="5">
        <f>IF(AND($A1310&gt;=DATE(2020,2,1),$A1310&lt;=DATE(2020,5,31)),$M1310,"")</f>
        <v/>
      </c>
      <c r="O1310" s="5">
        <f>IF(AND($A1310&gt;=DATE(2022,1,1),$A1310&lt;=DATE(2022,10,31)),$M1310,"")</f>
        <v/>
      </c>
      <c r="P1310" s="5">
        <f>IF(AND($A1310&gt;=DATE(2018,10,1),$A1310&lt;=DATE(2018,12,31)),$M1310,"")</f>
        <v/>
      </c>
      <c r="Q1310" s="5">
        <f>SUMPRODUCT(Exposures!$B$8:$K$8,B1310:K1310)</f>
        <v/>
      </c>
      <c r="R1310" s="5">
        <f>SUMPRODUCT(Exposures!$B$9:$K$9,B1310:K1310)</f>
        <v/>
      </c>
      <c r="S1310" s="5">
        <f>SUMPRODUCT(Exposures!$B$10:$K$10,B1310:K1310)</f>
        <v/>
      </c>
    </row>
    <row r="1311">
      <c r="A1311" s="1" t="n">
        <v>44361</v>
      </c>
      <c r="B1311" s="5" t="n">
        <v>0.000370784824075572</v>
      </c>
      <c r="C1311" s="5" t="n">
        <v>0.001586839447483392</v>
      </c>
      <c r="D1311" s="5" t="n">
        <v>0.0001833223578232293</v>
      </c>
      <c r="E1311" s="5" t="n">
        <v>-0.002010995939825396</v>
      </c>
      <c r="F1311" s="5" t="n">
        <v>0.0015273100465154</v>
      </c>
      <c r="G1311" s="5" t="n">
        <v>-0.00469528223493419</v>
      </c>
      <c r="H1311" s="5" t="n">
        <v>-0.00379422790199389</v>
      </c>
      <c r="I1311" s="5" t="n">
        <v>0.002327122267381868</v>
      </c>
      <c r="J1311" s="5" t="n">
        <v>-0.0002119251725446168</v>
      </c>
      <c r="K1311" s="5" t="n">
        <v>-0.0003950567882685786</v>
      </c>
      <c r="L1311" s="5" t="n">
        <v>-0.001666372062990896</v>
      </c>
      <c r="M1311" s="5">
        <f>SUMPRODUCT(Exposures!$B$6:$K$6,B1311:K1311)</f>
        <v/>
      </c>
      <c r="N1311" s="5">
        <f>IF(AND($A1311&gt;=DATE(2020,2,1),$A1311&lt;=DATE(2020,5,31)),$M1311,"")</f>
        <v/>
      </c>
      <c r="O1311" s="5">
        <f>IF(AND($A1311&gt;=DATE(2022,1,1),$A1311&lt;=DATE(2022,10,31)),$M1311,"")</f>
        <v/>
      </c>
      <c r="P1311" s="5">
        <f>IF(AND($A1311&gt;=DATE(2018,10,1),$A1311&lt;=DATE(2018,12,31)),$M1311,"")</f>
        <v/>
      </c>
      <c r="Q1311" s="5">
        <f>SUMPRODUCT(Exposures!$B$8:$K$8,B1311:K1311)</f>
        <v/>
      </c>
      <c r="R1311" s="5">
        <f>SUMPRODUCT(Exposures!$B$9:$K$9,B1311:K1311)</f>
        <v/>
      </c>
      <c r="S1311" s="5">
        <f>SUMPRODUCT(Exposures!$B$10:$K$10,B1311:K1311)</f>
        <v/>
      </c>
    </row>
    <row r="1312">
      <c r="A1312" s="1" t="n">
        <v>44362</v>
      </c>
      <c r="B1312" s="5" t="n">
        <v>0.00296599567489329</v>
      </c>
      <c r="C1312" s="5" t="n">
        <v>-0.0001433656042635305</v>
      </c>
      <c r="D1312" s="5" t="n">
        <v>-0.001098689048522075</v>
      </c>
      <c r="E1312" s="5" t="n">
        <v>0.003177019456803633</v>
      </c>
      <c r="F1312" s="5" t="n">
        <v>-0.00252328881672823</v>
      </c>
      <c r="G1312" s="5" t="n">
        <v>-0.003244634053120869</v>
      </c>
      <c r="H1312" s="5" t="n">
        <v>0.001511987825184641</v>
      </c>
      <c r="I1312" s="5" t="n">
        <v>-0.0005534736731242838</v>
      </c>
      <c r="J1312" s="5" t="n">
        <v>-0.006062041460716387</v>
      </c>
      <c r="K1312" s="5" t="n">
        <v>0.001571521538425602</v>
      </c>
      <c r="L1312" s="5" t="n">
        <v>0.0005254311481157447</v>
      </c>
      <c r="M1312" s="5">
        <f>SUMPRODUCT(Exposures!$B$6:$K$6,B1312:K1312)</f>
        <v/>
      </c>
      <c r="N1312" s="5">
        <f>IF(AND($A1312&gt;=DATE(2020,2,1),$A1312&lt;=DATE(2020,5,31)),$M1312,"")</f>
        <v/>
      </c>
      <c r="O1312" s="5">
        <f>IF(AND($A1312&gt;=DATE(2022,1,1),$A1312&lt;=DATE(2022,10,31)),$M1312,"")</f>
        <v/>
      </c>
      <c r="P1312" s="5">
        <f>IF(AND($A1312&gt;=DATE(2018,10,1),$A1312&lt;=DATE(2018,12,31)),$M1312,"")</f>
        <v/>
      </c>
      <c r="Q1312" s="5">
        <f>SUMPRODUCT(Exposures!$B$8:$K$8,B1312:K1312)</f>
        <v/>
      </c>
      <c r="R1312" s="5">
        <f>SUMPRODUCT(Exposures!$B$9:$K$9,B1312:K1312)</f>
        <v/>
      </c>
      <c r="S1312" s="5">
        <f>SUMPRODUCT(Exposures!$B$10:$K$10,B1312:K1312)</f>
        <v/>
      </c>
    </row>
    <row r="1313">
      <c r="A1313" s="1" t="n">
        <v>44363</v>
      </c>
      <c r="B1313" s="5" t="n">
        <v>-0.0009431994841329567</v>
      </c>
      <c r="C1313" s="5" t="n">
        <v>0.002583805320845264</v>
      </c>
      <c r="D1313" s="5" t="n">
        <v>0.002330040403145805</v>
      </c>
      <c r="E1313" s="5" t="n">
        <v>0.00181011147275489</v>
      </c>
      <c r="F1313" s="5" t="n">
        <v>0.0009097171524257274</v>
      </c>
      <c r="G1313" s="5" t="n">
        <v>-0.003719285047590355</v>
      </c>
      <c r="H1313" s="5" t="n">
        <v>-0.0004342987625149889</v>
      </c>
      <c r="I1313" s="5" t="n">
        <v>0.0008588873217380967</v>
      </c>
      <c r="J1313" s="5" t="n">
        <v>0.005288007343491163</v>
      </c>
      <c r="K1313" s="5" t="n">
        <v>-0.001327658347469243</v>
      </c>
      <c r="L1313" s="5" t="n">
        <v>-0.000960758337200446</v>
      </c>
      <c r="M1313" s="5">
        <f>SUMPRODUCT(Exposures!$B$6:$K$6,B1313:K1313)</f>
        <v/>
      </c>
      <c r="N1313" s="5">
        <f>IF(AND($A1313&gt;=DATE(2020,2,1),$A1313&lt;=DATE(2020,5,31)),$M1313,"")</f>
        <v/>
      </c>
      <c r="O1313" s="5">
        <f>IF(AND($A1313&gt;=DATE(2022,1,1),$A1313&lt;=DATE(2022,10,31)),$M1313,"")</f>
        <v/>
      </c>
      <c r="P1313" s="5">
        <f>IF(AND($A1313&gt;=DATE(2018,10,1),$A1313&lt;=DATE(2018,12,31)),$M1313,"")</f>
        <v/>
      </c>
      <c r="Q1313" s="5">
        <f>SUMPRODUCT(Exposures!$B$8:$K$8,B1313:K1313)</f>
        <v/>
      </c>
      <c r="R1313" s="5">
        <f>SUMPRODUCT(Exposures!$B$9:$K$9,B1313:K1313)</f>
        <v/>
      </c>
      <c r="S1313" s="5">
        <f>SUMPRODUCT(Exposures!$B$10:$K$10,B1313:K1313)</f>
        <v/>
      </c>
    </row>
    <row r="1314">
      <c r="A1314" s="1" t="n">
        <v>44364</v>
      </c>
      <c r="B1314" s="5" t="n">
        <v>-0.005112870004971703</v>
      </c>
      <c r="C1314" s="5" t="n">
        <v>0.0002603643491580729</v>
      </c>
      <c r="D1314" s="5" t="n">
        <v>0.001040472591332531</v>
      </c>
      <c r="E1314" s="5" t="n">
        <v>-0.003895491972174688</v>
      </c>
      <c r="F1314" s="5" t="n">
        <v>0.01332007915103605</v>
      </c>
      <c r="G1314" s="5" t="n">
        <v>-0.01128061350432487</v>
      </c>
      <c r="H1314" s="5" t="n">
        <v>-0.005620875089100422</v>
      </c>
      <c r="I1314" s="5" t="n">
        <v>0.003655069083369124</v>
      </c>
      <c r="J1314" s="5" t="n">
        <v>-0.001074303976473387</v>
      </c>
      <c r="K1314" s="5" t="n">
        <v>-0.01114841056997015</v>
      </c>
      <c r="L1314" s="5" t="n">
        <v>-0.009122213030158048</v>
      </c>
      <c r="M1314" s="5">
        <f>SUMPRODUCT(Exposures!$B$6:$K$6,B1314:K1314)</f>
        <v/>
      </c>
      <c r="N1314" s="5">
        <f>IF(AND($A1314&gt;=DATE(2020,2,1),$A1314&lt;=DATE(2020,5,31)),$M1314,"")</f>
        <v/>
      </c>
      <c r="O1314" s="5">
        <f>IF(AND($A1314&gt;=DATE(2022,1,1),$A1314&lt;=DATE(2022,10,31)),$M1314,"")</f>
        <v/>
      </c>
      <c r="P1314" s="5">
        <f>IF(AND($A1314&gt;=DATE(2018,10,1),$A1314&lt;=DATE(2018,12,31)),$M1314,"")</f>
        <v/>
      </c>
      <c r="Q1314" s="5">
        <f>SUMPRODUCT(Exposures!$B$8:$K$8,B1314:K1314)</f>
        <v/>
      </c>
      <c r="R1314" s="5">
        <f>SUMPRODUCT(Exposures!$B$9:$K$9,B1314:K1314)</f>
        <v/>
      </c>
      <c r="S1314" s="5">
        <f>SUMPRODUCT(Exposures!$B$10:$K$10,B1314:K1314)</f>
        <v/>
      </c>
    </row>
    <row r="1315">
      <c r="A1315" s="1" t="n">
        <v>44365</v>
      </c>
      <c r="B1315" s="5" t="n">
        <v>-0.002313856666402788</v>
      </c>
      <c r="C1315" s="5" t="n">
        <v>-0.001797300208394514</v>
      </c>
      <c r="D1315" s="5" t="n">
        <v>0.002254348467655317</v>
      </c>
      <c r="E1315" s="5" t="n">
        <v>-0.002331598001551085</v>
      </c>
      <c r="F1315" s="5" t="n">
        <v>0.01059036575379219</v>
      </c>
      <c r="G1315" s="5" t="n">
        <v>-0.01926315444326239</v>
      </c>
      <c r="H1315" s="5" t="n">
        <v>-0.004744287871285419</v>
      </c>
      <c r="I1315" s="5" t="n">
        <v>-0.001071744596499916</v>
      </c>
      <c r="J1315" s="5" t="n">
        <v>0.001744435802325791</v>
      </c>
      <c r="K1315" s="5" t="n">
        <v>-0.005939323224003909</v>
      </c>
      <c r="L1315" s="5" t="n">
        <v>-0.004472218670779612</v>
      </c>
      <c r="M1315" s="5">
        <f>SUMPRODUCT(Exposures!$B$6:$K$6,B1315:K1315)</f>
        <v/>
      </c>
      <c r="N1315" s="5">
        <f>IF(AND($A1315&gt;=DATE(2020,2,1),$A1315&lt;=DATE(2020,5,31)),$M1315,"")</f>
        <v/>
      </c>
      <c r="O1315" s="5">
        <f>IF(AND($A1315&gt;=DATE(2022,1,1),$A1315&lt;=DATE(2022,10,31)),$M1315,"")</f>
        <v/>
      </c>
      <c r="P1315" s="5">
        <f>IF(AND($A1315&gt;=DATE(2018,10,1),$A1315&lt;=DATE(2018,12,31)),$M1315,"")</f>
        <v/>
      </c>
      <c r="Q1315" s="5">
        <f>SUMPRODUCT(Exposures!$B$8:$K$8,B1315:K1315)</f>
        <v/>
      </c>
      <c r="R1315" s="5">
        <f>SUMPRODUCT(Exposures!$B$9:$K$9,B1315:K1315)</f>
        <v/>
      </c>
      <c r="S1315" s="5">
        <f>SUMPRODUCT(Exposures!$B$10:$K$10,B1315:K1315)</f>
        <v/>
      </c>
    </row>
    <row r="1316">
      <c r="A1316" s="1" t="n">
        <v>44368</v>
      </c>
      <c r="B1316" s="5" t="n">
        <v>0.003055988302399389</v>
      </c>
      <c r="C1316" s="5" t="n">
        <v>-0.001269679610503242</v>
      </c>
      <c r="D1316" s="5" t="n">
        <v>0.002699453651285154</v>
      </c>
      <c r="E1316" s="5" t="n">
        <v>0.001799021022003249</v>
      </c>
      <c r="F1316" s="5" t="n">
        <v>-0.006389105779683659</v>
      </c>
      <c r="G1316" s="5" t="n">
        <v>0.01686658846914927</v>
      </c>
      <c r="H1316" s="5" t="n">
        <v>0.007594369387544424</v>
      </c>
      <c r="I1316" s="5" t="n">
        <v>-0.001976953584934447</v>
      </c>
      <c r="J1316" s="5" t="n">
        <v>-0.005323335311979197</v>
      </c>
      <c r="K1316" s="5" t="n">
        <v>0.005445232306565032</v>
      </c>
      <c r="L1316" s="5" t="n">
        <v>0.002975888580583047</v>
      </c>
      <c r="M1316" s="5">
        <f>SUMPRODUCT(Exposures!$B$6:$K$6,B1316:K1316)</f>
        <v/>
      </c>
      <c r="N1316" s="5">
        <f>IF(AND($A1316&gt;=DATE(2020,2,1),$A1316&lt;=DATE(2020,5,31)),$M1316,"")</f>
        <v/>
      </c>
      <c r="O1316" s="5">
        <f>IF(AND($A1316&gt;=DATE(2022,1,1),$A1316&lt;=DATE(2022,10,31)),$M1316,"")</f>
        <v/>
      </c>
      <c r="P1316" s="5">
        <f>IF(AND($A1316&gt;=DATE(2018,10,1),$A1316&lt;=DATE(2018,12,31)),$M1316,"")</f>
        <v/>
      </c>
      <c r="Q1316" s="5">
        <f>SUMPRODUCT(Exposures!$B$8:$K$8,B1316:K1316)</f>
        <v/>
      </c>
      <c r="R1316" s="5">
        <f>SUMPRODUCT(Exposures!$B$9:$K$9,B1316:K1316)</f>
        <v/>
      </c>
      <c r="S1316" s="5">
        <f>SUMPRODUCT(Exposures!$B$10:$K$10,B1316:K1316)</f>
        <v/>
      </c>
    </row>
    <row r="1317">
      <c r="A1317" s="1" t="n">
        <v>44369</v>
      </c>
      <c r="B1317" s="5" t="n">
        <v>-0.0005028911715184751</v>
      </c>
      <c r="C1317" s="5" t="n">
        <v>0.0002624889336392521</v>
      </c>
      <c r="D1317" s="5" t="n">
        <v>-0.001928650017484678</v>
      </c>
      <c r="E1317" s="5" t="n">
        <v>0.0004960339490436022</v>
      </c>
      <c r="F1317" s="5" t="n">
        <v>0.00289078993287675</v>
      </c>
      <c r="G1317" s="5" t="n">
        <v>0.001814321352315817</v>
      </c>
      <c r="H1317" s="5" t="n">
        <v>0.00287895132307112</v>
      </c>
      <c r="I1317" s="5" t="n">
        <v>0.001251725690144526</v>
      </c>
      <c r="J1317" s="5" t="n">
        <v>-0.00107730644096658</v>
      </c>
      <c r="K1317" s="5" t="n">
        <v>-0.003015178970098729</v>
      </c>
      <c r="L1317" s="5" t="n">
        <v>-0.002103293856628135</v>
      </c>
      <c r="M1317" s="5">
        <f>SUMPRODUCT(Exposures!$B$6:$K$6,B1317:K1317)</f>
        <v/>
      </c>
      <c r="N1317" s="5">
        <f>IF(AND($A1317&gt;=DATE(2020,2,1),$A1317&lt;=DATE(2020,5,31)),$M1317,"")</f>
        <v/>
      </c>
      <c r="O1317" s="5">
        <f>IF(AND($A1317&gt;=DATE(2022,1,1),$A1317&lt;=DATE(2022,10,31)),$M1317,"")</f>
        <v/>
      </c>
      <c r="P1317" s="5">
        <f>IF(AND($A1317&gt;=DATE(2018,10,1),$A1317&lt;=DATE(2018,12,31)),$M1317,"")</f>
        <v/>
      </c>
      <c r="Q1317" s="5">
        <f>SUMPRODUCT(Exposures!$B$8:$K$8,B1317:K1317)</f>
        <v/>
      </c>
      <c r="R1317" s="5">
        <f>SUMPRODUCT(Exposures!$B$9:$K$9,B1317:K1317)</f>
        <v/>
      </c>
      <c r="S1317" s="5">
        <f>SUMPRODUCT(Exposures!$B$10:$K$10,B1317:K1317)</f>
        <v/>
      </c>
    </row>
    <row r="1318">
      <c r="A1318" s="1" t="n">
        <v>44370</v>
      </c>
      <c r="B1318" s="5" t="n">
        <v>-0.001402752450337866</v>
      </c>
      <c r="C1318" s="5" t="n">
        <v>0.0003650951457679393</v>
      </c>
      <c r="D1318" s="5" t="n">
        <v>9.900128770148335e-05</v>
      </c>
      <c r="E1318" s="5" t="n">
        <v>-0.001061892857927084</v>
      </c>
      <c r="F1318" s="5" t="n">
        <v>-0.0005574218889497255</v>
      </c>
      <c r="G1318" s="5" t="n">
        <v>0.001619880041804526</v>
      </c>
      <c r="H1318" s="5" t="n">
        <v>0.004833372428671478</v>
      </c>
      <c r="I1318" s="5" t="n">
        <v>0.0003998801167699381</v>
      </c>
      <c r="J1318" s="5" t="n">
        <v>0.004457437211466988</v>
      </c>
      <c r="K1318" s="5" t="n">
        <v>0.001619389552788665</v>
      </c>
      <c r="L1318" s="5" t="n">
        <v>0.001402126550616276</v>
      </c>
      <c r="M1318" s="5">
        <f>SUMPRODUCT(Exposures!$B$6:$K$6,B1318:K1318)</f>
        <v/>
      </c>
      <c r="N1318" s="5">
        <f>IF(AND($A1318&gt;=DATE(2020,2,1),$A1318&lt;=DATE(2020,5,31)),$M1318,"")</f>
        <v/>
      </c>
      <c r="O1318" s="5">
        <f>IF(AND($A1318&gt;=DATE(2022,1,1),$A1318&lt;=DATE(2022,10,31)),$M1318,"")</f>
        <v/>
      </c>
      <c r="P1318" s="5">
        <f>IF(AND($A1318&gt;=DATE(2018,10,1),$A1318&lt;=DATE(2018,12,31)),$M1318,"")</f>
        <v/>
      </c>
      <c r="Q1318" s="5">
        <f>SUMPRODUCT(Exposures!$B$8:$K$8,B1318:K1318)</f>
        <v/>
      </c>
      <c r="R1318" s="5">
        <f>SUMPRODUCT(Exposures!$B$9:$K$9,B1318:K1318)</f>
        <v/>
      </c>
      <c r="S1318" s="5">
        <f>SUMPRODUCT(Exposures!$B$10:$K$10,B1318:K1318)</f>
        <v/>
      </c>
    </row>
    <row r="1319">
      <c r="A1319" s="1" t="n">
        <v>44371</v>
      </c>
      <c r="B1319" s="5" t="n">
        <v>0.005141850083607581</v>
      </c>
      <c r="C1319" s="5" t="n">
        <v>-0.0009062466638861399</v>
      </c>
      <c r="D1319" s="5" t="n">
        <v>-0.0002920682737975996</v>
      </c>
      <c r="E1319" s="5" t="n">
        <v>0.001525430797590423</v>
      </c>
      <c r="F1319" s="5" t="n">
        <v>-0.004899307158433635</v>
      </c>
      <c r="G1319" s="5" t="n">
        <v>0.008281720749566049</v>
      </c>
      <c r="H1319" s="5" t="n">
        <v>-0.0001322712244119933</v>
      </c>
      <c r="I1319" s="5" t="n">
        <v>0.002307538122281812</v>
      </c>
      <c r="J1319" s="5" t="n">
        <v>-0.0003155949254237842</v>
      </c>
      <c r="K1319" s="5" t="n">
        <v>0.002482827517433129</v>
      </c>
      <c r="L1319" s="5" t="n">
        <v>0.0005227725368476816</v>
      </c>
      <c r="M1319" s="5">
        <f>SUMPRODUCT(Exposures!$B$6:$K$6,B1319:K1319)</f>
        <v/>
      </c>
      <c r="N1319" s="5">
        <f>IF(AND($A1319&gt;=DATE(2020,2,1),$A1319&lt;=DATE(2020,5,31)),$M1319,"")</f>
        <v/>
      </c>
      <c r="O1319" s="5">
        <f>IF(AND($A1319&gt;=DATE(2022,1,1),$A1319&lt;=DATE(2022,10,31)),$M1319,"")</f>
        <v/>
      </c>
      <c r="P1319" s="5">
        <f>IF(AND($A1319&gt;=DATE(2018,10,1),$A1319&lt;=DATE(2018,12,31)),$M1319,"")</f>
        <v/>
      </c>
      <c r="Q1319" s="5">
        <f>SUMPRODUCT(Exposures!$B$8:$K$8,B1319:K1319)</f>
        <v/>
      </c>
      <c r="R1319" s="5">
        <f>SUMPRODUCT(Exposures!$B$9:$K$9,B1319:K1319)</f>
        <v/>
      </c>
      <c r="S1319" s="5">
        <f>SUMPRODUCT(Exposures!$B$10:$K$10,B1319:K1319)</f>
        <v/>
      </c>
    </row>
    <row r="1320">
      <c r="A1320" s="1" t="n">
        <v>44372</v>
      </c>
      <c r="B1320" s="5" t="n">
        <v>-0.005326230415271878</v>
      </c>
      <c r="C1320" s="5" t="n">
        <v>-0.0001420961292396779</v>
      </c>
      <c r="D1320" s="5" t="n">
        <v>-0.001895165424352969</v>
      </c>
      <c r="E1320" s="5" t="n">
        <v>-0.0003149993117227486</v>
      </c>
      <c r="F1320" s="5" t="n">
        <v>-0.009148225191069068</v>
      </c>
      <c r="G1320" s="5" t="n">
        <v>0.00701983076376706</v>
      </c>
      <c r="H1320" s="5" t="n">
        <v>-0.002448704840107604</v>
      </c>
      <c r="I1320" s="5" t="n">
        <v>-0.002993868163656066</v>
      </c>
      <c r="J1320" s="5" t="n">
        <v>0.005865724085071676</v>
      </c>
      <c r="K1320" s="5" t="n">
        <v>0.0118636893944587</v>
      </c>
      <c r="L1320" s="5" t="n">
        <v>0.003024498039663824</v>
      </c>
      <c r="M1320" s="5">
        <f>SUMPRODUCT(Exposures!$B$6:$K$6,B1320:K1320)</f>
        <v/>
      </c>
      <c r="N1320" s="5">
        <f>IF(AND($A1320&gt;=DATE(2020,2,1),$A1320&lt;=DATE(2020,5,31)),$M1320,"")</f>
        <v/>
      </c>
      <c r="O1320" s="5">
        <f>IF(AND($A1320&gt;=DATE(2022,1,1),$A1320&lt;=DATE(2022,10,31)),$M1320,"")</f>
        <v/>
      </c>
      <c r="P1320" s="5">
        <f>IF(AND($A1320&gt;=DATE(2018,10,1),$A1320&lt;=DATE(2018,12,31)),$M1320,"")</f>
        <v/>
      </c>
      <c r="Q1320" s="5">
        <f>SUMPRODUCT(Exposures!$B$8:$K$8,B1320:K1320)</f>
        <v/>
      </c>
      <c r="R1320" s="5">
        <f>SUMPRODUCT(Exposures!$B$9:$K$9,B1320:K1320)</f>
        <v/>
      </c>
      <c r="S1320" s="5">
        <f>SUMPRODUCT(Exposures!$B$10:$K$10,B1320:K1320)</f>
        <v/>
      </c>
    </row>
    <row r="1321">
      <c r="A1321" s="1" t="n">
        <v>44375</v>
      </c>
      <c r="B1321" s="5" t="n">
        <v>-0.001155874253921175</v>
      </c>
      <c r="C1321" s="5" t="n">
        <v>0.001182614234224921</v>
      </c>
      <c r="D1321" s="5" t="n">
        <v>-0.002206959773157383</v>
      </c>
      <c r="E1321" s="5" t="n">
        <v>-0.001405525125969843</v>
      </c>
      <c r="F1321" s="5" t="n">
        <v>0.004253714308680502</v>
      </c>
      <c r="G1321" s="5" t="n">
        <v>-0.007683830922502849</v>
      </c>
      <c r="H1321" s="5" t="n">
        <v>0.003210165945352115</v>
      </c>
      <c r="I1321" s="5" t="n">
        <v>0.003085595094984395</v>
      </c>
      <c r="J1321" s="5" t="n">
        <v>-0.007673419661503907</v>
      </c>
      <c r="K1321" s="5" t="n">
        <v>-0.003029291228292765</v>
      </c>
      <c r="L1321" s="5" t="n">
        <v>-0.003968306004559692</v>
      </c>
      <c r="M1321" s="5">
        <f>SUMPRODUCT(Exposures!$B$6:$K$6,B1321:K1321)</f>
        <v/>
      </c>
      <c r="N1321" s="5">
        <f>IF(AND($A1321&gt;=DATE(2020,2,1),$A1321&lt;=DATE(2020,5,31)),$M1321,"")</f>
        <v/>
      </c>
      <c r="O1321" s="5">
        <f>IF(AND($A1321&gt;=DATE(2022,1,1),$A1321&lt;=DATE(2022,10,31)),$M1321,"")</f>
        <v/>
      </c>
      <c r="P1321" s="5">
        <f>IF(AND($A1321&gt;=DATE(2018,10,1),$A1321&lt;=DATE(2018,12,31)),$M1321,"")</f>
        <v/>
      </c>
      <c r="Q1321" s="5">
        <f>SUMPRODUCT(Exposures!$B$8:$K$8,B1321:K1321)</f>
        <v/>
      </c>
      <c r="R1321" s="5">
        <f>SUMPRODUCT(Exposures!$B$9:$K$9,B1321:K1321)</f>
        <v/>
      </c>
      <c r="S1321" s="5">
        <f>SUMPRODUCT(Exposures!$B$10:$K$10,B1321:K1321)</f>
        <v/>
      </c>
    </row>
    <row r="1322">
      <c r="A1322" s="1" t="n">
        <v>44376</v>
      </c>
      <c r="B1322" s="5" t="n">
        <v>-0.0004212678782623562</v>
      </c>
      <c r="C1322" s="5" t="n">
        <v>0.0004386433117120694</v>
      </c>
      <c r="D1322" s="5" t="n">
        <v>0.002400343670329351</v>
      </c>
      <c r="E1322" s="5" t="n">
        <v>-0.002610234485162241</v>
      </c>
      <c r="F1322" s="5" t="n">
        <v>0.003224242831952751</v>
      </c>
      <c r="G1322" s="5" t="n">
        <v>-0.003723923319227562</v>
      </c>
      <c r="H1322" s="5" t="n">
        <v>0.002570774952158084</v>
      </c>
      <c r="I1322" s="5" t="n">
        <v>0.000248876011311774</v>
      </c>
      <c r="J1322" s="5" t="n">
        <v>-0.003364838997039144</v>
      </c>
      <c r="K1322" s="5" t="n">
        <v>-0.002010792258968558</v>
      </c>
      <c r="L1322" s="5" t="n">
        <v>-0.002376753506806296</v>
      </c>
      <c r="M1322" s="5">
        <f>SUMPRODUCT(Exposures!$B$6:$K$6,B1322:K1322)</f>
        <v/>
      </c>
      <c r="N1322" s="5">
        <f>IF(AND($A1322&gt;=DATE(2020,2,1),$A1322&lt;=DATE(2020,5,31)),$M1322,"")</f>
        <v/>
      </c>
      <c r="O1322" s="5">
        <f>IF(AND($A1322&gt;=DATE(2022,1,1),$A1322&lt;=DATE(2022,10,31)),$M1322,"")</f>
        <v/>
      </c>
      <c r="P1322" s="5">
        <f>IF(AND($A1322&gt;=DATE(2018,10,1),$A1322&lt;=DATE(2018,12,31)),$M1322,"")</f>
        <v/>
      </c>
      <c r="Q1322" s="5">
        <f>SUMPRODUCT(Exposures!$B$8:$K$8,B1322:K1322)</f>
        <v/>
      </c>
      <c r="R1322" s="5">
        <f>SUMPRODUCT(Exposures!$B$9:$K$9,B1322:K1322)</f>
        <v/>
      </c>
      <c r="S1322" s="5">
        <f>SUMPRODUCT(Exposures!$B$10:$K$10,B1322:K1322)</f>
        <v/>
      </c>
    </row>
    <row r="1323">
      <c r="A1323" s="1" t="n">
        <v>44377</v>
      </c>
      <c r="B1323" s="5" t="n">
        <v>0.000459152233476022</v>
      </c>
      <c r="C1323" s="5" t="n">
        <v>-0.001714338623289</v>
      </c>
      <c r="D1323" s="5" t="n">
        <v>0.0003971524950300456</v>
      </c>
      <c r="E1323" s="5" t="n">
        <v>0.002775938936369374</v>
      </c>
      <c r="F1323" s="5" t="n">
        <v>0.008070641608043744</v>
      </c>
      <c r="G1323" s="5" t="n">
        <v>0.0009723474417980182</v>
      </c>
      <c r="H1323" s="5" t="n">
        <v>0.0009076416515467875</v>
      </c>
      <c r="I1323" s="5" t="n">
        <v>0.001638031550976544</v>
      </c>
      <c r="J1323" s="5" t="n">
        <v>-0.0009464384033917515</v>
      </c>
      <c r="K1323" s="5" t="n">
        <v>-0.008266438349355421</v>
      </c>
      <c r="L1323" s="5" t="n">
        <v>-0.0007911849468045172</v>
      </c>
      <c r="M1323" s="5">
        <f>SUMPRODUCT(Exposures!$B$6:$K$6,B1323:K1323)</f>
        <v/>
      </c>
      <c r="N1323" s="5">
        <f>IF(AND($A1323&gt;=DATE(2020,2,1),$A1323&lt;=DATE(2020,5,31)),$M1323,"")</f>
        <v/>
      </c>
      <c r="O1323" s="5">
        <f>IF(AND($A1323&gt;=DATE(2022,1,1),$A1323&lt;=DATE(2022,10,31)),$M1323,"")</f>
        <v/>
      </c>
      <c r="P1323" s="5">
        <f>IF(AND($A1323&gt;=DATE(2018,10,1),$A1323&lt;=DATE(2018,12,31)),$M1323,"")</f>
        <v/>
      </c>
      <c r="Q1323" s="5">
        <f>SUMPRODUCT(Exposures!$B$8:$K$8,B1323:K1323)</f>
        <v/>
      </c>
      <c r="R1323" s="5">
        <f>SUMPRODUCT(Exposures!$B$9:$K$9,B1323:K1323)</f>
        <v/>
      </c>
      <c r="S1323" s="5">
        <f>SUMPRODUCT(Exposures!$B$10:$K$10,B1323:K1323)</f>
        <v/>
      </c>
    </row>
    <row r="1324">
      <c r="A1324" s="1" t="n">
        <v>44378</v>
      </c>
      <c r="B1324" s="5" t="n">
        <v>-0.001554462085632673</v>
      </c>
      <c r="C1324" s="5" t="n">
        <v>-7.77830895454903e-06</v>
      </c>
      <c r="D1324" s="5" t="n">
        <v>0.0003929181977065742</v>
      </c>
      <c r="E1324" s="5" t="n">
        <v>0.0001972279858953428</v>
      </c>
      <c r="F1324" s="5" t="n">
        <v>-0.002027694432598064</v>
      </c>
      <c r="G1324" s="5" t="n">
        <v>0.007960172940238893</v>
      </c>
      <c r="H1324" s="5" t="n">
        <v>0.0018780523259943</v>
      </c>
      <c r="I1324" s="5" t="n">
        <v>0.0003398319226240615</v>
      </c>
      <c r="J1324" s="5" t="n">
        <v>-0.000410267034934742</v>
      </c>
      <c r="K1324" s="5" t="n">
        <v>-0.001862405080215416</v>
      </c>
      <c r="L1324" s="5" t="n">
        <v>-0.000379219427850994</v>
      </c>
      <c r="M1324" s="5">
        <f>SUMPRODUCT(Exposures!$B$6:$K$6,B1324:K1324)</f>
        <v/>
      </c>
      <c r="N1324" s="5">
        <f>IF(AND($A1324&gt;=DATE(2020,2,1),$A1324&lt;=DATE(2020,5,31)),$M1324,"")</f>
        <v/>
      </c>
      <c r="O1324" s="5">
        <f>IF(AND($A1324&gt;=DATE(2022,1,1),$A1324&lt;=DATE(2022,10,31)),$M1324,"")</f>
        <v/>
      </c>
      <c r="P1324" s="5">
        <f>IF(AND($A1324&gt;=DATE(2018,10,1),$A1324&lt;=DATE(2018,12,31)),$M1324,"")</f>
        <v/>
      </c>
      <c r="Q1324" s="5">
        <f>SUMPRODUCT(Exposures!$B$8:$K$8,B1324:K1324)</f>
        <v/>
      </c>
      <c r="R1324" s="5">
        <f>SUMPRODUCT(Exposures!$B$9:$K$9,B1324:K1324)</f>
        <v/>
      </c>
      <c r="S1324" s="5">
        <f>SUMPRODUCT(Exposures!$B$10:$K$10,B1324:K1324)</f>
        <v/>
      </c>
    </row>
    <row r="1325">
      <c r="A1325" s="1" t="n">
        <v>44379</v>
      </c>
      <c r="B1325" s="5" t="n">
        <v>0.0009176021247410018</v>
      </c>
      <c r="C1325" s="5" t="n">
        <v>0.00133512847917203</v>
      </c>
      <c r="D1325" s="5" t="n">
        <v>0.002024224818687591</v>
      </c>
      <c r="E1325" s="5" t="n">
        <v>-0.0001328468120165089</v>
      </c>
      <c r="F1325" s="5" t="n">
        <v>0.00691831268076829</v>
      </c>
      <c r="G1325" s="5" t="n">
        <v>1.930381260161493e-05</v>
      </c>
      <c r="H1325" s="5" t="n">
        <v>-0.0009330257314263566</v>
      </c>
      <c r="I1325" s="5" t="n">
        <v>0.0006309374857165326</v>
      </c>
      <c r="J1325" s="5" t="n">
        <v>-0.005084532693796032</v>
      </c>
      <c r="K1325" s="5" t="n">
        <v>-0.006092987396542777</v>
      </c>
      <c r="L1325" s="5" t="n">
        <v>-0.002741703862134572</v>
      </c>
      <c r="M1325" s="5">
        <f>SUMPRODUCT(Exposures!$B$6:$K$6,B1325:K1325)</f>
        <v/>
      </c>
      <c r="N1325" s="5">
        <f>IF(AND($A1325&gt;=DATE(2020,2,1),$A1325&lt;=DATE(2020,5,31)),$M1325,"")</f>
        <v/>
      </c>
      <c r="O1325" s="5">
        <f>IF(AND($A1325&gt;=DATE(2022,1,1),$A1325&lt;=DATE(2022,10,31)),$M1325,"")</f>
        <v/>
      </c>
      <c r="P1325" s="5">
        <f>IF(AND($A1325&gt;=DATE(2018,10,1),$A1325&lt;=DATE(2018,12,31)),$M1325,"")</f>
        <v/>
      </c>
      <c r="Q1325" s="5">
        <f>SUMPRODUCT(Exposures!$B$8:$K$8,B1325:K1325)</f>
        <v/>
      </c>
      <c r="R1325" s="5">
        <f>SUMPRODUCT(Exposures!$B$9:$K$9,B1325:K1325)</f>
        <v/>
      </c>
      <c r="S1325" s="5">
        <f>SUMPRODUCT(Exposures!$B$10:$K$10,B1325:K1325)</f>
        <v/>
      </c>
    </row>
    <row r="1326">
      <c r="A1326" s="1" t="n">
        <v>44383</v>
      </c>
      <c r="B1326" s="5" t="n">
        <v>0.003623424625903099</v>
      </c>
      <c r="C1326" s="5" t="n">
        <v>0.00236885788148988</v>
      </c>
      <c r="D1326" s="5" t="n">
        <v>0.001574001667579276</v>
      </c>
      <c r="E1326" s="5" t="n">
        <v>-0.0006434296603594549</v>
      </c>
      <c r="F1326" s="5" t="n">
        <v>0.007804691058881566</v>
      </c>
      <c r="G1326" s="5" t="n">
        <v>-0.009308758944157064</v>
      </c>
      <c r="H1326" s="5" t="n">
        <v>-0.004784318020206834</v>
      </c>
      <c r="I1326" s="5" t="n">
        <v>0.001095120343190194</v>
      </c>
      <c r="J1326" s="5" t="n">
        <v>-0.006009597612917829</v>
      </c>
      <c r="K1326" s="5" t="n">
        <v>-0.009827720862513791</v>
      </c>
      <c r="L1326" s="5" t="n">
        <v>-0.005709896784142111</v>
      </c>
      <c r="M1326" s="5">
        <f>SUMPRODUCT(Exposures!$B$6:$K$6,B1326:K1326)</f>
        <v/>
      </c>
      <c r="N1326" s="5">
        <f>IF(AND($A1326&gt;=DATE(2020,2,1),$A1326&lt;=DATE(2020,5,31)),$M1326,"")</f>
        <v/>
      </c>
      <c r="O1326" s="5">
        <f>IF(AND($A1326&gt;=DATE(2022,1,1),$A1326&lt;=DATE(2022,10,31)),$M1326,"")</f>
        <v/>
      </c>
      <c r="P1326" s="5">
        <f>IF(AND($A1326&gt;=DATE(2018,10,1),$A1326&lt;=DATE(2018,12,31)),$M1326,"")</f>
        <v/>
      </c>
      <c r="Q1326" s="5">
        <f>SUMPRODUCT(Exposures!$B$8:$K$8,B1326:K1326)</f>
        <v/>
      </c>
      <c r="R1326" s="5">
        <f>SUMPRODUCT(Exposures!$B$9:$K$9,B1326:K1326)</f>
        <v/>
      </c>
      <c r="S1326" s="5">
        <f>SUMPRODUCT(Exposures!$B$10:$K$10,B1326:K1326)</f>
        <v/>
      </c>
    </row>
    <row r="1327">
      <c r="A1327" s="1" t="n">
        <v>44384</v>
      </c>
      <c r="B1327" s="5" t="n">
        <v>-0.0009000220023758628</v>
      </c>
      <c r="C1327" s="5" t="n">
        <v>0.003221897224328536</v>
      </c>
      <c r="D1327" s="5" t="n">
        <v>-0.0006210526903695016</v>
      </c>
      <c r="E1327" s="5" t="n">
        <v>0.002246262631595808</v>
      </c>
      <c r="F1327" s="5" t="n">
        <v>-0.005332744578180032</v>
      </c>
      <c r="G1327" s="5" t="n">
        <v>-0.001183885838946246</v>
      </c>
      <c r="H1327" s="5" t="n">
        <v>-0.00124017722870897</v>
      </c>
      <c r="I1327" s="5" t="n">
        <v>-0.001279412831218969</v>
      </c>
      <c r="J1327" s="5" t="n">
        <v>-0.004621551427189936</v>
      </c>
      <c r="K1327" s="5" t="n">
        <v>0.005680098320079325</v>
      </c>
      <c r="L1327" s="5" t="n">
        <v>-0.001379548540257258</v>
      </c>
      <c r="M1327" s="5">
        <f>SUMPRODUCT(Exposures!$B$6:$K$6,B1327:K1327)</f>
        <v/>
      </c>
      <c r="N1327" s="5">
        <f>IF(AND($A1327&gt;=DATE(2020,2,1),$A1327&lt;=DATE(2020,5,31)),$M1327,"")</f>
        <v/>
      </c>
      <c r="O1327" s="5">
        <f>IF(AND($A1327&gt;=DATE(2022,1,1),$A1327&lt;=DATE(2022,10,31)),$M1327,"")</f>
        <v/>
      </c>
      <c r="P1327" s="5">
        <f>IF(AND($A1327&gt;=DATE(2018,10,1),$A1327&lt;=DATE(2018,12,31)),$M1327,"")</f>
        <v/>
      </c>
      <c r="Q1327" s="5">
        <f>SUMPRODUCT(Exposures!$B$8:$K$8,B1327:K1327)</f>
        <v/>
      </c>
      <c r="R1327" s="5">
        <f>SUMPRODUCT(Exposures!$B$9:$K$9,B1327:K1327)</f>
        <v/>
      </c>
      <c r="S1327" s="5">
        <f>SUMPRODUCT(Exposures!$B$10:$K$10,B1327:K1327)</f>
        <v/>
      </c>
    </row>
    <row r="1328">
      <c r="A1328" s="1" t="n">
        <v>44385</v>
      </c>
      <c r="B1328" s="5" t="n">
        <v>-0.0002135441729393124</v>
      </c>
      <c r="C1328" s="5" t="n">
        <v>0.0004615327520790292</v>
      </c>
      <c r="D1328" s="5" t="n">
        <v>-0.001844710460270468</v>
      </c>
      <c r="E1328" s="5" t="n">
        <v>-0.0003255671272921076</v>
      </c>
      <c r="F1328" s="5" t="n">
        <v>0.004628420379304219</v>
      </c>
      <c r="G1328" s="5" t="n">
        <v>-0.009860865804826081</v>
      </c>
      <c r="H1328" s="5" t="n">
        <v>-0.005726787739093868</v>
      </c>
      <c r="I1328" s="5" t="n">
        <v>0.002740214399985469</v>
      </c>
      <c r="J1328" s="5" t="n">
        <v>0.001603465599568443</v>
      </c>
      <c r="K1328" s="5" t="n">
        <v>-0.00616651671985377</v>
      </c>
      <c r="L1328" s="5" t="n">
        <v>-0.003383155798229033</v>
      </c>
      <c r="M1328" s="5">
        <f>SUMPRODUCT(Exposures!$B$6:$K$6,B1328:K1328)</f>
        <v/>
      </c>
      <c r="N1328" s="5">
        <f>IF(AND($A1328&gt;=DATE(2020,2,1),$A1328&lt;=DATE(2020,5,31)),$M1328,"")</f>
        <v/>
      </c>
      <c r="O1328" s="5">
        <f>IF(AND($A1328&gt;=DATE(2022,1,1),$A1328&lt;=DATE(2022,10,31)),$M1328,"")</f>
        <v/>
      </c>
      <c r="P1328" s="5">
        <f>IF(AND($A1328&gt;=DATE(2018,10,1),$A1328&lt;=DATE(2018,12,31)),$M1328,"")</f>
        <v/>
      </c>
      <c r="Q1328" s="5">
        <f>SUMPRODUCT(Exposures!$B$8:$K$8,B1328:K1328)</f>
        <v/>
      </c>
      <c r="R1328" s="5">
        <f>SUMPRODUCT(Exposures!$B$9:$K$9,B1328:K1328)</f>
        <v/>
      </c>
      <c r="S1328" s="5">
        <f>SUMPRODUCT(Exposures!$B$10:$K$10,B1328:K1328)</f>
        <v/>
      </c>
    </row>
    <row r="1329">
      <c r="A1329" s="1" t="n">
        <v>44386</v>
      </c>
      <c r="B1329" s="5" t="n">
        <v>0.001058007933592052</v>
      </c>
      <c r="C1329" s="5" t="n">
        <v>-0.001577668378998452</v>
      </c>
      <c r="D1329" s="5" t="n">
        <v>0.001347540089191093</v>
      </c>
      <c r="E1329" s="5" t="n">
        <v>0.0003923867272344061</v>
      </c>
      <c r="F1329" s="5" t="n">
        <v>-0.005416289270783699</v>
      </c>
      <c r="G1329" s="5" t="n">
        <v>0.01870374990614414</v>
      </c>
      <c r="H1329" s="5" t="n">
        <v>0.008901474216545977</v>
      </c>
      <c r="I1329" s="5" t="n">
        <v>-0.003563912847776067</v>
      </c>
      <c r="J1329" s="5" t="n">
        <v>0.001499568145373417</v>
      </c>
      <c r="K1329" s="5" t="n">
        <v>0.006401188451041637</v>
      </c>
      <c r="L1329" s="5" t="n">
        <v>0.005401164638225842</v>
      </c>
      <c r="M1329" s="5">
        <f>SUMPRODUCT(Exposures!$B$6:$K$6,B1329:K1329)</f>
        <v/>
      </c>
      <c r="N1329" s="5">
        <f>IF(AND($A1329&gt;=DATE(2020,2,1),$A1329&lt;=DATE(2020,5,31)),$M1329,"")</f>
        <v/>
      </c>
      <c r="O1329" s="5">
        <f>IF(AND($A1329&gt;=DATE(2022,1,1),$A1329&lt;=DATE(2022,10,31)),$M1329,"")</f>
        <v/>
      </c>
      <c r="P1329" s="5">
        <f>IF(AND($A1329&gt;=DATE(2018,10,1),$A1329&lt;=DATE(2018,12,31)),$M1329,"")</f>
        <v/>
      </c>
      <c r="Q1329" s="5">
        <f>SUMPRODUCT(Exposures!$B$8:$K$8,B1329:K1329)</f>
        <v/>
      </c>
      <c r="R1329" s="5">
        <f>SUMPRODUCT(Exposures!$B$9:$K$9,B1329:K1329)</f>
        <v/>
      </c>
      <c r="S1329" s="5">
        <f>SUMPRODUCT(Exposures!$B$10:$K$10,B1329:K1329)</f>
        <v/>
      </c>
    </row>
    <row r="1330">
      <c r="A1330" s="1" t="n">
        <v>44389</v>
      </c>
      <c r="B1330" s="5" t="n">
        <v>-0.0003214327199502939</v>
      </c>
      <c r="C1330" s="5" t="n">
        <v>0.001254066944123773</v>
      </c>
      <c r="D1330" s="5" t="n">
        <v>0.0001653193296102345</v>
      </c>
      <c r="E1330" s="5" t="n">
        <v>-0.0005684498178573254</v>
      </c>
      <c r="F1330" s="5" t="n">
        <v>-0.003697088266136731</v>
      </c>
      <c r="G1330" s="5" t="n">
        <v>0.002922109563810719</v>
      </c>
      <c r="H1330" s="5" t="n">
        <v>0.006493555316697407</v>
      </c>
      <c r="I1330" s="5" t="n">
        <v>0.0009994391231347283</v>
      </c>
      <c r="J1330" s="5" t="n">
        <v>-0.002202175639746351</v>
      </c>
      <c r="K1330" s="5" t="n">
        <v>0.003496400619163461</v>
      </c>
      <c r="L1330" s="5" t="n">
        <v>0.002321952124084225</v>
      </c>
      <c r="M1330" s="5">
        <f>SUMPRODUCT(Exposures!$B$6:$K$6,B1330:K1330)</f>
        <v/>
      </c>
      <c r="N1330" s="5">
        <f>IF(AND($A1330&gt;=DATE(2020,2,1),$A1330&lt;=DATE(2020,5,31)),$M1330,"")</f>
        <v/>
      </c>
      <c r="O1330" s="5">
        <f>IF(AND($A1330&gt;=DATE(2022,1,1),$A1330&lt;=DATE(2022,10,31)),$M1330,"")</f>
        <v/>
      </c>
      <c r="P1330" s="5">
        <f>IF(AND($A1330&gt;=DATE(2018,10,1),$A1330&lt;=DATE(2018,12,31)),$M1330,"")</f>
        <v/>
      </c>
      <c r="Q1330" s="5">
        <f>SUMPRODUCT(Exposures!$B$8:$K$8,B1330:K1330)</f>
        <v/>
      </c>
      <c r="R1330" s="5">
        <f>SUMPRODUCT(Exposures!$B$9:$K$9,B1330:K1330)</f>
        <v/>
      </c>
      <c r="S1330" s="5">
        <f>SUMPRODUCT(Exposures!$B$10:$K$10,B1330:K1330)</f>
        <v/>
      </c>
    </row>
    <row r="1331">
      <c r="A1331" s="1" t="n">
        <v>44390</v>
      </c>
      <c r="B1331" s="5" t="n">
        <v>0.000539145465509188</v>
      </c>
      <c r="C1331" s="5" t="n">
        <v>0.002514323006123154</v>
      </c>
      <c r="D1331" s="5" t="n">
        <v>-0.001119971202864305</v>
      </c>
      <c r="E1331" s="5" t="n">
        <v>-0.001457129680237625</v>
      </c>
      <c r="F1331" s="5" t="n">
        <v>-0.00314896262870528</v>
      </c>
      <c r="G1331" s="5" t="n">
        <v>-0.01329712331712272</v>
      </c>
      <c r="H1331" s="5" t="n">
        <v>-0.00450273977534922</v>
      </c>
      <c r="I1331" s="5" t="n">
        <v>0.000482830440645293</v>
      </c>
      <c r="J1331" s="5" t="n">
        <v>0.0001010448233308575</v>
      </c>
      <c r="K1331" s="5" t="n">
        <v>0.008322372756981056</v>
      </c>
      <c r="L1331" s="5" t="n">
        <v>0.0006470131131994308</v>
      </c>
      <c r="M1331" s="5">
        <f>SUMPRODUCT(Exposures!$B$6:$K$6,B1331:K1331)</f>
        <v/>
      </c>
      <c r="N1331" s="5">
        <f>IF(AND($A1331&gt;=DATE(2020,2,1),$A1331&lt;=DATE(2020,5,31)),$M1331,"")</f>
        <v/>
      </c>
      <c r="O1331" s="5">
        <f>IF(AND($A1331&gt;=DATE(2022,1,1),$A1331&lt;=DATE(2022,10,31)),$M1331,"")</f>
        <v/>
      </c>
      <c r="P1331" s="5">
        <f>IF(AND($A1331&gt;=DATE(2018,10,1),$A1331&lt;=DATE(2018,12,31)),$M1331,"")</f>
        <v/>
      </c>
      <c r="Q1331" s="5">
        <f>SUMPRODUCT(Exposures!$B$8:$K$8,B1331:K1331)</f>
        <v/>
      </c>
      <c r="R1331" s="5">
        <f>SUMPRODUCT(Exposures!$B$9:$K$9,B1331:K1331)</f>
        <v/>
      </c>
      <c r="S1331" s="5">
        <f>SUMPRODUCT(Exposures!$B$10:$K$10,B1331:K1331)</f>
        <v/>
      </c>
    </row>
    <row r="1332">
      <c r="A1332" s="1" t="n">
        <v>44391</v>
      </c>
      <c r="B1332" s="5" t="n">
        <v>-0.001400000676214365</v>
      </c>
      <c r="C1332" s="5" t="n">
        <v>-0.0004777760777570524</v>
      </c>
      <c r="D1332" s="5" t="n">
        <v>-0.00223067550509603</v>
      </c>
      <c r="E1332" s="5" t="n">
        <v>8.94693930851377e-05</v>
      </c>
      <c r="F1332" s="5" t="n">
        <v>0.001419365774750722</v>
      </c>
      <c r="G1332" s="5" t="n">
        <v>-0.006227287361064636</v>
      </c>
      <c r="H1332" s="5" t="n">
        <v>-0.001227358645556469</v>
      </c>
      <c r="I1332" s="5" t="n">
        <v>-0.002030300970842022</v>
      </c>
      <c r="J1332" s="5" t="n">
        <v>-0.005690940129876931</v>
      </c>
      <c r="K1332" s="5" t="n">
        <v>0.001511727143428427</v>
      </c>
      <c r="L1332" s="5" t="n">
        <v>-0.001217165835077759</v>
      </c>
      <c r="M1332" s="5">
        <f>SUMPRODUCT(Exposures!$B$6:$K$6,B1332:K1332)</f>
        <v/>
      </c>
      <c r="N1332" s="5">
        <f>IF(AND($A1332&gt;=DATE(2020,2,1),$A1332&lt;=DATE(2020,5,31)),$M1332,"")</f>
        <v/>
      </c>
      <c r="O1332" s="5">
        <f>IF(AND($A1332&gt;=DATE(2022,1,1),$A1332&lt;=DATE(2022,10,31)),$M1332,"")</f>
        <v/>
      </c>
      <c r="P1332" s="5">
        <f>IF(AND($A1332&gt;=DATE(2018,10,1),$A1332&lt;=DATE(2018,12,31)),$M1332,"")</f>
        <v/>
      </c>
      <c r="Q1332" s="5">
        <f>SUMPRODUCT(Exposures!$B$8:$K$8,B1332:K1332)</f>
        <v/>
      </c>
      <c r="R1332" s="5">
        <f>SUMPRODUCT(Exposures!$B$9:$K$9,B1332:K1332)</f>
        <v/>
      </c>
      <c r="S1332" s="5">
        <f>SUMPRODUCT(Exposures!$B$10:$K$10,B1332:K1332)</f>
        <v/>
      </c>
    </row>
    <row r="1333">
      <c r="A1333" s="1" t="n">
        <v>44392</v>
      </c>
      <c r="B1333" s="5" t="n">
        <v>-0.0004754897906295618</v>
      </c>
      <c r="C1333" s="5" t="n">
        <v>0.002046371996788561</v>
      </c>
      <c r="D1333" s="5" t="n">
        <v>0.003120902658713686</v>
      </c>
      <c r="E1333" s="5" t="n">
        <v>0.0003892684486009687</v>
      </c>
      <c r="F1333" s="5" t="n">
        <v>-0.009811136111157555</v>
      </c>
      <c r="G1333" s="5" t="n">
        <v>-0.003170360962876554</v>
      </c>
      <c r="H1333" s="5" t="n">
        <v>0.001847132261882938</v>
      </c>
      <c r="I1333" s="5" t="n">
        <v>-0.002693743168222434</v>
      </c>
      <c r="J1333" s="5" t="n">
        <v>-0.006079193802022477</v>
      </c>
      <c r="K1333" s="5" t="n">
        <v>0.009963926481993691</v>
      </c>
      <c r="L1333" s="5" t="n">
        <v>0.001316945445365272</v>
      </c>
      <c r="M1333" s="5">
        <f>SUMPRODUCT(Exposures!$B$6:$K$6,B1333:K1333)</f>
        <v/>
      </c>
      <c r="N1333" s="5">
        <f>IF(AND($A1333&gt;=DATE(2020,2,1),$A1333&lt;=DATE(2020,5,31)),$M1333,"")</f>
        <v/>
      </c>
      <c r="O1333" s="5">
        <f>IF(AND($A1333&gt;=DATE(2022,1,1),$A1333&lt;=DATE(2022,10,31)),$M1333,"")</f>
        <v/>
      </c>
      <c r="P1333" s="5">
        <f>IF(AND($A1333&gt;=DATE(2018,10,1),$A1333&lt;=DATE(2018,12,31)),$M1333,"")</f>
        <v/>
      </c>
      <c r="Q1333" s="5">
        <f>SUMPRODUCT(Exposures!$B$8:$K$8,B1333:K1333)</f>
        <v/>
      </c>
      <c r="R1333" s="5">
        <f>SUMPRODUCT(Exposures!$B$9:$K$9,B1333:K1333)</f>
        <v/>
      </c>
      <c r="S1333" s="5">
        <f>SUMPRODUCT(Exposures!$B$10:$K$10,B1333:K1333)</f>
        <v/>
      </c>
    </row>
    <row r="1334">
      <c r="A1334" s="1" t="n">
        <v>44393</v>
      </c>
      <c r="B1334" s="5" t="n">
        <v>-0.004185158008122802</v>
      </c>
      <c r="C1334" s="5" t="n">
        <v>-0.001094873091504019</v>
      </c>
      <c r="D1334" s="5" t="n">
        <v>0.001877087941547158</v>
      </c>
      <c r="E1334" s="5" t="n">
        <v>0.0002899390466756102</v>
      </c>
      <c r="F1334" s="5" t="n">
        <v>0.002852669317459037</v>
      </c>
      <c r="G1334" s="5" t="n">
        <v>-0.0100068376681566</v>
      </c>
      <c r="H1334" s="5" t="n">
        <v>-0.005207985818538909</v>
      </c>
      <c r="I1334" s="5" t="n">
        <v>0.0001499171667215401</v>
      </c>
      <c r="J1334" s="5" t="n">
        <v>-0.003719430474992697</v>
      </c>
      <c r="K1334" s="5" t="n">
        <v>-0.00376976208134259</v>
      </c>
      <c r="L1334" s="5" t="n">
        <v>-0.002048732666836236</v>
      </c>
      <c r="M1334" s="5">
        <f>SUMPRODUCT(Exposures!$B$6:$K$6,B1334:K1334)</f>
        <v/>
      </c>
      <c r="N1334" s="5">
        <f>IF(AND($A1334&gt;=DATE(2020,2,1),$A1334&lt;=DATE(2020,5,31)),$M1334,"")</f>
        <v/>
      </c>
      <c r="O1334" s="5">
        <f>IF(AND($A1334&gt;=DATE(2022,1,1),$A1334&lt;=DATE(2022,10,31)),$M1334,"")</f>
        <v/>
      </c>
      <c r="P1334" s="5">
        <f>IF(AND($A1334&gt;=DATE(2018,10,1),$A1334&lt;=DATE(2018,12,31)),$M1334,"")</f>
        <v/>
      </c>
      <c r="Q1334" s="5">
        <f>SUMPRODUCT(Exposures!$B$8:$K$8,B1334:K1334)</f>
        <v/>
      </c>
      <c r="R1334" s="5">
        <f>SUMPRODUCT(Exposures!$B$9:$K$9,B1334:K1334)</f>
        <v/>
      </c>
      <c r="S1334" s="5">
        <f>SUMPRODUCT(Exposures!$B$10:$K$10,B1334:K1334)</f>
        <v/>
      </c>
    </row>
    <row r="1335">
      <c r="A1335" s="1" t="n">
        <v>44396</v>
      </c>
      <c r="B1335" s="5" t="n">
        <v>-0.002379031233035871</v>
      </c>
      <c r="C1335" s="5" t="n">
        <v>0.0004392003155427965</v>
      </c>
      <c r="D1335" s="5" t="n">
        <v>0.0007710752886898849</v>
      </c>
      <c r="E1335" s="5" t="n">
        <v>-3.460170152445482e-05</v>
      </c>
      <c r="F1335" s="5" t="n">
        <v>0.00334001549780341</v>
      </c>
      <c r="G1335" s="5" t="n">
        <v>-0.01679499035778271</v>
      </c>
      <c r="H1335" s="5" t="n">
        <v>-0.004921952305975741</v>
      </c>
      <c r="I1335" s="5" t="n">
        <v>0.001114632204711144</v>
      </c>
      <c r="J1335" s="5" t="n">
        <v>0.0006278208857051931</v>
      </c>
      <c r="K1335" s="5" t="n">
        <v>-0.004797790009045002</v>
      </c>
      <c r="L1335" s="5" t="n">
        <v>-0.005493262949696493</v>
      </c>
      <c r="M1335" s="5">
        <f>SUMPRODUCT(Exposures!$B$6:$K$6,B1335:K1335)</f>
        <v/>
      </c>
      <c r="N1335" s="5">
        <f>IF(AND($A1335&gt;=DATE(2020,2,1),$A1335&lt;=DATE(2020,5,31)),$M1335,"")</f>
        <v/>
      </c>
      <c r="O1335" s="5">
        <f>IF(AND($A1335&gt;=DATE(2022,1,1),$A1335&lt;=DATE(2022,10,31)),$M1335,"")</f>
        <v/>
      </c>
      <c r="P1335" s="5">
        <f>IF(AND($A1335&gt;=DATE(2018,10,1),$A1335&lt;=DATE(2018,12,31)),$M1335,"")</f>
        <v/>
      </c>
      <c r="Q1335" s="5">
        <f>SUMPRODUCT(Exposures!$B$8:$K$8,B1335:K1335)</f>
        <v/>
      </c>
      <c r="R1335" s="5">
        <f>SUMPRODUCT(Exposures!$B$9:$K$9,B1335:K1335)</f>
        <v/>
      </c>
      <c r="S1335" s="5">
        <f>SUMPRODUCT(Exposures!$B$10:$K$10,B1335:K1335)</f>
        <v/>
      </c>
    </row>
    <row r="1336">
      <c r="A1336" s="1" t="n">
        <v>44397</v>
      </c>
      <c r="B1336" s="5" t="n">
        <v>0.004781707015176725</v>
      </c>
      <c r="C1336" s="5" t="n">
        <v>-0.003305477048237133</v>
      </c>
      <c r="D1336" s="5" t="n">
        <v>-0.001914452133709454</v>
      </c>
      <c r="E1336" s="5" t="n">
        <v>0.0003861270725760222</v>
      </c>
      <c r="F1336" s="5" t="n">
        <v>0.002076578199044311</v>
      </c>
      <c r="G1336" s="5" t="n">
        <v>0.02459826677833672</v>
      </c>
      <c r="H1336" s="5" t="n">
        <v>0.008514802227453992</v>
      </c>
      <c r="I1336" s="5" t="n">
        <v>-0.002055499365274615</v>
      </c>
      <c r="J1336" s="5" t="n">
        <v>0.002377019973508519</v>
      </c>
      <c r="K1336" s="5" t="n">
        <v>-0.003396446977688697</v>
      </c>
      <c r="L1336" s="5" t="n">
        <v>0.0007638826392732538</v>
      </c>
      <c r="M1336" s="5">
        <f>SUMPRODUCT(Exposures!$B$6:$K$6,B1336:K1336)</f>
        <v/>
      </c>
      <c r="N1336" s="5">
        <f>IF(AND($A1336&gt;=DATE(2020,2,1),$A1336&lt;=DATE(2020,5,31)),$M1336,"")</f>
        <v/>
      </c>
      <c r="O1336" s="5">
        <f>IF(AND($A1336&gt;=DATE(2022,1,1),$A1336&lt;=DATE(2022,10,31)),$M1336,"")</f>
        <v/>
      </c>
      <c r="P1336" s="5">
        <f>IF(AND($A1336&gt;=DATE(2018,10,1),$A1336&lt;=DATE(2018,12,31)),$M1336,"")</f>
        <v/>
      </c>
      <c r="Q1336" s="5">
        <f>SUMPRODUCT(Exposures!$B$8:$K$8,B1336:K1336)</f>
        <v/>
      </c>
      <c r="R1336" s="5">
        <f>SUMPRODUCT(Exposures!$B$9:$K$9,B1336:K1336)</f>
        <v/>
      </c>
      <c r="S1336" s="5">
        <f>SUMPRODUCT(Exposures!$B$10:$K$10,B1336:K1336)</f>
        <v/>
      </c>
    </row>
    <row r="1337">
      <c r="A1337" s="1" t="n">
        <v>44398</v>
      </c>
      <c r="B1337" s="5" t="n">
        <v>0.004302308697170855</v>
      </c>
      <c r="C1337" s="5" t="n">
        <v>-0.003255661524610239</v>
      </c>
      <c r="D1337" s="5" t="n">
        <v>-0.0002586475372921413</v>
      </c>
      <c r="E1337" s="5" t="n">
        <v>0.0003705142320198267</v>
      </c>
      <c r="F1337" s="5" t="n">
        <v>0.007429421468927899</v>
      </c>
      <c r="G1337" s="5" t="n">
        <v>0.01242619867574316</v>
      </c>
      <c r="H1337" s="5" t="n">
        <v>0.00765157119299337</v>
      </c>
      <c r="I1337" s="5" t="n">
        <v>0.00319277689218571</v>
      </c>
      <c r="J1337" s="5" t="n">
        <v>0.001590674002807078</v>
      </c>
      <c r="K1337" s="5" t="n">
        <v>-0.008100400077896032</v>
      </c>
      <c r="L1337" s="5" t="n">
        <v>0.002375486825472306</v>
      </c>
      <c r="M1337" s="5">
        <f>SUMPRODUCT(Exposures!$B$6:$K$6,B1337:K1337)</f>
        <v/>
      </c>
      <c r="N1337" s="5">
        <f>IF(AND($A1337&gt;=DATE(2020,2,1),$A1337&lt;=DATE(2020,5,31)),$M1337,"")</f>
        <v/>
      </c>
      <c r="O1337" s="5">
        <f>IF(AND($A1337&gt;=DATE(2022,1,1),$A1337&lt;=DATE(2022,10,31)),$M1337,"")</f>
        <v/>
      </c>
      <c r="P1337" s="5">
        <f>IF(AND($A1337&gt;=DATE(2018,10,1),$A1337&lt;=DATE(2018,12,31)),$M1337,"")</f>
        <v/>
      </c>
      <c r="Q1337" s="5">
        <f>SUMPRODUCT(Exposures!$B$8:$K$8,B1337:K1337)</f>
        <v/>
      </c>
      <c r="R1337" s="5">
        <f>SUMPRODUCT(Exposures!$B$9:$K$9,B1337:K1337)</f>
        <v/>
      </c>
      <c r="S1337" s="5">
        <f>SUMPRODUCT(Exposures!$B$10:$K$10,B1337:K1337)</f>
        <v/>
      </c>
    </row>
    <row r="1338">
      <c r="A1338" s="1" t="n">
        <v>44399</v>
      </c>
      <c r="B1338" s="5" t="n">
        <v>0.0006439679695576014</v>
      </c>
      <c r="C1338" s="5" t="n">
        <v>0.0006477338727493</v>
      </c>
      <c r="D1338" s="5" t="n">
        <v>0.0005876456025596324</v>
      </c>
      <c r="E1338" s="5" t="n">
        <v>-0.001552326643652452</v>
      </c>
      <c r="F1338" s="5" t="n">
        <v>0.009633691567326998</v>
      </c>
      <c r="G1338" s="5" t="n">
        <v>-0.007988647396167158</v>
      </c>
      <c r="H1338" s="5" t="n">
        <v>-0.0008409580505347546</v>
      </c>
      <c r="I1338" s="5" t="n">
        <v>-0.000671833811656021</v>
      </c>
      <c r="J1338" s="5" t="n">
        <v>-0.004746078274617069</v>
      </c>
      <c r="K1338" s="5" t="n">
        <v>-0.003114991246602164</v>
      </c>
      <c r="L1338" s="5" t="n">
        <v>-0.003837093490828647</v>
      </c>
      <c r="M1338" s="5">
        <f>SUMPRODUCT(Exposures!$B$6:$K$6,B1338:K1338)</f>
        <v/>
      </c>
      <c r="N1338" s="5">
        <f>IF(AND($A1338&gt;=DATE(2020,2,1),$A1338&lt;=DATE(2020,5,31)),$M1338,"")</f>
        <v/>
      </c>
      <c r="O1338" s="5">
        <f>IF(AND($A1338&gt;=DATE(2022,1,1),$A1338&lt;=DATE(2022,10,31)),$M1338,"")</f>
        <v/>
      </c>
      <c r="P1338" s="5">
        <f>IF(AND($A1338&gt;=DATE(2018,10,1),$A1338&lt;=DATE(2018,12,31)),$M1338,"")</f>
        <v/>
      </c>
      <c r="Q1338" s="5">
        <f>SUMPRODUCT(Exposures!$B$8:$K$8,B1338:K1338)</f>
        <v/>
      </c>
      <c r="R1338" s="5">
        <f>SUMPRODUCT(Exposures!$B$9:$K$9,B1338:K1338)</f>
        <v/>
      </c>
      <c r="S1338" s="5">
        <f>SUMPRODUCT(Exposures!$B$10:$K$10,B1338:K1338)</f>
        <v/>
      </c>
    </row>
    <row r="1339">
      <c r="A1339" s="1" t="n">
        <v>44400</v>
      </c>
      <c r="B1339" s="5" t="n">
        <v>0.002375977741185178</v>
      </c>
      <c r="C1339" s="5" t="n">
        <v>0.0008428322742516611</v>
      </c>
      <c r="D1339" s="5" t="n">
        <v>0.000449698845945264</v>
      </c>
      <c r="E1339" s="5" t="n">
        <v>0.0005759659237598364</v>
      </c>
      <c r="F1339" s="5" t="n">
        <v>0.0044334079697557</v>
      </c>
      <c r="G1339" s="5" t="n">
        <v>0.006749275257525282</v>
      </c>
      <c r="H1339" s="5" t="n">
        <v>4.293363314785933e-05</v>
      </c>
      <c r="I1339" s="5" t="n">
        <v>0.00244582768438389</v>
      </c>
      <c r="J1339" s="5" t="n">
        <v>-0.009191347447303192</v>
      </c>
      <c r="K1339" s="5" t="n">
        <v>-0.01008573887716286</v>
      </c>
      <c r="L1339" s="5" t="n">
        <v>-0.00341207545186454</v>
      </c>
      <c r="M1339" s="5">
        <f>SUMPRODUCT(Exposures!$B$6:$K$6,B1339:K1339)</f>
        <v/>
      </c>
      <c r="N1339" s="5">
        <f>IF(AND($A1339&gt;=DATE(2020,2,1),$A1339&lt;=DATE(2020,5,31)),$M1339,"")</f>
        <v/>
      </c>
      <c r="O1339" s="5">
        <f>IF(AND($A1339&gt;=DATE(2022,1,1),$A1339&lt;=DATE(2022,10,31)),$M1339,"")</f>
        <v/>
      </c>
      <c r="P1339" s="5">
        <f>IF(AND($A1339&gt;=DATE(2018,10,1),$A1339&lt;=DATE(2018,12,31)),$M1339,"")</f>
        <v/>
      </c>
      <c r="Q1339" s="5">
        <f>SUMPRODUCT(Exposures!$B$8:$K$8,B1339:K1339)</f>
        <v/>
      </c>
      <c r="R1339" s="5">
        <f>SUMPRODUCT(Exposures!$B$9:$K$9,B1339:K1339)</f>
        <v/>
      </c>
      <c r="S1339" s="5">
        <f>SUMPRODUCT(Exposures!$B$10:$K$10,B1339:K1339)</f>
        <v/>
      </c>
    </row>
    <row r="1340">
      <c r="A1340" s="1" t="n">
        <v>44403</v>
      </c>
      <c r="B1340" s="5" t="n">
        <v>0.001300425648645419</v>
      </c>
      <c r="C1340" s="5" t="n">
        <v>-0.002799664108511769</v>
      </c>
      <c r="D1340" s="5" t="n">
        <v>-0.001731685938106824</v>
      </c>
      <c r="E1340" s="5" t="n">
        <v>0.002059451392449663</v>
      </c>
      <c r="F1340" s="5" t="n">
        <v>0.006974622594545206</v>
      </c>
      <c r="G1340" s="5" t="n">
        <v>0.002525118495872049</v>
      </c>
      <c r="H1340" s="5" t="n">
        <v>0.005070141364128275</v>
      </c>
      <c r="I1340" s="5" t="n">
        <v>0.002120875471028326</v>
      </c>
      <c r="J1340" s="5" t="n">
        <v>-0.003877025686257379</v>
      </c>
      <c r="K1340" s="5" t="n">
        <v>-0.01069814946463471</v>
      </c>
      <c r="L1340" s="5" t="n">
        <v>0.0007462025731794133</v>
      </c>
      <c r="M1340" s="5">
        <f>SUMPRODUCT(Exposures!$B$6:$K$6,B1340:K1340)</f>
        <v/>
      </c>
      <c r="N1340" s="5">
        <f>IF(AND($A1340&gt;=DATE(2020,2,1),$A1340&lt;=DATE(2020,5,31)),$M1340,"")</f>
        <v/>
      </c>
      <c r="O1340" s="5">
        <f>IF(AND($A1340&gt;=DATE(2022,1,1),$A1340&lt;=DATE(2022,10,31)),$M1340,"")</f>
        <v/>
      </c>
      <c r="P1340" s="5">
        <f>IF(AND($A1340&gt;=DATE(2018,10,1),$A1340&lt;=DATE(2018,12,31)),$M1340,"")</f>
        <v/>
      </c>
      <c r="Q1340" s="5">
        <f>SUMPRODUCT(Exposures!$B$8:$K$8,B1340:K1340)</f>
        <v/>
      </c>
      <c r="R1340" s="5">
        <f>SUMPRODUCT(Exposures!$B$9:$K$9,B1340:K1340)</f>
        <v/>
      </c>
      <c r="S1340" s="5">
        <f>SUMPRODUCT(Exposures!$B$10:$K$10,B1340:K1340)</f>
        <v/>
      </c>
    </row>
    <row r="1341">
      <c r="A1341" s="1" t="n">
        <v>44404</v>
      </c>
      <c r="B1341" s="5" t="n">
        <v>-0.003194560833530795</v>
      </c>
      <c r="C1341" s="5" t="n">
        <v>-0.00264509218867389</v>
      </c>
      <c r="D1341" s="5" t="n">
        <v>-0.0006570040787136613</v>
      </c>
      <c r="E1341" s="5" t="n">
        <v>0.002012841055577737</v>
      </c>
      <c r="F1341" s="5" t="n">
        <v>-0.002495238612662674</v>
      </c>
      <c r="G1341" s="5" t="n">
        <v>-0.004089810021839613</v>
      </c>
      <c r="H1341" s="5" t="n">
        <v>-0.0008292773186195603</v>
      </c>
      <c r="I1341" s="5" t="n">
        <v>-0.0004931401805885341</v>
      </c>
      <c r="J1341" s="5" t="n">
        <v>-0.00625125895660893</v>
      </c>
      <c r="K1341" s="5" t="n">
        <v>5.008803417719514e-05</v>
      </c>
      <c r="L1341" s="5" t="n">
        <v>0.00111660565751818</v>
      </c>
      <c r="M1341" s="5">
        <f>SUMPRODUCT(Exposures!$B$6:$K$6,B1341:K1341)</f>
        <v/>
      </c>
      <c r="N1341" s="5">
        <f>IF(AND($A1341&gt;=DATE(2020,2,1),$A1341&lt;=DATE(2020,5,31)),$M1341,"")</f>
        <v/>
      </c>
      <c r="O1341" s="5">
        <f>IF(AND($A1341&gt;=DATE(2022,1,1),$A1341&lt;=DATE(2022,10,31)),$M1341,"")</f>
        <v/>
      </c>
      <c r="P1341" s="5">
        <f>IF(AND($A1341&gt;=DATE(2018,10,1),$A1341&lt;=DATE(2018,12,31)),$M1341,"")</f>
        <v/>
      </c>
      <c r="Q1341" s="5">
        <f>SUMPRODUCT(Exposures!$B$8:$K$8,B1341:K1341)</f>
        <v/>
      </c>
      <c r="R1341" s="5">
        <f>SUMPRODUCT(Exposures!$B$9:$K$9,B1341:K1341)</f>
        <v/>
      </c>
      <c r="S1341" s="5">
        <f>SUMPRODUCT(Exposures!$B$10:$K$10,B1341:K1341)</f>
        <v/>
      </c>
    </row>
    <row r="1342">
      <c r="A1342" s="1" t="n">
        <v>44405</v>
      </c>
      <c r="B1342" s="5" t="n">
        <v>0.002485314700672651</v>
      </c>
      <c r="C1342" s="5" t="n">
        <v>0.001832538037651395</v>
      </c>
      <c r="D1342" s="5" t="n">
        <v>-0.0005232188255281007</v>
      </c>
      <c r="E1342" s="5" t="n">
        <v>-0.003883753155028914</v>
      </c>
      <c r="F1342" s="5" t="n">
        <v>-7.083494219573146e-05</v>
      </c>
      <c r="G1342" s="5" t="n">
        <v>0.005080087015397715</v>
      </c>
      <c r="H1342" s="5" t="n">
        <v>-0.003820885183120677</v>
      </c>
      <c r="I1342" s="5" t="n">
        <v>0.001337957975325326</v>
      </c>
      <c r="J1342" s="5" t="n">
        <v>0.008436529421915192</v>
      </c>
      <c r="K1342" s="5" t="n">
        <v>0.001732331548033381</v>
      </c>
      <c r="L1342" s="5" t="n">
        <v>-0.0008678142652687813</v>
      </c>
      <c r="M1342" s="5">
        <f>SUMPRODUCT(Exposures!$B$6:$K$6,B1342:K1342)</f>
        <v/>
      </c>
      <c r="N1342" s="5">
        <f>IF(AND($A1342&gt;=DATE(2020,2,1),$A1342&lt;=DATE(2020,5,31)),$M1342,"")</f>
        <v/>
      </c>
      <c r="O1342" s="5">
        <f>IF(AND($A1342&gt;=DATE(2022,1,1),$A1342&lt;=DATE(2022,10,31)),$M1342,"")</f>
        <v/>
      </c>
      <c r="P1342" s="5">
        <f>IF(AND($A1342&gt;=DATE(2018,10,1),$A1342&lt;=DATE(2018,12,31)),$M1342,"")</f>
        <v/>
      </c>
      <c r="Q1342" s="5">
        <f>SUMPRODUCT(Exposures!$B$8:$K$8,B1342:K1342)</f>
        <v/>
      </c>
      <c r="R1342" s="5">
        <f>SUMPRODUCT(Exposures!$B$9:$K$9,B1342:K1342)</f>
        <v/>
      </c>
      <c r="S1342" s="5">
        <f>SUMPRODUCT(Exposures!$B$10:$K$10,B1342:K1342)</f>
        <v/>
      </c>
    </row>
    <row r="1343">
      <c r="A1343" s="1" t="n">
        <v>44406</v>
      </c>
      <c r="B1343" s="5" t="n">
        <v>0.002125718280353626</v>
      </c>
      <c r="C1343" s="5" t="n">
        <v>-0.001496238183776512</v>
      </c>
      <c r="D1343" s="5" t="n">
        <v>0.0004440910482101114</v>
      </c>
      <c r="E1343" s="5" t="n">
        <v>0.00116779462856145</v>
      </c>
      <c r="F1343" s="5" t="n">
        <v>7.58370969238609e-05</v>
      </c>
      <c r="G1343" s="5" t="n">
        <v>0.007793891555325589</v>
      </c>
      <c r="H1343" s="5" t="n">
        <v>0.005410702848521458</v>
      </c>
      <c r="I1343" s="5" t="n">
        <v>0.0001528749559989678</v>
      </c>
      <c r="J1343" s="5" t="n">
        <v>-0.002968455316135876</v>
      </c>
      <c r="K1343" s="5" t="n">
        <v>-0.0002418335072105426</v>
      </c>
      <c r="L1343" s="5" t="n">
        <v>0.0008128875113459847</v>
      </c>
      <c r="M1343" s="5">
        <f>SUMPRODUCT(Exposures!$B$6:$K$6,B1343:K1343)</f>
        <v/>
      </c>
      <c r="N1343" s="5">
        <f>IF(AND($A1343&gt;=DATE(2020,2,1),$A1343&lt;=DATE(2020,5,31)),$M1343,"")</f>
        <v/>
      </c>
      <c r="O1343" s="5">
        <f>IF(AND($A1343&gt;=DATE(2022,1,1),$A1343&lt;=DATE(2022,10,31)),$M1343,"")</f>
        <v/>
      </c>
      <c r="P1343" s="5">
        <f>IF(AND($A1343&gt;=DATE(2018,10,1),$A1343&lt;=DATE(2018,12,31)),$M1343,"")</f>
        <v/>
      </c>
      <c r="Q1343" s="5">
        <f>SUMPRODUCT(Exposures!$B$8:$K$8,B1343:K1343)</f>
        <v/>
      </c>
      <c r="R1343" s="5">
        <f>SUMPRODUCT(Exposures!$B$9:$K$9,B1343:K1343)</f>
        <v/>
      </c>
      <c r="S1343" s="5">
        <f>SUMPRODUCT(Exposures!$B$10:$K$10,B1343:K1343)</f>
        <v/>
      </c>
    </row>
    <row r="1344">
      <c r="A1344" s="1" t="n">
        <v>44407</v>
      </c>
      <c r="B1344" s="5" t="n">
        <v>0.002915622325196124</v>
      </c>
      <c r="C1344" s="5" t="n">
        <v>-0.002318430057029963</v>
      </c>
      <c r="D1344" s="5" t="n">
        <v>0.002074424646310162</v>
      </c>
      <c r="E1344" s="5" t="n">
        <v>0.0001468840344703929</v>
      </c>
      <c r="F1344" s="5" t="n">
        <v>-0.004572108409224907</v>
      </c>
      <c r="G1344" s="5" t="n">
        <v>-0.007099338811060841</v>
      </c>
      <c r="H1344" s="5" t="n">
        <v>0.001906359590788339</v>
      </c>
      <c r="I1344" s="5" t="n">
        <v>0.0002478904039545801</v>
      </c>
      <c r="J1344" s="5" t="n">
        <v>-0.006605578940099094</v>
      </c>
      <c r="K1344" s="5" t="n">
        <v>0.004914280969156504</v>
      </c>
      <c r="L1344" s="5" t="n">
        <v>-0.0009283093698827053</v>
      </c>
      <c r="M1344" s="5">
        <f>SUMPRODUCT(Exposures!$B$6:$K$6,B1344:K1344)</f>
        <v/>
      </c>
      <c r="N1344" s="5">
        <f>IF(AND($A1344&gt;=DATE(2020,2,1),$A1344&lt;=DATE(2020,5,31)),$M1344,"")</f>
        <v/>
      </c>
      <c r="O1344" s="5">
        <f>IF(AND($A1344&gt;=DATE(2022,1,1),$A1344&lt;=DATE(2022,10,31)),$M1344,"")</f>
        <v/>
      </c>
      <c r="P1344" s="5">
        <f>IF(AND($A1344&gt;=DATE(2018,10,1),$A1344&lt;=DATE(2018,12,31)),$M1344,"")</f>
        <v/>
      </c>
      <c r="Q1344" s="5">
        <f>SUMPRODUCT(Exposures!$B$8:$K$8,B1344:K1344)</f>
        <v/>
      </c>
      <c r="R1344" s="5">
        <f>SUMPRODUCT(Exposures!$B$9:$K$9,B1344:K1344)</f>
        <v/>
      </c>
      <c r="S1344" s="5">
        <f>SUMPRODUCT(Exposures!$B$10:$K$10,B1344:K1344)</f>
        <v/>
      </c>
    </row>
    <row r="1345">
      <c r="A1345" s="1" t="n">
        <v>44410</v>
      </c>
      <c r="B1345" s="5" t="n">
        <v>-0.001993602702558472</v>
      </c>
      <c r="C1345" s="5" t="n">
        <v>-0.0001503262173280187</v>
      </c>
      <c r="D1345" s="5" t="n">
        <v>-0.003807261719538413</v>
      </c>
      <c r="E1345" s="5" t="n">
        <v>-0.002908795825287134</v>
      </c>
      <c r="F1345" s="5" t="n">
        <v>0.001591253291457932</v>
      </c>
      <c r="G1345" s="5" t="n">
        <v>-0.001093815054210995</v>
      </c>
      <c r="H1345" s="5" t="n">
        <v>-0.001800654347488125</v>
      </c>
      <c r="I1345" s="5" t="n">
        <v>-0.002133548648784934</v>
      </c>
      <c r="J1345" s="5" t="n">
        <v>0.005694189468014623</v>
      </c>
      <c r="K1345" s="5" t="n">
        <v>0.004504604438219066</v>
      </c>
      <c r="L1345" s="5" t="n">
        <v>0.0007317158223257541</v>
      </c>
      <c r="M1345" s="5">
        <f>SUMPRODUCT(Exposures!$B$6:$K$6,B1345:K1345)</f>
        <v/>
      </c>
      <c r="N1345" s="5">
        <f>IF(AND($A1345&gt;=DATE(2020,2,1),$A1345&lt;=DATE(2020,5,31)),$M1345,"")</f>
        <v/>
      </c>
      <c r="O1345" s="5">
        <f>IF(AND($A1345&gt;=DATE(2022,1,1),$A1345&lt;=DATE(2022,10,31)),$M1345,"")</f>
        <v/>
      </c>
      <c r="P1345" s="5">
        <f>IF(AND($A1345&gt;=DATE(2018,10,1),$A1345&lt;=DATE(2018,12,31)),$M1345,"")</f>
        <v/>
      </c>
      <c r="Q1345" s="5">
        <f>SUMPRODUCT(Exposures!$B$8:$K$8,B1345:K1345)</f>
        <v/>
      </c>
      <c r="R1345" s="5">
        <f>SUMPRODUCT(Exposures!$B$9:$K$9,B1345:K1345)</f>
        <v/>
      </c>
      <c r="S1345" s="5">
        <f>SUMPRODUCT(Exposures!$B$10:$K$10,B1345:K1345)</f>
        <v/>
      </c>
    </row>
    <row r="1346">
      <c r="A1346" s="1" t="n">
        <v>44411</v>
      </c>
      <c r="B1346" s="5" t="n">
        <v>0.002026513353172474</v>
      </c>
      <c r="C1346" s="5" t="n">
        <v>-0.002426783574154297</v>
      </c>
      <c r="D1346" s="5" t="n">
        <v>0.001164904294195339</v>
      </c>
      <c r="E1346" s="5" t="n">
        <v>0.002366137956543626</v>
      </c>
      <c r="F1346" s="5" t="n">
        <v>0.002212118337872985</v>
      </c>
      <c r="G1346" s="5" t="n">
        <v>0.006399328330122343</v>
      </c>
      <c r="H1346" s="5" t="n">
        <v>0.001941054570082904</v>
      </c>
      <c r="I1346" s="5" t="n">
        <v>0.002187310467574402</v>
      </c>
      <c r="J1346" s="5" t="n">
        <v>-0.001926800364811846</v>
      </c>
      <c r="K1346" s="5" t="n">
        <v>-0.002316606243270819</v>
      </c>
      <c r="L1346" s="5" t="n">
        <v>-0.001100803699243625</v>
      </c>
      <c r="M1346" s="5">
        <f>SUMPRODUCT(Exposures!$B$6:$K$6,B1346:K1346)</f>
        <v/>
      </c>
      <c r="N1346" s="5">
        <f>IF(AND($A1346&gt;=DATE(2020,2,1),$A1346&lt;=DATE(2020,5,31)),$M1346,"")</f>
        <v/>
      </c>
      <c r="O1346" s="5">
        <f>IF(AND($A1346&gt;=DATE(2022,1,1),$A1346&lt;=DATE(2022,10,31)),$M1346,"")</f>
        <v/>
      </c>
      <c r="P1346" s="5">
        <f>IF(AND($A1346&gt;=DATE(2018,10,1),$A1346&lt;=DATE(2018,12,31)),$M1346,"")</f>
        <v/>
      </c>
      <c r="Q1346" s="5">
        <f>SUMPRODUCT(Exposures!$B$8:$K$8,B1346:K1346)</f>
        <v/>
      </c>
      <c r="R1346" s="5">
        <f>SUMPRODUCT(Exposures!$B$9:$K$9,B1346:K1346)</f>
        <v/>
      </c>
      <c r="S1346" s="5">
        <f>SUMPRODUCT(Exposures!$B$10:$K$10,B1346:K1346)</f>
        <v/>
      </c>
    </row>
    <row r="1347">
      <c r="A1347" s="1" t="n">
        <v>44412</v>
      </c>
      <c r="B1347" s="5" t="n">
        <v>0.002223094904932683</v>
      </c>
      <c r="C1347" s="5" t="n">
        <v>0.004293424811541261</v>
      </c>
      <c r="D1347" s="5" t="n">
        <v>-0.003570128375841725</v>
      </c>
      <c r="E1347" s="5" t="n">
        <v>-0.0004248582599000693</v>
      </c>
      <c r="F1347" s="5" t="n">
        <v>-0.003862095505768597</v>
      </c>
      <c r="G1347" s="5" t="n">
        <v>-0.01266143207868364</v>
      </c>
      <c r="H1347" s="5" t="n">
        <v>-0.006323243096436929</v>
      </c>
      <c r="I1347" s="5" t="n">
        <v>0.0005474527993409254</v>
      </c>
      <c r="J1347" s="5" t="n">
        <v>0.001022583482033873</v>
      </c>
      <c r="K1347" s="5" t="n">
        <v>0.008276666575149302</v>
      </c>
      <c r="L1347" s="5" t="n">
        <v>-0.0008996680788184355</v>
      </c>
      <c r="M1347" s="5">
        <f>SUMPRODUCT(Exposures!$B$6:$K$6,B1347:K1347)</f>
        <v/>
      </c>
      <c r="N1347" s="5">
        <f>IF(AND($A1347&gt;=DATE(2020,2,1),$A1347&lt;=DATE(2020,5,31)),$M1347,"")</f>
        <v/>
      </c>
      <c r="O1347" s="5">
        <f>IF(AND($A1347&gt;=DATE(2022,1,1),$A1347&lt;=DATE(2022,10,31)),$M1347,"")</f>
        <v/>
      </c>
      <c r="P1347" s="5">
        <f>IF(AND($A1347&gt;=DATE(2018,10,1),$A1347&lt;=DATE(2018,12,31)),$M1347,"")</f>
        <v/>
      </c>
      <c r="Q1347" s="5">
        <f>SUMPRODUCT(Exposures!$B$8:$K$8,B1347:K1347)</f>
        <v/>
      </c>
      <c r="R1347" s="5">
        <f>SUMPRODUCT(Exposures!$B$9:$K$9,B1347:K1347)</f>
        <v/>
      </c>
      <c r="S1347" s="5">
        <f>SUMPRODUCT(Exposures!$B$10:$K$10,B1347:K1347)</f>
        <v/>
      </c>
    </row>
    <row r="1348">
      <c r="A1348" s="1" t="n">
        <v>44413</v>
      </c>
      <c r="B1348" s="5" t="n">
        <v>0.003683834100722607</v>
      </c>
      <c r="C1348" s="5" t="n">
        <v>-0.001625797373043245</v>
      </c>
      <c r="D1348" s="5" t="n">
        <v>0.003171967396583372</v>
      </c>
      <c r="E1348" s="5" t="n">
        <v>0.00357728295559307</v>
      </c>
      <c r="F1348" s="5" t="n">
        <v>-0.0002410303219052817</v>
      </c>
      <c r="G1348" s="5" t="n">
        <v>0.01018145858837335</v>
      </c>
      <c r="H1348" s="5" t="n">
        <v>0.008452003941540932</v>
      </c>
      <c r="I1348" s="5" t="n">
        <v>-0.002614343923365376</v>
      </c>
      <c r="J1348" s="5" t="n">
        <v>-0.002687309282343764</v>
      </c>
      <c r="K1348" s="5" t="n">
        <v>-0.004260920280883844</v>
      </c>
      <c r="L1348" s="5" t="n">
        <v>-0.0001105543929868024</v>
      </c>
      <c r="M1348" s="5">
        <f>SUMPRODUCT(Exposures!$B$6:$K$6,B1348:K1348)</f>
        <v/>
      </c>
      <c r="N1348" s="5">
        <f>IF(AND($A1348&gt;=DATE(2020,2,1),$A1348&lt;=DATE(2020,5,31)),$M1348,"")</f>
        <v/>
      </c>
      <c r="O1348" s="5">
        <f>IF(AND($A1348&gt;=DATE(2022,1,1),$A1348&lt;=DATE(2022,10,31)),$M1348,"")</f>
        <v/>
      </c>
      <c r="P1348" s="5">
        <f>IF(AND($A1348&gt;=DATE(2018,10,1),$A1348&lt;=DATE(2018,12,31)),$M1348,"")</f>
        <v/>
      </c>
      <c r="Q1348" s="5">
        <f>SUMPRODUCT(Exposures!$B$8:$K$8,B1348:K1348)</f>
        <v/>
      </c>
      <c r="R1348" s="5">
        <f>SUMPRODUCT(Exposures!$B$9:$K$9,B1348:K1348)</f>
        <v/>
      </c>
      <c r="S1348" s="5">
        <f>SUMPRODUCT(Exposures!$B$10:$K$10,B1348:K1348)</f>
        <v/>
      </c>
    </row>
    <row r="1349">
      <c r="A1349" s="1" t="n">
        <v>44414</v>
      </c>
      <c r="B1349" s="5" t="n">
        <v>0.0005486801911472117</v>
      </c>
      <c r="C1349" s="5" t="n">
        <v>0.0006366679970533761</v>
      </c>
      <c r="D1349" s="5" t="n">
        <v>-0.001703147147098131</v>
      </c>
      <c r="E1349" s="5" t="n">
        <v>0.001951335386730105</v>
      </c>
      <c r="F1349" s="5" t="n">
        <v>-0.003065619224487705</v>
      </c>
      <c r="G1349" s="5" t="n">
        <v>0.004962537601021819</v>
      </c>
      <c r="H1349" s="5" t="n">
        <v>0.005402555092135961</v>
      </c>
      <c r="I1349" s="5" t="n">
        <v>-0.001277487295305184</v>
      </c>
      <c r="J1349" s="5" t="n">
        <v>-0.001197329359048848</v>
      </c>
      <c r="K1349" s="5" t="n">
        <v>0.002453616269070062</v>
      </c>
      <c r="L1349" s="5" t="n">
        <v>0.002443005264648097</v>
      </c>
      <c r="M1349" s="5">
        <f>SUMPRODUCT(Exposures!$B$6:$K$6,B1349:K1349)</f>
        <v/>
      </c>
      <c r="N1349" s="5">
        <f>IF(AND($A1349&gt;=DATE(2020,2,1),$A1349&lt;=DATE(2020,5,31)),$M1349,"")</f>
        <v/>
      </c>
      <c r="O1349" s="5">
        <f>IF(AND($A1349&gt;=DATE(2022,1,1),$A1349&lt;=DATE(2022,10,31)),$M1349,"")</f>
        <v/>
      </c>
      <c r="P1349" s="5">
        <f>IF(AND($A1349&gt;=DATE(2018,10,1),$A1349&lt;=DATE(2018,12,31)),$M1349,"")</f>
        <v/>
      </c>
      <c r="Q1349" s="5">
        <f>SUMPRODUCT(Exposures!$B$8:$K$8,B1349:K1349)</f>
        <v/>
      </c>
      <c r="R1349" s="5">
        <f>SUMPRODUCT(Exposures!$B$9:$K$9,B1349:K1349)</f>
        <v/>
      </c>
      <c r="S1349" s="5">
        <f>SUMPRODUCT(Exposures!$B$10:$K$10,B1349:K1349)</f>
        <v/>
      </c>
    </row>
    <row r="1350">
      <c r="A1350" s="1" t="n">
        <v>44417</v>
      </c>
      <c r="B1350" s="5" t="n">
        <v>-0.001370578213330111</v>
      </c>
      <c r="C1350" s="5" t="n">
        <v>0.001352590387527789</v>
      </c>
      <c r="D1350" s="5" t="n">
        <v>-0.001609497936746957</v>
      </c>
      <c r="E1350" s="5" t="n">
        <v>0.001343997081706273</v>
      </c>
      <c r="F1350" s="5" t="n">
        <v>-0.0006738593915477679</v>
      </c>
      <c r="G1350" s="5" t="n">
        <v>-0.004339281951426858</v>
      </c>
      <c r="H1350" s="5" t="n">
        <v>0.000742575955310092</v>
      </c>
      <c r="I1350" s="5" t="n">
        <v>-0.0007041602108541588</v>
      </c>
      <c r="J1350" s="5" t="n">
        <v>-0.001542344151329762</v>
      </c>
      <c r="K1350" s="5" t="n">
        <v>0.002417565273616516</v>
      </c>
      <c r="L1350" s="5" t="n">
        <v>0.001268338531048739</v>
      </c>
      <c r="M1350" s="5">
        <f>SUMPRODUCT(Exposures!$B$6:$K$6,B1350:K1350)</f>
        <v/>
      </c>
      <c r="N1350" s="5">
        <f>IF(AND($A1350&gt;=DATE(2020,2,1),$A1350&lt;=DATE(2020,5,31)),$M1350,"")</f>
        <v/>
      </c>
      <c r="O1350" s="5">
        <f>IF(AND($A1350&gt;=DATE(2022,1,1),$A1350&lt;=DATE(2022,10,31)),$M1350,"")</f>
        <v/>
      </c>
      <c r="P1350" s="5">
        <f>IF(AND($A1350&gt;=DATE(2018,10,1),$A1350&lt;=DATE(2018,12,31)),$M1350,"")</f>
        <v/>
      </c>
      <c r="Q1350" s="5">
        <f>SUMPRODUCT(Exposures!$B$8:$K$8,B1350:K1350)</f>
        <v/>
      </c>
      <c r="R1350" s="5">
        <f>SUMPRODUCT(Exposures!$B$9:$K$9,B1350:K1350)</f>
        <v/>
      </c>
      <c r="S1350" s="5">
        <f>SUMPRODUCT(Exposures!$B$10:$K$10,B1350:K1350)</f>
        <v/>
      </c>
    </row>
    <row r="1351">
      <c r="A1351" s="1" t="n">
        <v>44418</v>
      </c>
      <c r="B1351" s="5" t="n">
        <v>-0.005596802731924247</v>
      </c>
      <c r="C1351" s="5" t="n">
        <v>0.00139374702023038</v>
      </c>
      <c r="D1351" s="5" t="n">
        <v>-0.002771264629566365</v>
      </c>
      <c r="E1351" s="5" t="n">
        <v>-1.461529565346331e-05</v>
      </c>
      <c r="F1351" s="5" t="n">
        <v>0.003775451317959349</v>
      </c>
      <c r="G1351" s="5" t="n">
        <v>0.005304451398034998</v>
      </c>
      <c r="H1351" s="5" t="n">
        <v>0.009244908120288465</v>
      </c>
      <c r="I1351" s="5" t="n">
        <v>-0.003116358762597641</v>
      </c>
      <c r="J1351" s="5" t="n">
        <v>0.001202256965451542</v>
      </c>
      <c r="K1351" s="5" t="n">
        <v>-0.0007106088141372634</v>
      </c>
      <c r="L1351" s="5" t="n">
        <v>0.0009795503212618245</v>
      </c>
      <c r="M1351" s="5">
        <f>SUMPRODUCT(Exposures!$B$6:$K$6,B1351:K1351)</f>
        <v/>
      </c>
      <c r="N1351" s="5">
        <f>IF(AND($A1351&gt;=DATE(2020,2,1),$A1351&lt;=DATE(2020,5,31)),$M1351,"")</f>
        <v/>
      </c>
      <c r="O1351" s="5">
        <f>IF(AND($A1351&gt;=DATE(2022,1,1),$A1351&lt;=DATE(2022,10,31)),$M1351,"")</f>
        <v/>
      </c>
      <c r="P1351" s="5">
        <f>IF(AND($A1351&gt;=DATE(2018,10,1),$A1351&lt;=DATE(2018,12,31)),$M1351,"")</f>
        <v/>
      </c>
      <c r="Q1351" s="5">
        <f>SUMPRODUCT(Exposures!$B$8:$K$8,B1351:K1351)</f>
        <v/>
      </c>
      <c r="R1351" s="5">
        <f>SUMPRODUCT(Exposures!$B$9:$K$9,B1351:K1351)</f>
        <v/>
      </c>
      <c r="S1351" s="5">
        <f>SUMPRODUCT(Exposures!$B$10:$K$10,B1351:K1351)</f>
        <v/>
      </c>
    </row>
    <row r="1352">
      <c r="A1352" s="1" t="n">
        <v>44419</v>
      </c>
      <c r="B1352" s="5" t="n">
        <v>-9.440326426867038e-05</v>
      </c>
      <c r="C1352" s="5" t="n">
        <v>-0.001995986715527677</v>
      </c>
      <c r="D1352" s="5" t="n">
        <v>-0.0001165539224204469</v>
      </c>
      <c r="E1352" s="5" t="n">
        <v>0.002183916681252957</v>
      </c>
      <c r="F1352" s="5" t="n">
        <v>0.003436064685261656</v>
      </c>
      <c r="G1352" s="5" t="n">
        <v>0.005484069698183265</v>
      </c>
      <c r="H1352" s="5" t="n">
        <v>0.001656687958448983</v>
      </c>
      <c r="I1352" s="5" t="n">
        <v>-0.002697163968149673</v>
      </c>
      <c r="J1352" s="5" t="n">
        <v>0.0003060375166082577</v>
      </c>
      <c r="K1352" s="5" t="n">
        <v>-0.002448495015883143</v>
      </c>
      <c r="L1352" s="5" t="n">
        <v>0.002563267210300234</v>
      </c>
      <c r="M1352" s="5">
        <f>SUMPRODUCT(Exposures!$B$6:$K$6,B1352:K1352)</f>
        <v/>
      </c>
      <c r="N1352" s="5">
        <f>IF(AND($A1352&gt;=DATE(2020,2,1),$A1352&lt;=DATE(2020,5,31)),$M1352,"")</f>
        <v/>
      </c>
      <c r="O1352" s="5">
        <f>IF(AND($A1352&gt;=DATE(2022,1,1),$A1352&lt;=DATE(2022,10,31)),$M1352,"")</f>
        <v/>
      </c>
      <c r="P1352" s="5">
        <f>IF(AND($A1352&gt;=DATE(2018,10,1),$A1352&lt;=DATE(2018,12,31)),$M1352,"")</f>
        <v/>
      </c>
      <c r="Q1352" s="5">
        <f>SUMPRODUCT(Exposures!$B$8:$K$8,B1352:K1352)</f>
        <v/>
      </c>
      <c r="R1352" s="5">
        <f>SUMPRODUCT(Exposures!$B$9:$K$9,B1352:K1352)</f>
        <v/>
      </c>
      <c r="S1352" s="5">
        <f>SUMPRODUCT(Exposures!$B$10:$K$10,B1352:K1352)</f>
        <v/>
      </c>
    </row>
    <row r="1353">
      <c r="A1353" s="1" t="n">
        <v>44420</v>
      </c>
      <c r="B1353" s="5" t="n">
        <v>-0.0005205894500268696</v>
      </c>
      <c r="C1353" s="5" t="n">
        <v>0.001790844945839029</v>
      </c>
      <c r="D1353" s="5" t="n">
        <v>0.004632794463169423</v>
      </c>
      <c r="E1353" s="5" t="n">
        <v>0.002109627146302788</v>
      </c>
      <c r="F1353" s="5" t="n">
        <v>0.005337218689995708</v>
      </c>
      <c r="G1353" s="5" t="n">
        <v>-0.0004695157178705409</v>
      </c>
      <c r="H1353" s="5" t="n">
        <v>0.001451020571432606</v>
      </c>
      <c r="I1353" s="5" t="n">
        <v>0.0004924442877936546</v>
      </c>
      <c r="J1353" s="5" t="n">
        <v>-0.001341735926759386</v>
      </c>
      <c r="K1353" s="5" t="n">
        <v>-0.005197924797378631</v>
      </c>
      <c r="L1353" s="5" t="n">
        <v>-0.003076329614797894</v>
      </c>
      <c r="M1353" s="5">
        <f>SUMPRODUCT(Exposures!$B$6:$K$6,B1353:K1353)</f>
        <v/>
      </c>
      <c r="N1353" s="5">
        <f>IF(AND($A1353&gt;=DATE(2020,2,1),$A1353&lt;=DATE(2020,5,31)),$M1353,"")</f>
        <v/>
      </c>
      <c r="O1353" s="5">
        <f>IF(AND($A1353&gt;=DATE(2022,1,1),$A1353&lt;=DATE(2022,10,31)),$M1353,"")</f>
        <v/>
      </c>
      <c r="P1353" s="5">
        <f>IF(AND($A1353&gt;=DATE(2018,10,1),$A1353&lt;=DATE(2018,12,31)),$M1353,"")</f>
        <v/>
      </c>
      <c r="Q1353" s="5">
        <f>SUMPRODUCT(Exposures!$B$8:$K$8,B1353:K1353)</f>
        <v/>
      </c>
      <c r="R1353" s="5">
        <f>SUMPRODUCT(Exposures!$B$9:$K$9,B1353:K1353)</f>
        <v/>
      </c>
      <c r="S1353" s="5">
        <f>SUMPRODUCT(Exposures!$B$10:$K$10,B1353:K1353)</f>
        <v/>
      </c>
    </row>
    <row r="1354">
      <c r="A1354" s="1" t="n">
        <v>44421</v>
      </c>
      <c r="B1354" s="5" t="n">
        <v>0.0002060850426560479</v>
      </c>
      <c r="C1354" s="5" t="n">
        <v>0.001603206638487434</v>
      </c>
      <c r="D1354" s="5" t="n">
        <v>0.002177555535209766</v>
      </c>
      <c r="E1354" s="5" t="n">
        <v>1.115542221401979e-05</v>
      </c>
      <c r="F1354" s="5" t="n">
        <v>0.003097458518305193</v>
      </c>
      <c r="G1354" s="5" t="n">
        <v>-0.003650309646709362</v>
      </c>
      <c r="H1354" s="5" t="n">
        <v>-0.001169245599332615</v>
      </c>
      <c r="I1354" s="5" t="n">
        <v>0.001154588362569882</v>
      </c>
      <c r="J1354" s="5" t="n">
        <v>-0.006951041361597438</v>
      </c>
      <c r="K1354" s="5" t="n">
        <v>-0.004928785723367285</v>
      </c>
      <c r="L1354" s="5" t="n">
        <v>-0.002046991797088503</v>
      </c>
      <c r="M1354" s="5">
        <f>SUMPRODUCT(Exposures!$B$6:$K$6,B1354:K1354)</f>
        <v/>
      </c>
      <c r="N1354" s="5">
        <f>IF(AND($A1354&gt;=DATE(2020,2,1),$A1354&lt;=DATE(2020,5,31)),$M1354,"")</f>
        <v/>
      </c>
      <c r="O1354" s="5">
        <f>IF(AND($A1354&gt;=DATE(2022,1,1),$A1354&lt;=DATE(2022,10,31)),$M1354,"")</f>
        <v/>
      </c>
      <c r="P1354" s="5">
        <f>IF(AND($A1354&gt;=DATE(2018,10,1),$A1354&lt;=DATE(2018,12,31)),$M1354,"")</f>
        <v/>
      </c>
      <c r="Q1354" s="5">
        <f>SUMPRODUCT(Exposures!$B$8:$K$8,B1354:K1354)</f>
        <v/>
      </c>
      <c r="R1354" s="5">
        <f>SUMPRODUCT(Exposures!$B$9:$K$9,B1354:K1354)</f>
        <v/>
      </c>
      <c r="S1354" s="5">
        <f>SUMPRODUCT(Exposures!$B$10:$K$10,B1354:K1354)</f>
        <v/>
      </c>
    </row>
    <row r="1355">
      <c r="A1355" s="1" t="n">
        <v>44424</v>
      </c>
      <c r="B1355" s="5" t="n">
        <v>-0.00194672022850155</v>
      </c>
      <c r="C1355" s="5" t="n">
        <v>-0.001993228857585838</v>
      </c>
      <c r="D1355" s="5" t="n">
        <v>0.00366546875176785</v>
      </c>
      <c r="E1355" s="5" t="n">
        <v>-0.0002002210277658811</v>
      </c>
      <c r="F1355" s="5" t="n">
        <v>-0.002831866556108843</v>
      </c>
      <c r="G1355" s="5" t="n">
        <v>-0.003934751812654531</v>
      </c>
      <c r="H1355" s="5" t="n">
        <v>-0.0002997703778171794</v>
      </c>
      <c r="I1355" s="5" t="n">
        <v>0.001205912023281576</v>
      </c>
      <c r="J1355" s="5" t="n">
        <v>-0.008571750018421021</v>
      </c>
      <c r="K1355" s="5" t="n">
        <v>0.001008916891728327</v>
      </c>
      <c r="L1355" s="5" t="n">
        <v>-0.0009136563314080845</v>
      </c>
      <c r="M1355" s="5">
        <f>SUMPRODUCT(Exposures!$B$6:$K$6,B1355:K1355)</f>
        <v/>
      </c>
      <c r="N1355" s="5">
        <f>IF(AND($A1355&gt;=DATE(2020,2,1),$A1355&lt;=DATE(2020,5,31)),$M1355,"")</f>
        <v/>
      </c>
      <c r="O1355" s="5">
        <f>IF(AND($A1355&gt;=DATE(2022,1,1),$A1355&lt;=DATE(2022,10,31)),$M1355,"")</f>
        <v/>
      </c>
      <c r="P1355" s="5">
        <f>IF(AND($A1355&gt;=DATE(2018,10,1),$A1355&lt;=DATE(2018,12,31)),$M1355,"")</f>
        <v/>
      </c>
      <c r="Q1355" s="5">
        <f>SUMPRODUCT(Exposures!$B$8:$K$8,B1355:K1355)</f>
        <v/>
      </c>
      <c r="R1355" s="5">
        <f>SUMPRODUCT(Exposures!$B$9:$K$9,B1355:K1355)</f>
        <v/>
      </c>
      <c r="S1355" s="5">
        <f>SUMPRODUCT(Exposures!$B$10:$K$10,B1355:K1355)</f>
        <v/>
      </c>
    </row>
    <row r="1356">
      <c r="A1356" s="1" t="n">
        <v>44425</v>
      </c>
      <c r="B1356" s="5" t="n">
        <v>-0.005336649325176992</v>
      </c>
      <c r="C1356" s="5" t="n">
        <v>0.0003322011951002669</v>
      </c>
      <c r="D1356" s="5" t="n">
        <v>0.007778723589909282</v>
      </c>
      <c r="E1356" s="5" t="n">
        <v>0.001327768077391064</v>
      </c>
      <c r="F1356" s="5" t="n">
        <v>-0.001943266095828295</v>
      </c>
      <c r="G1356" s="5" t="n">
        <v>-0.009132584707917007</v>
      </c>
      <c r="H1356" s="5" t="n">
        <v>-0.005785984790522414</v>
      </c>
      <c r="I1356" s="5" t="n">
        <v>0.005406396859515003</v>
      </c>
      <c r="J1356" s="5" t="n">
        <v>-0.001428408294436816</v>
      </c>
      <c r="K1356" s="5" t="n">
        <v>-0.003801161521575665</v>
      </c>
      <c r="L1356" s="5" t="n">
        <v>-0.001136353071883141</v>
      </c>
      <c r="M1356" s="5">
        <f>SUMPRODUCT(Exposures!$B$6:$K$6,B1356:K1356)</f>
        <v/>
      </c>
      <c r="N1356" s="5">
        <f>IF(AND($A1356&gt;=DATE(2020,2,1),$A1356&lt;=DATE(2020,5,31)),$M1356,"")</f>
        <v/>
      </c>
      <c r="O1356" s="5">
        <f>IF(AND($A1356&gt;=DATE(2022,1,1),$A1356&lt;=DATE(2022,10,31)),$M1356,"")</f>
        <v/>
      </c>
      <c r="P1356" s="5">
        <f>IF(AND($A1356&gt;=DATE(2018,10,1),$A1356&lt;=DATE(2018,12,31)),$M1356,"")</f>
        <v/>
      </c>
      <c r="Q1356" s="5">
        <f>SUMPRODUCT(Exposures!$B$8:$K$8,B1356:K1356)</f>
        <v/>
      </c>
      <c r="R1356" s="5">
        <f>SUMPRODUCT(Exposures!$B$9:$K$9,B1356:K1356)</f>
        <v/>
      </c>
      <c r="S1356" s="5">
        <f>SUMPRODUCT(Exposures!$B$10:$K$10,B1356:K1356)</f>
        <v/>
      </c>
    </row>
    <row r="1357">
      <c r="A1357" s="1" t="n">
        <v>44426</v>
      </c>
      <c r="B1357" s="5" t="n">
        <v>0.001919771341971683</v>
      </c>
      <c r="C1357" s="5" t="n">
        <v>-0.0001356627975507881</v>
      </c>
      <c r="D1357" s="5" t="n">
        <v>-0.003193568584937463</v>
      </c>
      <c r="E1357" s="5" t="n">
        <v>-0.001037640941309922</v>
      </c>
      <c r="F1357" s="5" t="n">
        <v>-0.00264809221048116</v>
      </c>
      <c r="G1357" s="5" t="n">
        <v>-0.007155515188632802</v>
      </c>
      <c r="H1357" s="5" t="n">
        <v>0.001844811334683926</v>
      </c>
      <c r="I1357" s="5" t="n">
        <v>-0.001024253460027658</v>
      </c>
      <c r="J1357" s="5" t="n">
        <v>0.002313920322924273</v>
      </c>
      <c r="K1357" s="5" t="n">
        <v>0.0004739803913256769</v>
      </c>
      <c r="L1357" s="5" t="n">
        <v>-0.0003581863400070627</v>
      </c>
      <c r="M1357" s="5">
        <f>SUMPRODUCT(Exposures!$B$6:$K$6,B1357:K1357)</f>
        <v/>
      </c>
      <c r="N1357" s="5">
        <f>IF(AND($A1357&gt;=DATE(2020,2,1),$A1357&lt;=DATE(2020,5,31)),$M1357,"")</f>
        <v/>
      </c>
      <c r="O1357" s="5">
        <f>IF(AND($A1357&gt;=DATE(2022,1,1),$A1357&lt;=DATE(2022,10,31)),$M1357,"")</f>
        <v/>
      </c>
      <c r="P1357" s="5">
        <f>IF(AND($A1357&gt;=DATE(2018,10,1),$A1357&lt;=DATE(2018,12,31)),$M1357,"")</f>
        <v/>
      </c>
      <c r="Q1357" s="5">
        <f>SUMPRODUCT(Exposures!$B$8:$K$8,B1357:K1357)</f>
        <v/>
      </c>
      <c r="R1357" s="5">
        <f>SUMPRODUCT(Exposures!$B$9:$K$9,B1357:K1357)</f>
        <v/>
      </c>
      <c r="S1357" s="5">
        <f>SUMPRODUCT(Exposures!$B$10:$K$10,B1357:K1357)</f>
        <v/>
      </c>
    </row>
    <row r="1358">
      <c r="A1358" s="1" t="n">
        <v>44427</v>
      </c>
      <c r="B1358" s="5" t="n">
        <v>0.002004444336658158</v>
      </c>
      <c r="C1358" s="5" t="n">
        <v>-0.002062292264501724</v>
      </c>
      <c r="D1358" s="5" t="n">
        <v>0.00205307844737593</v>
      </c>
      <c r="E1358" s="5" t="n">
        <v>0.0008317123167292748</v>
      </c>
      <c r="F1358" s="5" t="n">
        <v>0.0007178902903061311</v>
      </c>
      <c r="G1358" s="5" t="n">
        <v>-0.008431172755658422</v>
      </c>
      <c r="H1358" s="5" t="n">
        <v>-0.002328053836043333</v>
      </c>
      <c r="I1358" s="5" t="n">
        <v>0.00294232310147633</v>
      </c>
      <c r="J1358" s="5" t="n">
        <v>-0.01396988530204206</v>
      </c>
      <c r="K1358" s="5" t="n">
        <v>-0.005611554870681996</v>
      </c>
      <c r="L1358" s="5" t="n">
        <v>-0.005096181434661936</v>
      </c>
      <c r="M1358" s="5">
        <f>SUMPRODUCT(Exposures!$B$6:$K$6,B1358:K1358)</f>
        <v/>
      </c>
      <c r="N1358" s="5">
        <f>IF(AND($A1358&gt;=DATE(2020,2,1),$A1358&lt;=DATE(2020,5,31)),$M1358,"")</f>
        <v/>
      </c>
      <c r="O1358" s="5">
        <f>IF(AND($A1358&gt;=DATE(2022,1,1),$A1358&lt;=DATE(2022,10,31)),$M1358,"")</f>
        <v/>
      </c>
      <c r="P1358" s="5">
        <f>IF(AND($A1358&gt;=DATE(2018,10,1),$A1358&lt;=DATE(2018,12,31)),$M1358,"")</f>
        <v/>
      </c>
      <c r="Q1358" s="5">
        <f>SUMPRODUCT(Exposures!$B$8:$K$8,B1358:K1358)</f>
        <v/>
      </c>
      <c r="R1358" s="5">
        <f>SUMPRODUCT(Exposures!$B$9:$K$9,B1358:K1358)</f>
        <v/>
      </c>
      <c r="S1358" s="5">
        <f>SUMPRODUCT(Exposures!$B$10:$K$10,B1358:K1358)</f>
        <v/>
      </c>
    </row>
    <row r="1359">
      <c r="A1359" s="1" t="n">
        <v>44428</v>
      </c>
      <c r="B1359" s="5" t="n">
        <v>0.001366082643923601</v>
      </c>
      <c r="C1359" s="5" t="n">
        <v>-0.001018257265823673</v>
      </c>
      <c r="D1359" s="5" t="n">
        <v>0.001039162425453084</v>
      </c>
      <c r="E1359" s="5" t="n">
        <v>0.0001379525786952184</v>
      </c>
      <c r="F1359" s="5" t="n">
        <v>0.0006467189452014233</v>
      </c>
      <c r="G1359" s="5" t="n">
        <v>0.01158612675913409</v>
      </c>
      <c r="H1359" s="5" t="n">
        <v>-0.0004005574699084412</v>
      </c>
      <c r="I1359" s="5" t="n">
        <v>-0.0002517908460416336</v>
      </c>
      <c r="J1359" s="5" t="n">
        <v>-3.935643807597973e-05</v>
      </c>
      <c r="K1359" s="5" t="n">
        <v>-0.00499708264717328</v>
      </c>
      <c r="L1359" s="5" t="n">
        <v>0.0002632587620327591</v>
      </c>
      <c r="M1359" s="5">
        <f>SUMPRODUCT(Exposures!$B$6:$K$6,B1359:K1359)</f>
        <v/>
      </c>
      <c r="N1359" s="5">
        <f>IF(AND($A1359&gt;=DATE(2020,2,1),$A1359&lt;=DATE(2020,5,31)),$M1359,"")</f>
        <v/>
      </c>
      <c r="O1359" s="5">
        <f>IF(AND($A1359&gt;=DATE(2022,1,1),$A1359&lt;=DATE(2022,10,31)),$M1359,"")</f>
        <v/>
      </c>
      <c r="P1359" s="5">
        <f>IF(AND($A1359&gt;=DATE(2018,10,1),$A1359&lt;=DATE(2018,12,31)),$M1359,"")</f>
        <v/>
      </c>
      <c r="Q1359" s="5">
        <f>SUMPRODUCT(Exposures!$B$8:$K$8,B1359:K1359)</f>
        <v/>
      </c>
      <c r="R1359" s="5">
        <f>SUMPRODUCT(Exposures!$B$9:$K$9,B1359:K1359)</f>
        <v/>
      </c>
      <c r="S1359" s="5">
        <f>SUMPRODUCT(Exposures!$B$10:$K$10,B1359:K1359)</f>
        <v/>
      </c>
    </row>
    <row r="1360">
      <c r="A1360" s="1" t="n">
        <v>44431</v>
      </c>
      <c r="B1360" s="5" t="n">
        <v>0.005366654818181173</v>
      </c>
      <c r="C1360" s="5" t="n">
        <v>0.0008603200277841011</v>
      </c>
      <c r="D1360" s="5" t="n">
        <v>-0.002966153365244129</v>
      </c>
      <c r="E1360" s="5" t="n">
        <v>-6.713591614772954e-05</v>
      </c>
      <c r="F1360" s="5" t="n">
        <v>0.005890844120769168</v>
      </c>
      <c r="G1360" s="5" t="n">
        <v>0.01231735652961272</v>
      </c>
      <c r="H1360" s="5" t="n">
        <v>-9.045234726121477e-05</v>
      </c>
      <c r="I1360" s="5" t="n">
        <v>0.001969022732316025</v>
      </c>
      <c r="J1360" s="5" t="n">
        <v>0.009520113961006878</v>
      </c>
      <c r="K1360" s="5" t="n">
        <v>-0.004117000840781719</v>
      </c>
      <c r="L1360" s="5" t="n">
        <v>-0.0002583149870427723</v>
      </c>
      <c r="M1360" s="5">
        <f>SUMPRODUCT(Exposures!$B$6:$K$6,B1360:K1360)</f>
        <v/>
      </c>
      <c r="N1360" s="5">
        <f>IF(AND($A1360&gt;=DATE(2020,2,1),$A1360&lt;=DATE(2020,5,31)),$M1360,"")</f>
        <v/>
      </c>
      <c r="O1360" s="5">
        <f>IF(AND($A1360&gt;=DATE(2022,1,1),$A1360&lt;=DATE(2022,10,31)),$M1360,"")</f>
        <v/>
      </c>
      <c r="P1360" s="5">
        <f>IF(AND($A1360&gt;=DATE(2018,10,1),$A1360&lt;=DATE(2018,12,31)),$M1360,"")</f>
        <v/>
      </c>
      <c r="Q1360" s="5">
        <f>SUMPRODUCT(Exposures!$B$8:$K$8,B1360:K1360)</f>
        <v/>
      </c>
      <c r="R1360" s="5">
        <f>SUMPRODUCT(Exposures!$B$9:$K$9,B1360:K1360)</f>
        <v/>
      </c>
      <c r="S1360" s="5">
        <f>SUMPRODUCT(Exposures!$B$10:$K$10,B1360:K1360)</f>
        <v/>
      </c>
    </row>
    <row r="1361">
      <c r="A1361" s="1" t="n">
        <v>44432</v>
      </c>
      <c r="B1361" s="5" t="n">
        <v>0.001105182564462508</v>
      </c>
      <c r="C1361" s="5" t="n">
        <v>0.0005663059644536924</v>
      </c>
      <c r="D1361" s="5" t="n">
        <v>-0.002119172381441311</v>
      </c>
      <c r="E1361" s="5" t="n">
        <v>-0.0002511987588641223</v>
      </c>
      <c r="F1361" s="5" t="n">
        <v>0.0006600691711446548</v>
      </c>
      <c r="G1361" s="5" t="n">
        <v>0.008225660088177083</v>
      </c>
      <c r="H1361" s="5" t="n">
        <v>0.001781108080835618</v>
      </c>
      <c r="I1361" s="5" t="n">
        <v>-0.004346912620050775</v>
      </c>
      <c r="J1361" s="5" t="n">
        <v>0.009690493010069603</v>
      </c>
      <c r="K1361" s="5" t="n">
        <v>0.005873535489707222</v>
      </c>
      <c r="L1361" s="5" t="n">
        <v>0.002818975406612115</v>
      </c>
      <c r="M1361" s="5">
        <f>SUMPRODUCT(Exposures!$B$6:$K$6,B1361:K1361)</f>
        <v/>
      </c>
      <c r="N1361" s="5">
        <f>IF(AND($A1361&gt;=DATE(2020,2,1),$A1361&lt;=DATE(2020,5,31)),$M1361,"")</f>
        <v/>
      </c>
      <c r="O1361" s="5">
        <f>IF(AND($A1361&gt;=DATE(2022,1,1),$A1361&lt;=DATE(2022,10,31)),$M1361,"")</f>
        <v/>
      </c>
      <c r="P1361" s="5">
        <f>IF(AND($A1361&gt;=DATE(2018,10,1),$A1361&lt;=DATE(2018,12,31)),$M1361,"")</f>
        <v/>
      </c>
      <c r="Q1361" s="5">
        <f>SUMPRODUCT(Exposures!$B$8:$K$8,B1361:K1361)</f>
        <v/>
      </c>
      <c r="R1361" s="5">
        <f>SUMPRODUCT(Exposures!$B$9:$K$9,B1361:K1361)</f>
        <v/>
      </c>
      <c r="S1361" s="5">
        <f>SUMPRODUCT(Exposures!$B$10:$K$10,B1361:K1361)</f>
        <v/>
      </c>
    </row>
    <row r="1362">
      <c r="A1362" s="1" t="n">
        <v>44433</v>
      </c>
      <c r="B1362" s="5" t="n">
        <v>0.003448100682572594</v>
      </c>
      <c r="C1362" s="5" t="n">
        <v>-0.0001916301745075899</v>
      </c>
      <c r="D1362" s="5" t="n">
        <v>-0.001896824010954176</v>
      </c>
      <c r="E1362" s="5" t="n">
        <v>0.003920211674909737</v>
      </c>
      <c r="F1362" s="5" t="n">
        <v>0.001337202726346884</v>
      </c>
      <c r="G1362" s="5" t="n">
        <v>0.004945837386901615</v>
      </c>
      <c r="H1362" s="5" t="n">
        <v>0.002603035644405449</v>
      </c>
      <c r="I1362" s="5" t="n">
        <v>-0.001124674176425414</v>
      </c>
      <c r="J1362" s="5" t="n">
        <v>-0.001953536580268434</v>
      </c>
      <c r="K1362" s="5" t="n">
        <v>-0.002610474821899917</v>
      </c>
      <c r="L1362" s="5" t="n">
        <v>-0.0006440083570972888</v>
      </c>
      <c r="M1362" s="5">
        <f>SUMPRODUCT(Exposures!$B$6:$K$6,B1362:K1362)</f>
        <v/>
      </c>
      <c r="N1362" s="5">
        <f>IF(AND($A1362&gt;=DATE(2020,2,1),$A1362&lt;=DATE(2020,5,31)),$M1362,"")</f>
        <v/>
      </c>
      <c r="O1362" s="5">
        <f>IF(AND($A1362&gt;=DATE(2022,1,1),$A1362&lt;=DATE(2022,10,31)),$M1362,"")</f>
        <v/>
      </c>
      <c r="P1362" s="5">
        <f>IF(AND($A1362&gt;=DATE(2018,10,1),$A1362&lt;=DATE(2018,12,31)),$M1362,"")</f>
        <v/>
      </c>
      <c r="Q1362" s="5">
        <f>SUMPRODUCT(Exposures!$B$8:$K$8,B1362:K1362)</f>
        <v/>
      </c>
      <c r="R1362" s="5">
        <f>SUMPRODUCT(Exposures!$B$9:$K$9,B1362:K1362)</f>
        <v/>
      </c>
      <c r="S1362" s="5">
        <f>SUMPRODUCT(Exposures!$B$10:$K$10,B1362:K1362)</f>
        <v/>
      </c>
    </row>
    <row r="1363">
      <c r="A1363" s="1" t="n">
        <v>44434</v>
      </c>
      <c r="B1363" s="5" t="n">
        <v>0.001075715246968182</v>
      </c>
      <c r="C1363" s="5" t="n">
        <v>0.0006393213905875892</v>
      </c>
      <c r="D1363" s="5" t="n">
        <v>-0.001900212544541228</v>
      </c>
      <c r="E1363" s="5" t="n">
        <v>0.003947682332061849</v>
      </c>
      <c r="F1363" s="5" t="n">
        <v>0.003619144103992736</v>
      </c>
      <c r="G1363" s="5" t="n">
        <v>-0.007641472334031322</v>
      </c>
      <c r="H1363" s="5" t="n">
        <v>-0.003283810018599417</v>
      </c>
      <c r="I1363" s="5" t="n">
        <v>0.002391718912300353</v>
      </c>
      <c r="J1363" s="5" t="n">
        <v>-0.004216880142842117</v>
      </c>
      <c r="K1363" s="5" t="n">
        <v>-0.007493915036762102</v>
      </c>
      <c r="L1363" s="5" t="n">
        <v>-0.002353284000672577</v>
      </c>
      <c r="M1363" s="5">
        <f>SUMPRODUCT(Exposures!$B$6:$K$6,B1363:K1363)</f>
        <v/>
      </c>
      <c r="N1363" s="5">
        <f>IF(AND($A1363&gt;=DATE(2020,2,1),$A1363&lt;=DATE(2020,5,31)),$M1363,"")</f>
        <v/>
      </c>
      <c r="O1363" s="5">
        <f>IF(AND($A1363&gt;=DATE(2022,1,1),$A1363&lt;=DATE(2022,10,31)),$M1363,"")</f>
        <v/>
      </c>
      <c r="P1363" s="5">
        <f>IF(AND($A1363&gt;=DATE(2018,10,1),$A1363&lt;=DATE(2018,12,31)),$M1363,"")</f>
        <v/>
      </c>
      <c r="Q1363" s="5">
        <f>SUMPRODUCT(Exposures!$B$8:$K$8,B1363:K1363)</f>
        <v/>
      </c>
      <c r="R1363" s="5">
        <f>SUMPRODUCT(Exposures!$B$9:$K$9,B1363:K1363)</f>
        <v/>
      </c>
      <c r="S1363" s="5">
        <f>SUMPRODUCT(Exposures!$B$10:$K$10,B1363:K1363)</f>
        <v/>
      </c>
    </row>
    <row r="1364">
      <c r="A1364" s="1" t="n">
        <v>44435</v>
      </c>
      <c r="B1364" s="5" t="n">
        <v>0.006304583096830245</v>
      </c>
      <c r="C1364" s="5" t="n">
        <v>0.0006376431275017102</v>
      </c>
      <c r="D1364" s="5" t="n">
        <v>-0.003245917819225231</v>
      </c>
      <c r="E1364" s="5" t="n">
        <v>0.002441762943338761</v>
      </c>
      <c r="F1364" s="5" t="n">
        <v>-0.00171866114400873</v>
      </c>
      <c r="G1364" s="5" t="n">
        <v>0.01866636510155885</v>
      </c>
      <c r="H1364" s="5" t="n">
        <v>0.003052084851200115</v>
      </c>
      <c r="I1364" s="5" t="n">
        <v>-0.0008326296180097706</v>
      </c>
      <c r="J1364" s="5" t="n">
        <v>0.006582499077704916</v>
      </c>
      <c r="K1364" s="5" t="n">
        <v>-0.001269590716936014</v>
      </c>
      <c r="L1364" s="5" t="n">
        <v>0.0005198645727837871</v>
      </c>
      <c r="M1364" s="5">
        <f>SUMPRODUCT(Exposures!$B$6:$K$6,B1364:K1364)</f>
        <v/>
      </c>
      <c r="N1364" s="5">
        <f>IF(AND($A1364&gt;=DATE(2020,2,1),$A1364&lt;=DATE(2020,5,31)),$M1364,"")</f>
        <v/>
      </c>
      <c r="O1364" s="5">
        <f>IF(AND($A1364&gt;=DATE(2022,1,1),$A1364&lt;=DATE(2022,10,31)),$M1364,"")</f>
        <v/>
      </c>
      <c r="P1364" s="5">
        <f>IF(AND($A1364&gt;=DATE(2018,10,1),$A1364&lt;=DATE(2018,12,31)),$M1364,"")</f>
        <v/>
      </c>
      <c r="Q1364" s="5">
        <f>SUMPRODUCT(Exposures!$B$8:$K$8,B1364:K1364)</f>
        <v/>
      </c>
      <c r="R1364" s="5">
        <f>SUMPRODUCT(Exposures!$B$9:$K$9,B1364:K1364)</f>
        <v/>
      </c>
      <c r="S1364" s="5">
        <f>SUMPRODUCT(Exposures!$B$10:$K$10,B1364:K1364)</f>
        <v/>
      </c>
    </row>
    <row r="1365">
      <c r="A1365" s="1" t="n">
        <v>44438</v>
      </c>
      <c r="B1365" s="5" t="n">
        <v>0.0008022378642453408</v>
      </c>
      <c r="C1365" s="5" t="n">
        <v>0.00197409223753879</v>
      </c>
      <c r="D1365" s="5" t="n">
        <v>0.002005279922155721</v>
      </c>
      <c r="E1365" s="5" t="n">
        <v>-0.002539092932747822</v>
      </c>
      <c r="F1365" s="5" t="n">
        <v>0.01015448051432113</v>
      </c>
      <c r="G1365" s="5" t="n">
        <v>-0.001541465352673165</v>
      </c>
      <c r="H1365" s="5" t="n">
        <v>-0.009828236212867299</v>
      </c>
      <c r="I1365" s="5" t="n">
        <v>-5.467156341532623e-05</v>
      </c>
      <c r="J1365" s="5" t="n">
        <v>0.004473270206432929</v>
      </c>
      <c r="K1365" s="5" t="n">
        <v>-0.007869333428810582</v>
      </c>
      <c r="L1365" s="5" t="n">
        <v>-0.006506523469871761</v>
      </c>
      <c r="M1365" s="5">
        <f>SUMPRODUCT(Exposures!$B$6:$K$6,B1365:K1365)</f>
        <v/>
      </c>
      <c r="N1365" s="5">
        <f>IF(AND($A1365&gt;=DATE(2020,2,1),$A1365&lt;=DATE(2020,5,31)),$M1365,"")</f>
        <v/>
      </c>
      <c r="O1365" s="5">
        <f>IF(AND($A1365&gt;=DATE(2022,1,1),$A1365&lt;=DATE(2022,10,31)),$M1365,"")</f>
        <v/>
      </c>
      <c r="P1365" s="5">
        <f>IF(AND($A1365&gt;=DATE(2018,10,1),$A1365&lt;=DATE(2018,12,31)),$M1365,"")</f>
        <v/>
      </c>
      <c r="Q1365" s="5">
        <f>SUMPRODUCT(Exposures!$B$8:$K$8,B1365:K1365)</f>
        <v/>
      </c>
      <c r="R1365" s="5">
        <f>SUMPRODUCT(Exposures!$B$9:$K$9,B1365:K1365)</f>
        <v/>
      </c>
      <c r="S1365" s="5">
        <f>SUMPRODUCT(Exposures!$B$10:$K$10,B1365:K1365)</f>
        <v/>
      </c>
    </row>
    <row r="1366">
      <c r="A1366" s="1" t="n">
        <v>44439</v>
      </c>
      <c r="B1366" s="5" t="n">
        <v>-0.003978355431433279</v>
      </c>
      <c r="C1366" s="5" t="n">
        <v>0.00483647915301684</v>
      </c>
      <c r="D1366" s="5" t="n">
        <v>-0.0008650969743483995</v>
      </c>
      <c r="E1366" s="5" t="n">
        <v>0.0002445146615807357</v>
      </c>
      <c r="F1366" s="5" t="n">
        <v>-0.004431849321936595</v>
      </c>
      <c r="G1366" s="5" t="n">
        <v>0.00364499704888089</v>
      </c>
      <c r="H1366" s="5" t="n">
        <v>-0.001104412149506219</v>
      </c>
      <c r="I1366" s="5" t="n">
        <v>0.0008917011243751051</v>
      </c>
      <c r="J1366" s="5" t="n">
        <v>0.008822716842514587</v>
      </c>
      <c r="K1366" s="5" t="n">
        <v>0.005014580173662947</v>
      </c>
      <c r="L1366" s="5" t="n">
        <v>0.001084575102878144</v>
      </c>
      <c r="M1366" s="5">
        <f>SUMPRODUCT(Exposures!$B$6:$K$6,B1366:K1366)</f>
        <v/>
      </c>
      <c r="N1366" s="5">
        <f>IF(AND($A1366&gt;=DATE(2020,2,1),$A1366&lt;=DATE(2020,5,31)),$M1366,"")</f>
        <v/>
      </c>
      <c r="O1366" s="5">
        <f>IF(AND($A1366&gt;=DATE(2022,1,1),$A1366&lt;=DATE(2022,10,31)),$M1366,"")</f>
        <v/>
      </c>
      <c r="P1366" s="5">
        <f>IF(AND($A1366&gt;=DATE(2018,10,1),$A1366&lt;=DATE(2018,12,31)),$M1366,"")</f>
        <v/>
      </c>
      <c r="Q1366" s="5">
        <f>SUMPRODUCT(Exposures!$B$8:$K$8,B1366:K1366)</f>
        <v/>
      </c>
      <c r="R1366" s="5">
        <f>SUMPRODUCT(Exposures!$B$9:$K$9,B1366:K1366)</f>
        <v/>
      </c>
      <c r="S1366" s="5">
        <f>SUMPRODUCT(Exposures!$B$10:$K$10,B1366:K1366)</f>
        <v/>
      </c>
    </row>
    <row r="1367">
      <c r="A1367" s="1" t="n">
        <v>44440</v>
      </c>
      <c r="B1367" s="5" t="n">
        <v>-0.001856928849216855</v>
      </c>
      <c r="C1367" s="5" t="n">
        <v>0.001667596080705166</v>
      </c>
      <c r="D1367" s="5" t="n">
        <v>0.001014313748625462</v>
      </c>
      <c r="E1367" s="5" t="n">
        <v>-0.003906643839806601</v>
      </c>
      <c r="F1367" s="5" t="n">
        <v>-0.002591612742857253</v>
      </c>
      <c r="G1367" s="5" t="n">
        <v>0.002409221698826688</v>
      </c>
      <c r="H1367" s="5" t="n">
        <v>-0.001238143114222839</v>
      </c>
      <c r="I1367" s="5" t="n">
        <v>-0.003975882229325165</v>
      </c>
      <c r="J1367" s="5" t="n">
        <v>0.002943959287684452</v>
      </c>
      <c r="K1367" s="5" t="n">
        <v>0.003355985972782756</v>
      </c>
      <c r="L1367" s="5" t="n">
        <v>0.0002102335891328804</v>
      </c>
      <c r="M1367" s="5">
        <f>SUMPRODUCT(Exposures!$B$6:$K$6,B1367:K1367)</f>
        <v/>
      </c>
      <c r="N1367" s="5">
        <f>IF(AND($A1367&gt;=DATE(2020,2,1),$A1367&lt;=DATE(2020,5,31)),$M1367,"")</f>
        <v/>
      </c>
      <c r="O1367" s="5">
        <f>IF(AND($A1367&gt;=DATE(2022,1,1),$A1367&lt;=DATE(2022,10,31)),$M1367,"")</f>
        <v/>
      </c>
      <c r="P1367" s="5">
        <f>IF(AND($A1367&gt;=DATE(2018,10,1),$A1367&lt;=DATE(2018,12,31)),$M1367,"")</f>
        <v/>
      </c>
      <c r="Q1367" s="5">
        <f>SUMPRODUCT(Exposures!$B$8:$K$8,B1367:K1367)</f>
        <v/>
      </c>
      <c r="R1367" s="5">
        <f>SUMPRODUCT(Exposures!$B$9:$K$9,B1367:K1367)</f>
        <v/>
      </c>
      <c r="S1367" s="5">
        <f>SUMPRODUCT(Exposures!$B$10:$K$10,B1367:K1367)</f>
        <v/>
      </c>
    </row>
    <row r="1368">
      <c r="A1368" s="1" t="n">
        <v>44441</v>
      </c>
      <c r="B1368" s="5" t="n">
        <v>-0.001137551141166666</v>
      </c>
      <c r="C1368" s="5" t="n">
        <v>0.002502335453879751</v>
      </c>
      <c r="D1368" s="5" t="n">
        <v>0.0003322975628218451</v>
      </c>
      <c r="E1368" s="5" t="n">
        <v>0.0004434321032242183</v>
      </c>
      <c r="F1368" s="5" t="n">
        <v>-0.006645556868057232</v>
      </c>
      <c r="G1368" s="5" t="n">
        <v>0.006959267461367371</v>
      </c>
      <c r="H1368" s="5" t="n">
        <v>-9.627438098397421e-05</v>
      </c>
      <c r="I1368" s="5" t="n">
        <v>0.0002157233309285418</v>
      </c>
      <c r="J1368" s="5" t="n">
        <v>0.0011601599849319</v>
      </c>
      <c r="K1368" s="5" t="n">
        <v>0.003875265553235031</v>
      </c>
      <c r="L1368" s="5" t="n">
        <v>-0.002994449045725444</v>
      </c>
      <c r="M1368" s="5">
        <f>SUMPRODUCT(Exposures!$B$6:$K$6,B1368:K1368)</f>
        <v/>
      </c>
      <c r="N1368" s="5">
        <f>IF(AND($A1368&gt;=DATE(2020,2,1),$A1368&lt;=DATE(2020,5,31)),$M1368,"")</f>
        <v/>
      </c>
      <c r="O1368" s="5">
        <f>IF(AND($A1368&gt;=DATE(2022,1,1),$A1368&lt;=DATE(2022,10,31)),$M1368,"")</f>
        <v/>
      </c>
      <c r="P1368" s="5">
        <f>IF(AND($A1368&gt;=DATE(2018,10,1),$A1368&lt;=DATE(2018,12,31)),$M1368,"")</f>
        <v/>
      </c>
      <c r="Q1368" s="5">
        <f>SUMPRODUCT(Exposures!$B$8:$K$8,B1368:K1368)</f>
        <v/>
      </c>
      <c r="R1368" s="5">
        <f>SUMPRODUCT(Exposures!$B$9:$K$9,B1368:K1368)</f>
        <v/>
      </c>
      <c r="S1368" s="5">
        <f>SUMPRODUCT(Exposures!$B$10:$K$10,B1368:K1368)</f>
        <v/>
      </c>
    </row>
    <row r="1369">
      <c r="A1369" s="1" t="n">
        <v>44442</v>
      </c>
      <c r="B1369" s="5" t="n">
        <v>0.0004552190689042092</v>
      </c>
      <c r="C1369" s="5" t="n">
        <v>-0.0004414459301385267</v>
      </c>
      <c r="D1369" s="5" t="n">
        <v>0.001916852599865303</v>
      </c>
      <c r="E1369" s="5" t="n">
        <v>0.0002057805221204862</v>
      </c>
      <c r="F1369" s="5" t="n">
        <v>0.003191228842509171</v>
      </c>
      <c r="G1369" s="5" t="n">
        <v>-0.003505213850882098</v>
      </c>
      <c r="H1369" s="5" t="n">
        <v>-0.0006015902350721907</v>
      </c>
      <c r="I1369" s="5" t="n">
        <v>0.001047104462722654</v>
      </c>
      <c r="J1369" s="5" t="n">
        <v>-0.002534667180399547</v>
      </c>
      <c r="K1369" s="5" t="n">
        <v>-0.003618253528422076</v>
      </c>
      <c r="L1369" s="5" t="n">
        <v>-0.0009327477515690451</v>
      </c>
      <c r="M1369" s="5">
        <f>SUMPRODUCT(Exposures!$B$6:$K$6,B1369:K1369)</f>
        <v/>
      </c>
      <c r="N1369" s="5">
        <f>IF(AND($A1369&gt;=DATE(2020,2,1),$A1369&lt;=DATE(2020,5,31)),$M1369,"")</f>
        <v/>
      </c>
      <c r="O1369" s="5">
        <f>IF(AND($A1369&gt;=DATE(2022,1,1),$A1369&lt;=DATE(2022,10,31)),$M1369,"")</f>
        <v/>
      </c>
      <c r="P1369" s="5">
        <f>IF(AND($A1369&gt;=DATE(2018,10,1),$A1369&lt;=DATE(2018,12,31)),$M1369,"")</f>
        <v/>
      </c>
      <c r="Q1369" s="5">
        <f>SUMPRODUCT(Exposures!$B$8:$K$8,B1369:K1369)</f>
        <v/>
      </c>
      <c r="R1369" s="5">
        <f>SUMPRODUCT(Exposures!$B$9:$K$9,B1369:K1369)</f>
        <v/>
      </c>
      <c r="S1369" s="5">
        <f>SUMPRODUCT(Exposures!$B$10:$K$10,B1369:K1369)</f>
        <v/>
      </c>
    </row>
    <row r="1370">
      <c r="A1370" s="1" t="n">
        <v>44446</v>
      </c>
      <c r="B1370" s="5" t="n">
        <v>0.003847592155248956</v>
      </c>
      <c r="C1370" s="5" t="n">
        <v>0.002495407092012503</v>
      </c>
      <c r="D1370" s="5" t="n">
        <v>0.001347810539889542</v>
      </c>
      <c r="E1370" s="5" t="n">
        <v>0.001015402068951832</v>
      </c>
      <c r="F1370" s="5" t="n">
        <v>-0.0003482737545773844</v>
      </c>
      <c r="G1370" s="5" t="n">
        <v>-0.007730959545148963</v>
      </c>
      <c r="H1370" s="5" t="n">
        <v>-0.002610078314847315</v>
      </c>
      <c r="I1370" s="5" t="n">
        <v>-0.002098647383146407</v>
      </c>
      <c r="J1370" s="5" t="n">
        <v>0.004514637044039517</v>
      </c>
      <c r="K1370" s="5" t="n">
        <v>0.0051545667636241</v>
      </c>
      <c r="L1370" s="5" t="n">
        <v>0.002144229746827871</v>
      </c>
      <c r="M1370" s="5">
        <f>SUMPRODUCT(Exposures!$B$6:$K$6,B1370:K1370)</f>
        <v/>
      </c>
      <c r="N1370" s="5">
        <f>IF(AND($A1370&gt;=DATE(2020,2,1),$A1370&lt;=DATE(2020,5,31)),$M1370,"")</f>
        <v/>
      </c>
      <c r="O1370" s="5">
        <f>IF(AND($A1370&gt;=DATE(2022,1,1),$A1370&lt;=DATE(2022,10,31)),$M1370,"")</f>
        <v/>
      </c>
      <c r="P1370" s="5">
        <f>IF(AND($A1370&gt;=DATE(2018,10,1),$A1370&lt;=DATE(2018,12,31)),$M1370,"")</f>
        <v/>
      </c>
      <c r="Q1370" s="5">
        <f>SUMPRODUCT(Exposures!$B$8:$K$8,B1370:K1370)</f>
        <v/>
      </c>
      <c r="R1370" s="5">
        <f>SUMPRODUCT(Exposures!$B$9:$K$9,B1370:K1370)</f>
        <v/>
      </c>
      <c r="S1370" s="5">
        <f>SUMPRODUCT(Exposures!$B$10:$K$10,B1370:K1370)</f>
        <v/>
      </c>
    </row>
    <row r="1371">
      <c r="A1371" s="1" t="n">
        <v>44447</v>
      </c>
      <c r="B1371" s="5" t="n">
        <v>-0.004099743230662077</v>
      </c>
      <c r="C1371" s="5" t="n">
        <v>-0.002737645272446815</v>
      </c>
      <c r="D1371" s="5" t="n">
        <v>-0.001428739133279388</v>
      </c>
      <c r="E1371" s="5" t="n">
        <v>-0.0004694397084169099</v>
      </c>
      <c r="F1371" s="5" t="n">
        <v>0.002345090253812003</v>
      </c>
      <c r="G1371" s="5" t="n">
        <v>-0.004535401883266493</v>
      </c>
      <c r="H1371" s="5" t="n">
        <v>0.001645896748143617</v>
      </c>
      <c r="I1371" s="5" t="n">
        <v>0.0007666183751330019</v>
      </c>
      <c r="J1371" s="5" t="n">
        <v>-0.009218817595519969</v>
      </c>
      <c r="K1371" s="5" t="n">
        <v>-0.004649628880464314</v>
      </c>
      <c r="L1371" s="5" t="n">
        <v>-0.00197849337723587</v>
      </c>
      <c r="M1371" s="5">
        <f>SUMPRODUCT(Exposures!$B$6:$K$6,B1371:K1371)</f>
        <v/>
      </c>
      <c r="N1371" s="5">
        <f>IF(AND($A1371&gt;=DATE(2020,2,1),$A1371&lt;=DATE(2020,5,31)),$M1371,"")</f>
        <v/>
      </c>
      <c r="O1371" s="5">
        <f>IF(AND($A1371&gt;=DATE(2022,1,1),$A1371&lt;=DATE(2022,10,31)),$M1371,"")</f>
        <v/>
      </c>
      <c r="P1371" s="5">
        <f>IF(AND($A1371&gt;=DATE(2018,10,1),$A1371&lt;=DATE(2018,12,31)),$M1371,"")</f>
        <v/>
      </c>
      <c r="Q1371" s="5">
        <f>SUMPRODUCT(Exposures!$B$8:$K$8,B1371:K1371)</f>
        <v/>
      </c>
      <c r="R1371" s="5">
        <f>SUMPRODUCT(Exposures!$B$9:$K$9,B1371:K1371)</f>
        <v/>
      </c>
      <c r="S1371" s="5">
        <f>SUMPRODUCT(Exposures!$B$10:$K$10,B1371:K1371)</f>
        <v/>
      </c>
    </row>
    <row r="1372">
      <c r="A1372" s="1" t="n">
        <v>44448</v>
      </c>
      <c r="B1372" s="5" t="n">
        <v>0.002439523826152987</v>
      </c>
      <c r="C1372" s="5" t="n">
        <v>0.0001320680132850218</v>
      </c>
      <c r="D1372" s="5" t="n">
        <v>0.0002797309166236763</v>
      </c>
      <c r="E1372" s="5" t="n">
        <v>0.0008400209939688459</v>
      </c>
      <c r="F1372" s="5" t="n">
        <v>0.006276480407459372</v>
      </c>
      <c r="G1372" s="5" t="n">
        <v>-0.001533908950550271</v>
      </c>
      <c r="H1372" s="5" t="n">
        <v>0.004761519327330983</v>
      </c>
      <c r="I1372" s="5" t="n">
        <v>-0.001298301002975083</v>
      </c>
      <c r="J1372" s="5" t="n">
        <v>-0.0005321281508029871</v>
      </c>
      <c r="K1372" s="5" t="n">
        <v>-0.007172808084543335</v>
      </c>
      <c r="L1372" s="5" t="n">
        <v>-6.798913396775287e-06</v>
      </c>
      <c r="M1372" s="5">
        <f>SUMPRODUCT(Exposures!$B$6:$K$6,B1372:K1372)</f>
        <v/>
      </c>
      <c r="N1372" s="5">
        <f>IF(AND($A1372&gt;=DATE(2020,2,1),$A1372&lt;=DATE(2020,5,31)),$M1372,"")</f>
        <v/>
      </c>
      <c r="O1372" s="5">
        <f>IF(AND($A1372&gt;=DATE(2022,1,1),$A1372&lt;=DATE(2022,10,31)),$M1372,"")</f>
        <v/>
      </c>
      <c r="P1372" s="5">
        <f>IF(AND($A1372&gt;=DATE(2018,10,1),$A1372&lt;=DATE(2018,12,31)),$M1372,"")</f>
        <v/>
      </c>
      <c r="Q1372" s="5">
        <f>SUMPRODUCT(Exposures!$B$8:$K$8,B1372:K1372)</f>
        <v/>
      </c>
      <c r="R1372" s="5">
        <f>SUMPRODUCT(Exposures!$B$9:$K$9,B1372:K1372)</f>
        <v/>
      </c>
      <c r="S1372" s="5">
        <f>SUMPRODUCT(Exposures!$B$10:$K$10,B1372:K1372)</f>
        <v/>
      </c>
    </row>
    <row r="1373">
      <c r="A1373" s="1" t="n">
        <v>44449</v>
      </c>
      <c r="B1373" s="5" t="n">
        <v>-0.0004538251701763097</v>
      </c>
      <c r="C1373" s="5" t="n">
        <v>0.002102148495935193</v>
      </c>
      <c r="D1373" s="5" t="n">
        <v>-0.0005223426514225983</v>
      </c>
      <c r="E1373" s="5" t="n">
        <v>0.0001934863968926408</v>
      </c>
      <c r="F1373" s="5" t="n">
        <v>0.007969390214254314</v>
      </c>
      <c r="G1373" s="5" t="n">
        <v>-0.007190354768204977</v>
      </c>
      <c r="H1373" s="5" t="n">
        <v>-0.0003419272251201331</v>
      </c>
      <c r="I1373" s="5" t="n">
        <v>0.001053921370518479</v>
      </c>
      <c r="J1373" s="5" t="n">
        <v>0.003583533125815895</v>
      </c>
      <c r="K1373" s="5" t="n">
        <v>-0.008528172312172294</v>
      </c>
      <c r="L1373" s="5" t="n">
        <v>-0.003782660152921804</v>
      </c>
      <c r="M1373" s="5">
        <f>SUMPRODUCT(Exposures!$B$6:$K$6,B1373:K1373)</f>
        <v/>
      </c>
      <c r="N1373" s="5">
        <f>IF(AND($A1373&gt;=DATE(2020,2,1),$A1373&lt;=DATE(2020,5,31)),$M1373,"")</f>
        <v/>
      </c>
      <c r="O1373" s="5">
        <f>IF(AND($A1373&gt;=DATE(2022,1,1),$A1373&lt;=DATE(2022,10,31)),$M1373,"")</f>
        <v/>
      </c>
      <c r="P1373" s="5">
        <f>IF(AND($A1373&gt;=DATE(2018,10,1),$A1373&lt;=DATE(2018,12,31)),$M1373,"")</f>
        <v/>
      </c>
      <c r="Q1373" s="5">
        <f>SUMPRODUCT(Exposures!$B$8:$K$8,B1373:K1373)</f>
        <v/>
      </c>
      <c r="R1373" s="5">
        <f>SUMPRODUCT(Exposures!$B$9:$K$9,B1373:K1373)</f>
        <v/>
      </c>
      <c r="S1373" s="5">
        <f>SUMPRODUCT(Exposures!$B$10:$K$10,B1373:K1373)</f>
        <v/>
      </c>
    </row>
    <row r="1374">
      <c r="A1374" s="1" t="n">
        <v>44452</v>
      </c>
      <c r="B1374" s="5" t="n">
        <v>0.002637654799569213</v>
      </c>
      <c r="C1374" s="5" t="n">
        <v>0.002487404313420304</v>
      </c>
      <c r="D1374" s="5" t="n">
        <v>0.001486475160352565</v>
      </c>
      <c r="E1374" s="5" t="n">
        <v>0.002397293253683883</v>
      </c>
      <c r="F1374" s="5" t="n">
        <v>-0.003836987874265239</v>
      </c>
      <c r="G1374" s="5" t="n">
        <v>0.00563123003152846</v>
      </c>
      <c r="H1374" s="5" t="n">
        <v>-0.001400951382124314</v>
      </c>
      <c r="I1374" s="5" t="n">
        <v>0.002819115655561329</v>
      </c>
      <c r="J1374" s="5" t="n">
        <v>0.003757736340194529</v>
      </c>
      <c r="K1374" s="5" t="n">
        <v>0.001189081103550168</v>
      </c>
      <c r="L1374" s="5" t="n">
        <v>0.002506540503613542</v>
      </c>
      <c r="M1374" s="5">
        <f>SUMPRODUCT(Exposures!$B$6:$K$6,B1374:K1374)</f>
        <v/>
      </c>
      <c r="N1374" s="5">
        <f>IF(AND($A1374&gt;=DATE(2020,2,1),$A1374&lt;=DATE(2020,5,31)),$M1374,"")</f>
        <v/>
      </c>
      <c r="O1374" s="5">
        <f>IF(AND($A1374&gt;=DATE(2022,1,1),$A1374&lt;=DATE(2022,10,31)),$M1374,"")</f>
        <v/>
      </c>
      <c r="P1374" s="5">
        <f>IF(AND($A1374&gt;=DATE(2018,10,1),$A1374&lt;=DATE(2018,12,31)),$M1374,"")</f>
        <v/>
      </c>
      <c r="Q1374" s="5">
        <f>SUMPRODUCT(Exposures!$B$8:$K$8,B1374:K1374)</f>
        <v/>
      </c>
      <c r="R1374" s="5">
        <f>SUMPRODUCT(Exposures!$B$9:$K$9,B1374:K1374)</f>
        <v/>
      </c>
      <c r="S1374" s="5">
        <f>SUMPRODUCT(Exposures!$B$10:$K$10,B1374:K1374)</f>
        <v/>
      </c>
    </row>
    <row r="1375">
      <c r="A1375" s="1" t="n">
        <v>44453</v>
      </c>
      <c r="B1375" s="5" t="n">
        <v>0.0001292730511004145</v>
      </c>
      <c r="C1375" s="5" t="n">
        <v>0.001874037035501052</v>
      </c>
      <c r="D1375" s="5" t="n">
        <v>0.0001075764809009154</v>
      </c>
      <c r="E1375" s="5" t="n">
        <v>-0.001913852909460731</v>
      </c>
      <c r="F1375" s="5" t="n">
        <v>0.005144342691813992</v>
      </c>
      <c r="G1375" s="5" t="n">
        <v>-0.01114557902602588</v>
      </c>
      <c r="H1375" s="5" t="n">
        <v>0.001216351484036173</v>
      </c>
      <c r="I1375" s="5" t="n">
        <v>0.0003736123800128668</v>
      </c>
      <c r="J1375" s="5" t="n">
        <v>-0.005472009919483867</v>
      </c>
      <c r="K1375" s="5" t="n">
        <v>-0.00568514698439303</v>
      </c>
      <c r="L1375" s="5" t="n">
        <v>-0.003941623232446567</v>
      </c>
      <c r="M1375" s="5">
        <f>SUMPRODUCT(Exposures!$B$6:$K$6,B1375:K1375)</f>
        <v/>
      </c>
      <c r="N1375" s="5">
        <f>IF(AND($A1375&gt;=DATE(2020,2,1),$A1375&lt;=DATE(2020,5,31)),$M1375,"")</f>
        <v/>
      </c>
      <c r="O1375" s="5">
        <f>IF(AND($A1375&gt;=DATE(2022,1,1),$A1375&lt;=DATE(2022,10,31)),$M1375,"")</f>
        <v/>
      </c>
      <c r="P1375" s="5">
        <f>IF(AND($A1375&gt;=DATE(2018,10,1),$A1375&lt;=DATE(2018,12,31)),$M1375,"")</f>
        <v/>
      </c>
      <c r="Q1375" s="5">
        <f>SUMPRODUCT(Exposures!$B$8:$K$8,B1375:K1375)</f>
        <v/>
      </c>
      <c r="R1375" s="5">
        <f>SUMPRODUCT(Exposures!$B$9:$K$9,B1375:K1375)</f>
        <v/>
      </c>
      <c r="S1375" s="5">
        <f>SUMPRODUCT(Exposures!$B$10:$K$10,B1375:K1375)</f>
        <v/>
      </c>
    </row>
    <row r="1376">
      <c r="A1376" s="1" t="n">
        <v>44454</v>
      </c>
      <c r="B1376" s="5" t="n">
        <v>0.00282961349619426</v>
      </c>
      <c r="C1376" s="5" t="n">
        <v>0.002538529345695143</v>
      </c>
      <c r="D1376" s="5" t="n">
        <v>0.001923509238389858</v>
      </c>
      <c r="E1376" s="5" t="n">
        <v>0.001468316386529216</v>
      </c>
      <c r="F1376" s="5" t="n">
        <v>0.001694840214802975</v>
      </c>
      <c r="G1376" s="5" t="n">
        <v>0.009732821541285578</v>
      </c>
      <c r="H1376" s="5" t="n">
        <v>0.004708985241239338</v>
      </c>
      <c r="I1376" s="5" t="n">
        <v>0.001670101012554801</v>
      </c>
      <c r="J1376" s="5" t="n">
        <v>-0.001080736468888594</v>
      </c>
      <c r="K1376" s="5" t="n">
        <v>-0.003501000596854151</v>
      </c>
      <c r="L1376" s="5" t="n">
        <v>-0.001769698600384604</v>
      </c>
      <c r="M1376" s="5">
        <f>SUMPRODUCT(Exposures!$B$6:$K$6,B1376:K1376)</f>
        <v/>
      </c>
      <c r="N1376" s="5">
        <f>IF(AND($A1376&gt;=DATE(2020,2,1),$A1376&lt;=DATE(2020,5,31)),$M1376,"")</f>
        <v/>
      </c>
      <c r="O1376" s="5">
        <f>IF(AND($A1376&gt;=DATE(2022,1,1),$A1376&lt;=DATE(2022,10,31)),$M1376,"")</f>
        <v/>
      </c>
      <c r="P1376" s="5">
        <f>IF(AND($A1376&gt;=DATE(2018,10,1),$A1376&lt;=DATE(2018,12,31)),$M1376,"")</f>
        <v/>
      </c>
      <c r="Q1376" s="5">
        <f>SUMPRODUCT(Exposures!$B$8:$K$8,B1376:K1376)</f>
        <v/>
      </c>
      <c r="R1376" s="5">
        <f>SUMPRODUCT(Exposures!$B$9:$K$9,B1376:K1376)</f>
        <v/>
      </c>
      <c r="S1376" s="5">
        <f>SUMPRODUCT(Exposures!$B$10:$K$10,B1376:K1376)</f>
        <v/>
      </c>
    </row>
    <row r="1377">
      <c r="A1377" s="1" t="n">
        <v>44455</v>
      </c>
      <c r="B1377" s="5" t="n">
        <v>0.0004254026823046835</v>
      </c>
      <c r="C1377" s="5" t="n">
        <v>-0.0008918173254585912</v>
      </c>
      <c r="D1377" s="5" t="n">
        <v>0.001216817464775162</v>
      </c>
      <c r="E1377" s="5" t="n">
        <v>-0.0005371594392110957</v>
      </c>
      <c r="F1377" s="5" t="n">
        <v>0.00629229534688175</v>
      </c>
      <c r="G1377" s="5" t="n">
        <v>0.001621513141847252</v>
      </c>
      <c r="H1377" s="5" t="n">
        <v>0.001655798524109069</v>
      </c>
      <c r="I1377" s="5" t="n">
        <v>0.0009440337808192171</v>
      </c>
      <c r="J1377" s="5" t="n">
        <v>0.00321364476883281</v>
      </c>
      <c r="K1377" s="5" t="n">
        <v>-0.006680405153769393</v>
      </c>
      <c r="L1377" s="5" t="n">
        <v>-0.002944142489436461</v>
      </c>
      <c r="M1377" s="5">
        <f>SUMPRODUCT(Exposures!$B$6:$K$6,B1377:K1377)</f>
        <v/>
      </c>
      <c r="N1377" s="5">
        <f>IF(AND($A1377&gt;=DATE(2020,2,1),$A1377&lt;=DATE(2020,5,31)),$M1377,"")</f>
        <v/>
      </c>
      <c r="O1377" s="5">
        <f>IF(AND($A1377&gt;=DATE(2022,1,1),$A1377&lt;=DATE(2022,10,31)),$M1377,"")</f>
        <v/>
      </c>
      <c r="P1377" s="5">
        <f>IF(AND($A1377&gt;=DATE(2018,10,1),$A1377&lt;=DATE(2018,12,31)),$M1377,"")</f>
        <v/>
      </c>
      <c r="Q1377" s="5">
        <f>SUMPRODUCT(Exposures!$B$8:$K$8,B1377:K1377)</f>
        <v/>
      </c>
      <c r="R1377" s="5">
        <f>SUMPRODUCT(Exposures!$B$9:$K$9,B1377:K1377)</f>
        <v/>
      </c>
      <c r="S1377" s="5">
        <f>SUMPRODUCT(Exposures!$B$10:$K$10,B1377:K1377)</f>
        <v/>
      </c>
    </row>
    <row r="1378">
      <c r="A1378" s="1" t="n">
        <v>44456</v>
      </c>
      <c r="B1378" s="5" t="n">
        <v>-0.004394589601994106</v>
      </c>
      <c r="C1378" s="5" t="n">
        <v>-0.0004972023259140059</v>
      </c>
      <c r="D1378" s="5" t="n">
        <v>7.148865978711235e-05</v>
      </c>
      <c r="E1378" s="5" t="n">
        <v>-0.0002168814720220899</v>
      </c>
      <c r="F1378" s="5" t="n">
        <v>-0.00596059288600375</v>
      </c>
      <c r="G1378" s="5" t="n">
        <v>-0.004731932547559367</v>
      </c>
      <c r="H1378" s="5" t="n">
        <v>-0.001729592875920549</v>
      </c>
      <c r="I1378" s="5" t="n">
        <v>4.802865846562966e-05</v>
      </c>
      <c r="J1378" s="5" t="n">
        <v>0.007648502844316275</v>
      </c>
      <c r="K1378" s="5" t="n">
        <v>0.00772283904403343</v>
      </c>
      <c r="L1378" s="5" t="n">
        <v>0.002231354220866237</v>
      </c>
      <c r="M1378" s="5">
        <f>SUMPRODUCT(Exposures!$B$6:$K$6,B1378:K1378)</f>
        <v/>
      </c>
      <c r="N1378" s="5">
        <f>IF(AND($A1378&gt;=DATE(2020,2,1),$A1378&lt;=DATE(2020,5,31)),$M1378,"")</f>
        <v/>
      </c>
      <c r="O1378" s="5">
        <f>IF(AND($A1378&gt;=DATE(2022,1,1),$A1378&lt;=DATE(2022,10,31)),$M1378,"")</f>
        <v/>
      </c>
      <c r="P1378" s="5">
        <f>IF(AND($A1378&gt;=DATE(2018,10,1),$A1378&lt;=DATE(2018,12,31)),$M1378,"")</f>
        <v/>
      </c>
      <c r="Q1378" s="5">
        <f>SUMPRODUCT(Exposures!$B$8:$K$8,B1378:K1378)</f>
        <v/>
      </c>
      <c r="R1378" s="5">
        <f>SUMPRODUCT(Exposures!$B$9:$K$9,B1378:K1378)</f>
        <v/>
      </c>
      <c r="S1378" s="5">
        <f>SUMPRODUCT(Exposures!$B$10:$K$10,B1378:K1378)</f>
        <v/>
      </c>
    </row>
    <row r="1379">
      <c r="A1379" s="1" t="n">
        <v>44459</v>
      </c>
      <c r="B1379" s="5" t="n">
        <v>-0.002078418502960865</v>
      </c>
      <c r="C1379" s="5" t="n">
        <v>-0.002961268401045966</v>
      </c>
      <c r="D1379" s="5" t="n">
        <v>0.001768729350127711</v>
      </c>
      <c r="E1379" s="5" t="n">
        <v>-0.001512428991849954</v>
      </c>
      <c r="F1379" s="5" t="n">
        <v>0.001125306568518329</v>
      </c>
      <c r="G1379" s="5" t="n">
        <v>-0.01717376928921579</v>
      </c>
      <c r="H1379" s="5" t="n">
        <v>-0.001400516504332292</v>
      </c>
      <c r="I1379" s="5" t="n">
        <v>-0.0008448995961802759</v>
      </c>
      <c r="J1379" s="5" t="n">
        <v>-0.005330498147615298</v>
      </c>
      <c r="K1379" s="5" t="n">
        <v>-0.004382634765978982</v>
      </c>
      <c r="L1379" s="5" t="n">
        <v>5.61809305146014e-05</v>
      </c>
      <c r="M1379" s="5">
        <f>SUMPRODUCT(Exposures!$B$6:$K$6,B1379:K1379)</f>
        <v/>
      </c>
      <c r="N1379" s="5">
        <f>IF(AND($A1379&gt;=DATE(2020,2,1),$A1379&lt;=DATE(2020,5,31)),$M1379,"")</f>
        <v/>
      </c>
      <c r="O1379" s="5">
        <f>IF(AND($A1379&gt;=DATE(2022,1,1),$A1379&lt;=DATE(2022,10,31)),$M1379,"")</f>
        <v/>
      </c>
      <c r="P1379" s="5">
        <f>IF(AND($A1379&gt;=DATE(2018,10,1),$A1379&lt;=DATE(2018,12,31)),$M1379,"")</f>
        <v/>
      </c>
      <c r="Q1379" s="5">
        <f>SUMPRODUCT(Exposures!$B$8:$K$8,B1379:K1379)</f>
        <v/>
      </c>
      <c r="R1379" s="5">
        <f>SUMPRODUCT(Exposures!$B$9:$K$9,B1379:K1379)</f>
        <v/>
      </c>
      <c r="S1379" s="5">
        <f>SUMPRODUCT(Exposures!$B$10:$K$10,B1379:K1379)</f>
        <v/>
      </c>
    </row>
    <row r="1380">
      <c r="A1380" s="1" t="n">
        <v>44460</v>
      </c>
      <c r="B1380" s="5" t="n">
        <v>-0.0004999982585740041</v>
      </c>
      <c r="C1380" s="5" t="n">
        <v>0.001288038757608369</v>
      </c>
      <c r="D1380" s="5" t="n">
        <v>-0.001687515711819803</v>
      </c>
      <c r="E1380" s="5" t="n">
        <v>-0.0004649572183316721</v>
      </c>
      <c r="F1380" s="5" t="n">
        <v>-1.816333867180156e-05</v>
      </c>
      <c r="G1380" s="5" t="n">
        <v>-0.002018357667536265</v>
      </c>
      <c r="H1380" s="5" t="n">
        <v>0.001224649909027102</v>
      </c>
      <c r="I1380" s="5" t="n">
        <v>0.001408632994268881</v>
      </c>
      <c r="J1380" s="5" t="n">
        <v>-0.0003111868202709543</v>
      </c>
      <c r="K1380" s="5" t="n">
        <v>-0.0002377346938461654</v>
      </c>
      <c r="L1380" s="5" t="n">
        <v>-0.002098665410425171</v>
      </c>
      <c r="M1380" s="5">
        <f>SUMPRODUCT(Exposures!$B$6:$K$6,B1380:K1380)</f>
        <v/>
      </c>
      <c r="N1380" s="5">
        <f>IF(AND($A1380&gt;=DATE(2020,2,1),$A1380&lt;=DATE(2020,5,31)),$M1380,"")</f>
        <v/>
      </c>
      <c r="O1380" s="5">
        <f>IF(AND($A1380&gt;=DATE(2022,1,1),$A1380&lt;=DATE(2022,10,31)),$M1380,"")</f>
        <v/>
      </c>
      <c r="P1380" s="5">
        <f>IF(AND($A1380&gt;=DATE(2018,10,1),$A1380&lt;=DATE(2018,12,31)),$M1380,"")</f>
        <v/>
      </c>
      <c r="Q1380" s="5">
        <f>SUMPRODUCT(Exposures!$B$8:$K$8,B1380:K1380)</f>
        <v/>
      </c>
      <c r="R1380" s="5">
        <f>SUMPRODUCT(Exposures!$B$9:$K$9,B1380:K1380)</f>
        <v/>
      </c>
      <c r="S1380" s="5">
        <f>SUMPRODUCT(Exposures!$B$10:$K$10,B1380:K1380)</f>
        <v/>
      </c>
    </row>
    <row r="1381">
      <c r="A1381" s="1" t="n">
        <v>44461</v>
      </c>
      <c r="B1381" s="5" t="n">
        <v>0.006112734224708053</v>
      </c>
      <c r="C1381" s="5" t="n">
        <v>0.001134281458409705</v>
      </c>
      <c r="D1381" s="5" t="n">
        <v>0.001539943835760548</v>
      </c>
      <c r="E1381" s="5" t="n">
        <v>0.0002736058264068789</v>
      </c>
      <c r="F1381" s="5" t="n">
        <v>0.005304654718989602</v>
      </c>
      <c r="G1381" s="5" t="n">
        <v>0.0116105438769709</v>
      </c>
      <c r="H1381" s="5" t="n">
        <v>0.003802201686884861</v>
      </c>
      <c r="I1381" s="5" t="n">
        <v>-0.003013062690664656</v>
      </c>
      <c r="J1381" s="5" t="n">
        <v>0.001655533559507463</v>
      </c>
      <c r="K1381" s="5" t="n">
        <v>-0.004101976010576825</v>
      </c>
      <c r="L1381" s="5" t="n">
        <v>0.0005003646631764836</v>
      </c>
      <c r="M1381" s="5">
        <f>SUMPRODUCT(Exposures!$B$6:$K$6,B1381:K1381)</f>
        <v/>
      </c>
      <c r="N1381" s="5">
        <f>IF(AND($A1381&gt;=DATE(2020,2,1),$A1381&lt;=DATE(2020,5,31)),$M1381,"")</f>
        <v/>
      </c>
      <c r="O1381" s="5">
        <f>IF(AND($A1381&gt;=DATE(2022,1,1),$A1381&lt;=DATE(2022,10,31)),$M1381,"")</f>
        <v/>
      </c>
      <c r="P1381" s="5">
        <f>IF(AND($A1381&gt;=DATE(2018,10,1),$A1381&lt;=DATE(2018,12,31)),$M1381,"")</f>
        <v/>
      </c>
      <c r="Q1381" s="5">
        <f>SUMPRODUCT(Exposures!$B$8:$K$8,B1381:K1381)</f>
        <v/>
      </c>
      <c r="R1381" s="5">
        <f>SUMPRODUCT(Exposures!$B$9:$K$9,B1381:K1381)</f>
        <v/>
      </c>
      <c r="S1381" s="5">
        <f>SUMPRODUCT(Exposures!$B$10:$K$10,B1381:K1381)</f>
        <v/>
      </c>
    </row>
    <row r="1382">
      <c r="A1382" s="1" t="n">
        <v>44462</v>
      </c>
      <c r="B1382" s="5" t="n">
        <v>0.006321123711489903</v>
      </c>
      <c r="C1382" s="5" t="n">
        <v>0.002746180812216139</v>
      </c>
      <c r="D1382" s="5" t="n">
        <v>-0.0004072446796671265</v>
      </c>
      <c r="E1382" s="5" t="n">
        <v>0.001707805282787631</v>
      </c>
      <c r="F1382" s="5" t="n">
        <v>-0.003217195831911566</v>
      </c>
      <c r="G1382" s="5" t="n">
        <v>0.0136467378990058</v>
      </c>
      <c r="H1382" s="5" t="n">
        <v>0.002395319164387768</v>
      </c>
      <c r="I1382" s="5" t="n">
        <v>0.0008438558854212343</v>
      </c>
      <c r="J1382" s="5" t="n">
        <v>0.003606450175467462</v>
      </c>
      <c r="K1382" s="5" t="n">
        <v>0.002471721389017101</v>
      </c>
      <c r="L1382" s="5" t="n">
        <v>0.002092107921581507</v>
      </c>
      <c r="M1382" s="5">
        <f>SUMPRODUCT(Exposures!$B$6:$K$6,B1382:K1382)</f>
        <v/>
      </c>
      <c r="N1382" s="5">
        <f>IF(AND($A1382&gt;=DATE(2020,2,1),$A1382&lt;=DATE(2020,5,31)),$M1382,"")</f>
        <v/>
      </c>
      <c r="O1382" s="5">
        <f>IF(AND($A1382&gt;=DATE(2022,1,1),$A1382&lt;=DATE(2022,10,31)),$M1382,"")</f>
        <v/>
      </c>
      <c r="P1382" s="5">
        <f>IF(AND($A1382&gt;=DATE(2018,10,1),$A1382&lt;=DATE(2018,12,31)),$M1382,"")</f>
        <v/>
      </c>
      <c r="Q1382" s="5">
        <f>SUMPRODUCT(Exposures!$B$8:$K$8,B1382:K1382)</f>
        <v/>
      </c>
      <c r="R1382" s="5">
        <f>SUMPRODUCT(Exposures!$B$9:$K$9,B1382:K1382)</f>
        <v/>
      </c>
      <c r="S1382" s="5">
        <f>SUMPRODUCT(Exposures!$B$10:$K$10,B1382:K1382)</f>
        <v/>
      </c>
    </row>
    <row r="1383">
      <c r="A1383" s="1" t="n">
        <v>44463</v>
      </c>
      <c r="B1383" s="5" t="n">
        <v>0.00226190277246835</v>
      </c>
      <c r="C1383" s="5" t="n">
        <v>0.0007591611312619843</v>
      </c>
      <c r="D1383" s="5" t="n">
        <v>0.002597824174583103</v>
      </c>
      <c r="E1383" s="5" t="n">
        <v>0.002261532978610707</v>
      </c>
      <c r="F1383" s="5" t="n">
        <v>0.003735155038331743</v>
      </c>
      <c r="G1383" s="5" t="n">
        <v>-0.001005720030991865</v>
      </c>
      <c r="H1383" s="5" t="n">
        <v>0.0006847804102721661</v>
      </c>
      <c r="I1383" s="5" t="n">
        <v>0.0004030994272651535</v>
      </c>
      <c r="J1383" s="5" t="n">
        <v>-0.005110295079795003</v>
      </c>
      <c r="K1383" s="5" t="n">
        <v>-0.006661404678178241</v>
      </c>
      <c r="L1383" s="5" t="n">
        <v>0.0006720194801004148</v>
      </c>
      <c r="M1383" s="5">
        <f>SUMPRODUCT(Exposures!$B$6:$K$6,B1383:K1383)</f>
        <v/>
      </c>
      <c r="N1383" s="5">
        <f>IF(AND($A1383&gt;=DATE(2020,2,1),$A1383&lt;=DATE(2020,5,31)),$M1383,"")</f>
        <v/>
      </c>
      <c r="O1383" s="5">
        <f>IF(AND($A1383&gt;=DATE(2022,1,1),$A1383&lt;=DATE(2022,10,31)),$M1383,"")</f>
        <v/>
      </c>
      <c r="P1383" s="5">
        <f>IF(AND($A1383&gt;=DATE(2018,10,1),$A1383&lt;=DATE(2018,12,31)),$M1383,"")</f>
        <v/>
      </c>
      <c r="Q1383" s="5">
        <f>SUMPRODUCT(Exposures!$B$8:$K$8,B1383:K1383)</f>
        <v/>
      </c>
      <c r="R1383" s="5">
        <f>SUMPRODUCT(Exposures!$B$9:$K$9,B1383:K1383)</f>
        <v/>
      </c>
      <c r="S1383" s="5">
        <f>SUMPRODUCT(Exposures!$B$10:$K$10,B1383:K1383)</f>
        <v/>
      </c>
    </row>
    <row r="1384">
      <c r="A1384" s="1" t="n">
        <v>44466</v>
      </c>
      <c r="B1384" s="5" t="n">
        <v>0.003387489103800821</v>
      </c>
      <c r="C1384" s="5" t="n">
        <v>0.002628826074191916</v>
      </c>
      <c r="D1384" s="5" t="n">
        <v>-0.002459649674573647</v>
      </c>
      <c r="E1384" s="5" t="n">
        <v>0.003764790124117746</v>
      </c>
      <c r="F1384" s="5" t="n">
        <v>-0.005336938016582714</v>
      </c>
      <c r="G1384" s="5" t="n">
        <v>0.005370304104279856</v>
      </c>
      <c r="H1384" s="5" t="n">
        <v>-0.003455653384184074</v>
      </c>
      <c r="I1384" s="5" t="n">
        <v>-0.001688006790462867</v>
      </c>
      <c r="J1384" s="5" t="n">
        <v>0.01235025189254391</v>
      </c>
      <c r="K1384" s="5" t="n">
        <v>0.007225468196706636</v>
      </c>
      <c r="L1384" s="5" t="n">
        <v>0.00622877889449823</v>
      </c>
      <c r="M1384" s="5">
        <f>SUMPRODUCT(Exposures!$B$6:$K$6,B1384:K1384)</f>
        <v/>
      </c>
      <c r="N1384" s="5">
        <f>IF(AND($A1384&gt;=DATE(2020,2,1),$A1384&lt;=DATE(2020,5,31)),$M1384,"")</f>
        <v/>
      </c>
      <c r="O1384" s="5">
        <f>IF(AND($A1384&gt;=DATE(2022,1,1),$A1384&lt;=DATE(2022,10,31)),$M1384,"")</f>
        <v/>
      </c>
      <c r="P1384" s="5">
        <f>IF(AND($A1384&gt;=DATE(2018,10,1),$A1384&lt;=DATE(2018,12,31)),$M1384,"")</f>
        <v/>
      </c>
      <c r="Q1384" s="5">
        <f>SUMPRODUCT(Exposures!$B$8:$K$8,B1384:K1384)</f>
        <v/>
      </c>
      <c r="R1384" s="5">
        <f>SUMPRODUCT(Exposures!$B$9:$K$9,B1384:K1384)</f>
        <v/>
      </c>
      <c r="S1384" s="5">
        <f>SUMPRODUCT(Exposures!$B$10:$K$10,B1384:K1384)</f>
        <v/>
      </c>
    </row>
    <row r="1385">
      <c r="A1385" s="1" t="n">
        <v>44467</v>
      </c>
      <c r="B1385" s="5" t="n">
        <v>-0.007565401355067392</v>
      </c>
      <c r="C1385" s="5" t="n">
        <v>0.0009843533210404309</v>
      </c>
      <c r="D1385" s="5" t="n">
        <v>0.003547269526488911</v>
      </c>
      <c r="E1385" s="5" t="n">
        <v>0.0008054501379188625</v>
      </c>
      <c r="F1385" s="5" t="n">
        <v>-0.008152387883145859</v>
      </c>
      <c r="G1385" s="5" t="n">
        <v>-0.01647730910673986</v>
      </c>
      <c r="H1385" s="5" t="n">
        <v>-0.003010706784375097</v>
      </c>
      <c r="I1385" s="5" t="n">
        <v>-0.003140930442551317</v>
      </c>
      <c r="J1385" s="5" t="n">
        <v>0.002563162555194571</v>
      </c>
      <c r="K1385" s="5" t="n">
        <v>0.009207481199372765</v>
      </c>
      <c r="L1385" s="5" t="n">
        <v>0.005146930024137373</v>
      </c>
      <c r="M1385" s="5">
        <f>SUMPRODUCT(Exposures!$B$6:$K$6,B1385:K1385)</f>
        <v/>
      </c>
      <c r="N1385" s="5">
        <f>IF(AND($A1385&gt;=DATE(2020,2,1),$A1385&lt;=DATE(2020,5,31)),$M1385,"")</f>
        <v/>
      </c>
      <c r="O1385" s="5">
        <f>IF(AND($A1385&gt;=DATE(2022,1,1),$A1385&lt;=DATE(2022,10,31)),$M1385,"")</f>
        <v/>
      </c>
      <c r="P1385" s="5">
        <f>IF(AND($A1385&gt;=DATE(2018,10,1),$A1385&lt;=DATE(2018,12,31)),$M1385,"")</f>
        <v/>
      </c>
      <c r="Q1385" s="5">
        <f>SUMPRODUCT(Exposures!$B$8:$K$8,B1385:K1385)</f>
        <v/>
      </c>
      <c r="R1385" s="5">
        <f>SUMPRODUCT(Exposures!$B$9:$K$9,B1385:K1385)</f>
        <v/>
      </c>
      <c r="S1385" s="5">
        <f>SUMPRODUCT(Exposures!$B$10:$K$10,B1385:K1385)</f>
        <v/>
      </c>
    </row>
    <row r="1386">
      <c r="A1386" s="1" t="n">
        <v>44468</v>
      </c>
      <c r="B1386" s="5" t="n">
        <v>-0.003729810093654736</v>
      </c>
      <c r="C1386" s="5" t="n">
        <v>0.0002650541501642614</v>
      </c>
      <c r="D1386" s="5" t="n">
        <v>-0.0005135675439878738</v>
      </c>
      <c r="E1386" s="5" t="n">
        <v>0.000332384810559385</v>
      </c>
      <c r="F1386" s="5" t="n">
        <v>-0.002518148284705266</v>
      </c>
      <c r="G1386" s="5" t="n">
        <v>0.002310255621317201</v>
      </c>
      <c r="H1386" s="5" t="n">
        <v>0.001340270485052388</v>
      </c>
      <c r="I1386" s="5" t="n">
        <v>0.001507631134858976</v>
      </c>
      <c r="J1386" s="5" t="n">
        <v>-0.003362809519404775</v>
      </c>
      <c r="K1386" s="5" t="n">
        <v>-0.001343868737757384</v>
      </c>
      <c r="L1386" s="5" t="n">
        <v>-0.00239672336212943</v>
      </c>
      <c r="M1386" s="5">
        <f>SUMPRODUCT(Exposures!$B$6:$K$6,B1386:K1386)</f>
        <v/>
      </c>
      <c r="N1386" s="5">
        <f>IF(AND($A1386&gt;=DATE(2020,2,1),$A1386&lt;=DATE(2020,5,31)),$M1386,"")</f>
        <v/>
      </c>
      <c r="O1386" s="5">
        <f>IF(AND($A1386&gt;=DATE(2022,1,1),$A1386&lt;=DATE(2022,10,31)),$M1386,"")</f>
        <v/>
      </c>
      <c r="P1386" s="5">
        <f>IF(AND($A1386&gt;=DATE(2018,10,1),$A1386&lt;=DATE(2018,12,31)),$M1386,"")</f>
        <v/>
      </c>
      <c r="Q1386" s="5">
        <f>SUMPRODUCT(Exposures!$B$8:$K$8,B1386:K1386)</f>
        <v/>
      </c>
      <c r="R1386" s="5">
        <f>SUMPRODUCT(Exposures!$B$9:$K$9,B1386:K1386)</f>
        <v/>
      </c>
      <c r="S1386" s="5">
        <f>SUMPRODUCT(Exposures!$B$10:$K$10,B1386:K1386)</f>
        <v/>
      </c>
    </row>
    <row r="1387">
      <c r="A1387" s="1" t="n">
        <v>44469</v>
      </c>
      <c r="B1387" s="5" t="n">
        <v>0.002652516437057361</v>
      </c>
      <c r="C1387" s="5" t="n">
        <v>0.0001622149545705537</v>
      </c>
      <c r="D1387" s="5" t="n">
        <v>-0.00471060248863943</v>
      </c>
      <c r="E1387" s="5" t="n">
        <v>-0.004803248428735076</v>
      </c>
      <c r="F1387" s="5" t="n">
        <v>-0.003439705030142539</v>
      </c>
      <c r="G1387" s="5" t="n">
        <v>-0.01061736148305602</v>
      </c>
      <c r="H1387" s="5" t="n">
        <v>-0.004900078842372556</v>
      </c>
      <c r="I1387" s="5" t="n">
        <v>0.0004264097529363878</v>
      </c>
      <c r="J1387" s="5" t="n">
        <v>0.005659132060802188</v>
      </c>
      <c r="K1387" s="5" t="n">
        <v>0.00416812711381848</v>
      </c>
      <c r="L1387" s="5" t="n">
        <v>0.000268872808940409</v>
      </c>
      <c r="M1387" s="5">
        <f>SUMPRODUCT(Exposures!$B$6:$K$6,B1387:K1387)</f>
        <v/>
      </c>
      <c r="N1387" s="5">
        <f>IF(AND($A1387&gt;=DATE(2020,2,1),$A1387&lt;=DATE(2020,5,31)),$M1387,"")</f>
        <v/>
      </c>
      <c r="O1387" s="5">
        <f>IF(AND($A1387&gt;=DATE(2022,1,1),$A1387&lt;=DATE(2022,10,31)),$M1387,"")</f>
        <v/>
      </c>
      <c r="P1387" s="5">
        <f>IF(AND($A1387&gt;=DATE(2018,10,1),$A1387&lt;=DATE(2018,12,31)),$M1387,"")</f>
        <v/>
      </c>
      <c r="Q1387" s="5">
        <f>SUMPRODUCT(Exposures!$B$8:$K$8,B1387:K1387)</f>
        <v/>
      </c>
      <c r="R1387" s="5">
        <f>SUMPRODUCT(Exposures!$B$9:$K$9,B1387:K1387)</f>
        <v/>
      </c>
      <c r="S1387" s="5">
        <f>SUMPRODUCT(Exposures!$B$10:$K$10,B1387:K1387)</f>
        <v/>
      </c>
    </row>
    <row r="1388">
      <c r="A1388" s="1" t="n">
        <v>44470</v>
      </c>
      <c r="B1388" s="5" t="n">
        <v>0.009491969592372508</v>
      </c>
      <c r="C1388" s="5" t="n">
        <v>-0.001610681914846898</v>
      </c>
      <c r="D1388" s="5" t="n">
        <v>0.001625710159870152</v>
      </c>
      <c r="E1388" s="5" t="n">
        <v>0.001871002966281215</v>
      </c>
      <c r="F1388" s="5" t="n">
        <v>-0.005516750218600198</v>
      </c>
      <c r="G1388" s="5" t="n">
        <v>0.01525802928210787</v>
      </c>
      <c r="H1388" s="5" t="n">
        <v>-0.001068303337280422</v>
      </c>
      <c r="I1388" s="5" t="n">
        <v>-0.0002399625669792819</v>
      </c>
      <c r="J1388" s="5" t="n">
        <v>-0.0007113752126699556</v>
      </c>
      <c r="K1388" s="5" t="n">
        <v>0.0008843677879071437</v>
      </c>
      <c r="L1388" s="5" t="n">
        <v>0.001980172255684975</v>
      </c>
      <c r="M1388" s="5">
        <f>SUMPRODUCT(Exposures!$B$6:$K$6,B1388:K1388)</f>
        <v/>
      </c>
      <c r="N1388" s="5">
        <f>IF(AND($A1388&gt;=DATE(2020,2,1),$A1388&lt;=DATE(2020,5,31)),$M1388,"")</f>
        <v/>
      </c>
      <c r="O1388" s="5">
        <f>IF(AND($A1388&gt;=DATE(2022,1,1),$A1388&lt;=DATE(2022,10,31)),$M1388,"")</f>
        <v/>
      </c>
      <c r="P1388" s="5">
        <f>IF(AND($A1388&gt;=DATE(2018,10,1),$A1388&lt;=DATE(2018,12,31)),$M1388,"")</f>
        <v/>
      </c>
      <c r="Q1388" s="5">
        <f>SUMPRODUCT(Exposures!$B$8:$K$8,B1388:K1388)</f>
        <v/>
      </c>
      <c r="R1388" s="5">
        <f>SUMPRODUCT(Exposures!$B$9:$K$9,B1388:K1388)</f>
        <v/>
      </c>
      <c r="S1388" s="5">
        <f>SUMPRODUCT(Exposures!$B$10:$K$10,B1388:K1388)</f>
        <v/>
      </c>
    </row>
    <row r="1389">
      <c r="A1389" s="1" t="n">
        <v>44473</v>
      </c>
      <c r="B1389" s="5" t="n">
        <v>-0.003228220054132576</v>
      </c>
      <c r="C1389" s="5" t="n">
        <v>0.0002325929089219969</v>
      </c>
      <c r="D1389" s="5" t="n">
        <v>0.001837516867780603</v>
      </c>
      <c r="E1389" s="5" t="n">
        <v>0.004040506314397094</v>
      </c>
      <c r="F1389" s="5" t="n">
        <v>-0.007563775535955573</v>
      </c>
      <c r="G1389" s="5" t="n">
        <v>-0.008267401322913663</v>
      </c>
      <c r="H1389" s="5" t="n">
        <v>0.002236465707008404</v>
      </c>
      <c r="I1389" s="5" t="n">
        <v>-0.002269652545154773</v>
      </c>
      <c r="J1389" s="5" t="n">
        <v>-0.003612174233377741</v>
      </c>
      <c r="K1389" s="5" t="n">
        <v>0.004179547612242078</v>
      </c>
      <c r="L1389" s="5" t="n">
        <v>0.002248920268972317</v>
      </c>
      <c r="M1389" s="5">
        <f>SUMPRODUCT(Exposures!$B$6:$K$6,B1389:K1389)</f>
        <v/>
      </c>
      <c r="N1389" s="5">
        <f>IF(AND($A1389&gt;=DATE(2020,2,1),$A1389&lt;=DATE(2020,5,31)),$M1389,"")</f>
        <v/>
      </c>
      <c r="O1389" s="5">
        <f>IF(AND($A1389&gt;=DATE(2022,1,1),$A1389&lt;=DATE(2022,10,31)),$M1389,"")</f>
        <v/>
      </c>
      <c r="P1389" s="5">
        <f>IF(AND($A1389&gt;=DATE(2018,10,1),$A1389&lt;=DATE(2018,12,31)),$M1389,"")</f>
        <v/>
      </c>
      <c r="Q1389" s="5">
        <f>SUMPRODUCT(Exposures!$B$8:$K$8,B1389:K1389)</f>
        <v/>
      </c>
      <c r="R1389" s="5">
        <f>SUMPRODUCT(Exposures!$B$9:$K$9,B1389:K1389)</f>
        <v/>
      </c>
      <c r="S1389" s="5">
        <f>SUMPRODUCT(Exposures!$B$10:$K$10,B1389:K1389)</f>
        <v/>
      </c>
    </row>
    <row r="1390">
      <c r="A1390" s="1" t="n">
        <v>44474</v>
      </c>
      <c r="B1390" s="5" t="n">
        <v>0.002127275322503141</v>
      </c>
      <c r="C1390" s="5" t="n">
        <v>0.0001087986362408653</v>
      </c>
      <c r="D1390" s="5" t="n">
        <v>-0.002982592553712722</v>
      </c>
      <c r="E1390" s="5" t="n">
        <v>0.0008090431417187036</v>
      </c>
      <c r="F1390" s="5" t="n">
        <v>0.002909602531552096</v>
      </c>
      <c r="G1390" s="5" t="n">
        <v>0.005191798859252757</v>
      </c>
      <c r="H1390" s="5" t="n">
        <v>0.001085718216817474</v>
      </c>
      <c r="I1390" s="5" t="n">
        <v>2.140529944130707e-05</v>
      </c>
      <c r="J1390" s="5" t="n">
        <v>0.001238860147050662</v>
      </c>
      <c r="K1390" s="5" t="n">
        <v>0.00270404592321796</v>
      </c>
      <c r="L1390" s="5" t="n">
        <v>0.002764268216864779</v>
      </c>
      <c r="M1390" s="5">
        <f>SUMPRODUCT(Exposures!$B$6:$K$6,B1390:K1390)</f>
        <v/>
      </c>
      <c r="N1390" s="5">
        <f>IF(AND($A1390&gt;=DATE(2020,2,1),$A1390&lt;=DATE(2020,5,31)),$M1390,"")</f>
        <v/>
      </c>
      <c r="O1390" s="5">
        <f>IF(AND($A1390&gt;=DATE(2022,1,1),$A1390&lt;=DATE(2022,10,31)),$M1390,"")</f>
        <v/>
      </c>
      <c r="P1390" s="5">
        <f>IF(AND($A1390&gt;=DATE(2018,10,1),$A1390&lt;=DATE(2018,12,31)),$M1390,"")</f>
        <v/>
      </c>
      <c r="Q1390" s="5">
        <f>SUMPRODUCT(Exposures!$B$8:$K$8,B1390:K1390)</f>
        <v/>
      </c>
      <c r="R1390" s="5">
        <f>SUMPRODUCT(Exposures!$B$9:$K$9,B1390:K1390)</f>
        <v/>
      </c>
      <c r="S1390" s="5">
        <f>SUMPRODUCT(Exposures!$B$10:$K$10,B1390:K1390)</f>
        <v/>
      </c>
    </row>
    <row r="1391">
      <c r="A1391" s="1" t="n">
        <v>44475</v>
      </c>
      <c r="B1391" s="5" t="n">
        <v>-0.0004316285784190068</v>
      </c>
      <c r="C1391" s="5" t="n">
        <v>-0.0008882692765075445</v>
      </c>
      <c r="D1391" s="5" t="n">
        <v>-0.003005306476596722</v>
      </c>
      <c r="E1391" s="5" t="n">
        <v>-0.00256372744021454</v>
      </c>
      <c r="F1391" s="5" t="n">
        <v>0.004688916145441428</v>
      </c>
      <c r="G1391" s="5" t="n">
        <v>0.002033326925265252</v>
      </c>
      <c r="H1391" s="5" t="n">
        <v>-0.003552582505963204</v>
      </c>
      <c r="I1391" s="5" t="n">
        <v>-0.002878342908578814</v>
      </c>
      <c r="J1391" s="5" t="n">
        <v>0.001918171626037794</v>
      </c>
      <c r="K1391" s="5" t="n">
        <v>-0.001447468110172052</v>
      </c>
      <c r="L1391" s="5" t="n">
        <v>0.0005711552051027272</v>
      </c>
      <c r="M1391" s="5">
        <f>SUMPRODUCT(Exposures!$B$6:$K$6,B1391:K1391)</f>
        <v/>
      </c>
      <c r="N1391" s="5">
        <f>IF(AND($A1391&gt;=DATE(2020,2,1),$A1391&lt;=DATE(2020,5,31)),$M1391,"")</f>
        <v/>
      </c>
      <c r="O1391" s="5">
        <f>IF(AND($A1391&gt;=DATE(2022,1,1),$A1391&lt;=DATE(2022,10,31)),$M1391,"")</f>
        <v/>
      </c>
      <c r="P1391" s="5">
        <f>IF(AND($A1391&gt;=DATE(2018,10,1),$A1391&lt;=DATE(2018,12,31)),$M1391,"")</f>
        <v/>
      </c>
      <c r="Q1391" s="5">
        <f>SUMPRODUCT(Exposures!$B$8:$K$8,B1391:K1391)</f>
        <v/>
      </c>
      <c r="R1391" s="5">
        <f>SUMPRODUCT(Exposures!$B$9:$K$9,B1391:K1391)</f>
        <v/>
      </c>
      <c r="S1391" s="5">
        <f>SUMPRODUCT(Exposures!$B$10:$K$10,B1391:K1391)</f>
        <v/>
      </c>
    </row>
    <row r="1392">
      <c r="A1392" s="1" t="n">
        <v>44476</v>
      </c>
      <c r="B1392" s="5" t="n">
        <v>0.002375210994961266</v>
      </c>
      <c r="C1392" s="5" t="n">
        <v>0.003644088662639551</v>
      </c>
      <c r="D1392" s="5" t="n">
        <v>-0.001576831581116217</v>
      </c>
      <c r="E1392" s="5" t="n">
        <v>-0.002903678499374409</v>
      </c>
      <c r="F1392" s="5" t="n">
        <v>-0.0007386327348139659</v>
      </c>
      <c r="G1392" s="5" t="n">
        <v>0.009364671476576408</v>
      </c>
      <c r="H1392" s="5" t="n">
        <v>-0.003269292282981115</v>
      </c>
      <c r="I1392" s="5" t="n">
        <v>-0.001890305390985219</v>
      </c>
      <c r="J1392" s="5" t="n">
        <v>0.006854115070971328</v>
      </c>
      <c r="K1392" s="5" t="n">
        <v>0.005912708425436548</v>
      </c>
      <c r="L1392" s="5" t="n">
        <v>0.0005503733506597138</v>
      </c>
      <c r="M1392" s="5">
        <f>SUMPRODUCT(Exposures!$B$6:$K$6,B1392:K1392)</f>
        <v/>
      </c>
      <c r="N1392" s="5">
        <f>IF(AND($A1392&gt;=DATE(2020,2,1),$A1392&lt;=DATE(2020,5,31)),$M1392,"")</f>
        <v/>
      </c>
      <c r="O1392" s="5">
        <f>IF(AND($A1392&gt;=DATE(2022,1,1),$A1392&lt;=DATE(2022,10,31)),$M1392,"")</f>
        <v/>
      </c>
      <c r="P1392" s="5">
        <f>IF(AND($A1392&gt;=DATE(2018,10,1),$A1392&lt;=DATE(2018,12,31)),$M1392,"")</f>
        <v/>
      </c>
      <c r="Q1392" s="5">
        <f>SUMPRODUCT(Exposures!$B$8:$K$8,B1392:K1392)</f>
        <v/>
      </c>
      <c r="R1392" s="5">
        <f>SUMPRODUCT(Exposures!$B$9:$K$9,B1392:K1392)</f>
        <v/>
      </c>
      <c r="S1392" s="5">
        <f>SUMPRODUCT(Exposures!$B$10:$K$10,B1392:K1392)</f>
        <v/>
      </c>
    </row>
    <row r="1393">
      <c r="A1393" s="1" t="n">
        <v>44477</v>
      </c>
      <c r="B1393" s="5" t="n">
        <v>0.0006271745486791412</v>
      </c>
      <c r="C1393" s="5" t="n">
        <v>0.002274650890054864</v>
      </c>
      <c r="D1393" s="5" t="n">
        <v>-0.003462888611539993</v>
      </c>
      <c r="E1393" s="5" t="n">
        <v>-0.0005802060913241205</v>
      </c>
      <c r="F1393" s="5" t="n">
        <v>-0.0019123746350896</v>
      </c>
      <c r="G1393" s="5" t="n">
        <v>-0.001999599192144119</v>
      </c>
      <c r="H1393" s="5" t="n">
        <v>-0.003075873617353961</v>
      </c>
      <c r="I1393" s="5" t="n">
        <v>-0.003658931166546731</v>
      </c>
      <c r="J1393" s="5" t="n">
        <v>0.006821074441153034</v>
      </c>
      <c r="K1393" s="5" t="n">
        <v>0.00773087452330952</v>
      </c>
      <c r="L1393" s="5" t="n">
        <v>0.005430674373590002</v>
      </c>
      <c r="M1393" s="5">
        <f>SUMPRODUCT(Exposures!$B$6:$K$6,B1393:K1393)</f>
        <v/>
      </c>
      <c r="N1393" s="5">
        <f>IF(AND($A1393&gt;=DATE(2020,2,1),$A1393&lt;=DATE(2020,5,31)),$M1393,"")</f>
        <v/>
      </c>
      <c r="O1393" s="5">
        <f>IF(AND($A1393&gt;=DATE(2022,1,1),$A1393&lt;=DATE(2022,10,31)),$M1393,"")</f>
        <v/>
      </c>
      <c r="P1393" s="5">
        <f>IF(AND($A1393&gt;=DATE(2018,10,1),$A1393&lt;=DATE(2018,12,31)),$M1393,"")</f>
        <v/>
      </c>
      <c r="Q1393" s="5">
        <f>SUMPRODUCT(Exposures!$B$8:$K$8,B1393:K1393)</f>
        <v/>
      </c>
      <c r="R1393" s="5">
        <f>SUMPRODUCT(Exposures!$B$9:$K$9,B1393:K1393)</f>
        <v/>
      </c>
      <c r="S1393" s="5">
        <f>SUMPRODUCT(Exposures!$B$10:$K$10,B1393:K1393)</f>
        <v/>
      </c>
    </row>
    <row r="1394">
      <c r="A1394" s="1" t="n">
        <v>44480</v>
      </c>
      <c r="B1394" s="5" t="n">
        <v>0.001897447828782238</v>
      </c>
      <c r="C1394" s="5" t="n">
        <v>0.002293839129439408</v>
      </c>
      <c r="D1394" s="5" t="n">
        <v>-0.0001532236018782388</v>
      </c>
      <c r="E1394" s="5" t="n">
        <v>-0.002911310173597833</v>
      </c>
      <c r="F1394" s="5" t="n">
        <v>-0.006228772719708312</v>
      </c>
      <c r="G1394" s="5" t="n">
        <v>-0.004713336957850763</v>
      </c>
      <c r="H1394" s="5" t="n">
        <v>-0.001181875497345618</v>
      </c>
      <c r="I1394" s="5" t="n">
        <v>-0.002061581188603758</v>
      </c>
      <c r="J1394" s="5" t="n">
        <v>0.00256833333745127</v>
      </c>
      <c r="K1394" s="5" t="n">
        <v>0.008189941211684645</v>
      </c>
      <c r="L1394" s="5" t="n">
        <v>-0.0001482641506220706</v>
      </c>
      <c r="M1394" s="5">
        <f>SUMPRODUCT(Exposures!$B$6:$K$6,B1394:K1394)</f>
        <v/>
      </c>
      <c r="N1394" s="5">
        <f>IF(AND($A1394&gt;=DATE(2020,2,1),$A1394&lt;=DATE(2020,5,31)),$M1394,"")</f>
        <v/>
      </c>
      <c r="O1394" s="5">
        <f>IF(AND($A1394&gt;=DATE(2022,1,1),$A1394&lt;=DATE(2022,10,31)),$M1394,"")</f>
        <v/>
      </c>
      <c r="P1394" s="5">
        <f>IF(AND($A1394&gt;=DATE(2018,10,1),$A1394&lt;=DATE(2018,12,31)),$M1394,"")</f>
        <v/>
      </c>
      <c r="Q1394" s="5">
        <f>SUMPRODUCT(Exposures!$B$8:$K$8,B1394:K1394)</f>
        <v/>
      </c>
      <c r="R1394" s="5">
        <f>SUMPRODUCT(Exposures!$B$9:$K$9,B1394:K1394)</f>
        <v/>
      </c>
      <c r="S1394" s="5">
        <f>SUMPRODUCT(Exposures!$B$10:$K$10,B1394:K1394)</f>
        <v/>
      </c>
    </row>
    <row r="1395">
      <c r="A1395" s="1" t="n">
        <v>44481</v>
      </c>
      <c r="B1395" s="5" t="n">
        <v>-0.001569225206213379</v>
      </c>
      <c r="C1395" s="5" t="n">
        <v>0.0002181524764661774</v>
      </c>
      <c r="D1395" s="5" t="n">
        <v>-0.0005908603871614324</v>
      </c>
      <c r="E1395" s="5" t="n">
        <v>-0.002060047094299009</v>
      </c>
      <c r="F1395" s="5" t="n">
        <v>0.0004887787199551878</v>
      </c>
      <c r="G1395" s="5" t="n">
        <v>0.002489359170269324</v>
      </c>
      <c r="H1395" s="5" t="n">
        <v>0.002059653226195558</v>
      </c>
      <c r="I1395" s="5" t="n">
        <v>-0.0008092532357513284</v>
      </c>
      <c r="J1395" s="5" t="n">
        <v>0.004308212458330727</v>
      </c>
      <c r="K1395" s="5" t="n">
        <v>-0.002044401408902946</v>
      </c>
      <c r="L1395" s="5" t="n">
        <v>-0.001351935903182532</v>
      </c>
      <c r="M1395" s="5">
        <f>SUMPRODUCT(Exposures!$B$6:$K$6,B1395:K1395)</f>
        <v/>
      </c>
      <c r="N1395" s="5">
        <f>IF(AND($A1395&gt;=DATE(2020,2,1),$A1395&lt;=DATE(2020,5,31)),$M1395,"")</f>
        <v/>
      </c>
      <c r="O1395" s="5">
        <f>IF(AND($A1395&gt;=DATE(2022,1,1),$A1395&lt;=DATE(2022,10,31)),$M1395,"")</f>
        <v/>
      </c>
      <c r="P1395" s="5">
        <f>IF(AND($A1395&gt;=DATE(2018,10,1),$A1395&lt;=DATE(2018,12,31)),$M1395,"")</f>
        <v/>
      </c>
      <c r="Q1395" s="5">
        <f>SUMPRODUCT(Exposures!$B$8:$K$8,B1395:K1395)</f>
        <v/>
      </c>
      <c r="R1395" s="5">
        <f>SUMPRODUCT(Exposures!$B$9:$K$9,B1395:K1395)</f>
        <v/>
      </c>
      <c r="S1395" s="5">
        <f>SUMPRODUCT(Exposures!$B$10:$K$10,B1395:K1395)</f>
        <v/>
      </c>
    </row>
    <row r="1396">
      <c r="A1396" s="1" t="n">
        <v>44482</v>
      </c>
      <c r="B1396" s="5" t="n">
        <v>-0.002377948178023392</v>
      </c>
      <c r="C1396" s="5" t="n">
        <v>0.0003012954047011484</v>
      </c>
      <c r="D1396" s="5" t="n">
        <v>-0.004579684408795368</v>
      </c>
      <c r="E1396" s="5" t="n">
        <v>-0.003654675893653931</v>
      </c>
      <c r="F1396" s="5" t="n">
        <v>0.00135481649569725</v>
      </c>
      <c r="G1396" s="5" t="n">
        <v>0.003311745278303772</v>
      </c>
      <c r="H1396" s="5" t="n">
        <v>-0.0005642541533444027</v>
      </c>
      <c r="I1396" s="5" t="n">
        <v>0.0003331521342866448</v>
      </c>
      <c r="J1396" s="5" t="n">
        <v>0.001019917555057561</v>
      </c>
      <c r="K1396" s="5" t="n">
        <v>-0.001537638737965766</v>
      </c>
      <c r="L1396" s="5" t="n">
        <v>-0.001917593719077241</v>
      </c>
      <c r="M1396" s="5">
        <f>SUMPRODUCT(Exposures!$B$6:$K$6,B1396:K1396)</f>
        <v/>
      </c>
      <c r="N1396" s="5">
        <f>IF(AND($A1396&gt;=DATE(2020,2,1),$A1396&lt;=DATE(2020,5,31)),$M1396,"")</f>
        <v/>
      </c>
      <c r="O1396" s="5">
        <f>IF(AND($A1396&gt;=DATE(2022,1,1),$A1396&lt;=DATE(2022,10,31)),$M1396,"")</f>
        <v/>
      </c>
      <c r="P1396" s="5">
        <f>IF(AND($A1396&gt;=DATE(2018,10,1),$A1396&lt;=DATE(2018,12,31)),$M1396,"")</f>
        <v/>
      </c>
      <c r="Q1396" s="5">
        <f>SUMPRODUCT(Exposures!$B$8:$K$8,B1396:K1396)</f>
        <v/>
      </c>
      <c r="R1396" s="5">
        <f>SUMPRODUCT(Exposures!$B$9:$K$9,B1396:K1396)</f>
        <v/>
      </c>
      <c r="S1396" s="5">
        <f>SUMPRODUCT(Exposures!$B$10:$K$10,B1396:K1396)</f>
        <v/>
      </c>
    </row>
    <row r="1397">
      <c r="A1397" s="1" t="n">
        <v>44483</v>
      </c>
      <c r="B1397" s="5" t="n">
        <v>0.001164781862106517</v>
      </c>
      <c r="C1397" s="5" t="n">
        <v>-0.0008034144837277151</v>
      </c>
      <c r="D1397" s="5" t="n">
        <v>0.0001090073635425988</v>
      </c>
      <c r="E1397" s="5" t="n">
        <v>0.001148277293421657</v>
      </c>
      <c r="F1397" s="5" t="n">
        <v>-0.001471797613856421</v>
      </c>
      <c r="G1397" s="5" t="n">
        <v>0.01513630940902572</v>
      </c>
      <c r="H1397" s="5" t="n">
        <v>0.002513848927216091</v>
      </c>
      <c r="I1397" s="5" t="n">
        <v>0.0008195495209784515</v>
      </c>
      <c r="J1397" s="5" t="n">
        <v>-0.004334118760775869</v>
      </c>
      <c r="K1397" s="5" t="n">
        <v>0.0007237159076946226</v>
      </c>
      <c r="L1397" s="5" t="n">
        <v>-0.0002077797470045645</v>
      </c>
      <c r="M1397" s="5">
        <f>SUMPRODUCT(Exposures!$B$6:$K$6,B1397:K1397)</f>
        <v/>
      </c>
      <c r="N1397" s="5">
        <f>IF(AND($A1397&gt;=DATE(2020,2,1),$A1397&lt;=DATE(2020,5,31)),$M1397,"")</f>
        <v/>
      </c>
      <c r="O1397" s="5">
        <f>IF(AND($A1397&gt;=DATE(2022,1,1),$A1397&lt;=DATE(2022,10,31)),$M1397,"")</f>
        <v/>
      </c>
      <c r="P1397" s="5">
        <f>IF(AND($A1397&gt;=DATE(2018,10,1),$A1397&lt;=DATE(2018,12,31)),$M1397,"")</f>
        <v/>
      </c>
      <c r="Q1397" s="5">
        <f>SUMPRODUCT(Exposures!$B$8:$K$8,B1397:K1397)</f>
        <v/>
      </c>
      <c r="R1397" s="5">
        <f>SUMPRODUCT(Exposures!$B$9:$K$9,B1397:K1397)</f>
        <v/>
      </c>
      <c r="S1397" s="5">
        <f>SUMPRODUCT(Exposures!$B$10:$K$10,B1397:K1397)</f>
        <v/>
      </c>
    </row>
    <row r="1398">
      <c r="A1398" s="1" t="n">
        <v>44484</v>
      </c>
      <c r="B1398" s="5" t="n">
        <v>-0.00117359405602987</v>
      </c>
      <c r="C1398" s="5" t="n">
        <v>0.001586392284953641</v>
      </c>
      <c r="D1398" s="5" t="n">
        <v>0.0007811353081491119</v>
      </c>
      <c r="E1398" s="5" t="n">
        <v>0.001292798235778988</v>
      </c>
      <c r="F1398" s="5" t="n">
        <v>0.005413207889735604</v>
      </c>
      <c r="G1398" s="5" t="n">
        <v>0.001574191856375584</v>
      </c>
      <c r="H1398" s="5" t="n">
        <v>0.004387872454820636</v>
      </c>
      <c r="I1398" s="5" t="n">
        <v>0.0004924427090329972</v>
      </c>
      <c r="J1398" s="5" t="n">
        <v>-0.001704037192593397</v>
      </c>
      <c r="K1398" s="5" t="n">
        <v>-0.001906784708058025</v>
      </c>
      <c r="L1398" s="5" t="n">
        <v>0.002165519716100313</v>
      </c>
      <c r="M1398" s="5">
        <f>SUMPRODUCT(Exposures!$B$6:$K$6,B1398:K1398)</f>
        <v/>
      </c>
      <c r="N1398" s="5">
        <f>IF(AND($A1398&gt;=DATE(2020,2,1),$A1398&lt;=DATE(2020,5,31)),$M1398,"")</f>
        <v/>
      </c>
      <c r="O1398" s="5">
        <f>IF(AND($A1398&gt;=DATE(2022,1,1),$A1398&lt;=DATE(2022,10,31)),$M1398,"")</f>
        <v/>
      </c>
      <c r="P1398" s="5">
        <f>IF(AND($A1398&gt;=DATE(2018,10,1),$A1398&lt;=DATE(2018,12,31)),$M1398,"")</f>
        <v/>
      </c>
      <c r="Q1398" s="5">
        <f>SUMPRODUCT(Exposures!$B$8:$K$8,B1398:K1398)</f>
        <v/>
      </c>
      <c r="R1398" s="5">
        <f>SUMPRODUCT(Exposures!$B$9:$K$9,B1398:K1398)</f>
        <v/>
      </c>
      <c r="S1398" s="5">
        <f>SUMPRODUCT(Exposures!$B$10:$K$10,B1398:K1398)</f>
        <v/>
      </c>
    </row>
    <row r="1399">
      <c r="A1399" s="1" t="n">
        <v>44487</v>
      </c>
      <c r="B1399" s="5" t="n">
        <v>0.002348001702133473</v>
      </c>
      <c r="C1399" s="5" t="n">
        <v>0.00148494440457891</v>
      </c>
      <c r="D1399" s="5" t="n">
        <v>-0.001654239246738583</v>
      </c>
      <c r="E1399" s="5" t="n">
        <v>-0.001057137771912024</v>
      </c>
      <c r="F1399" s="5" t="n">
        <v>0.01049540477665935</v>
      </c>
      <c r="G1399" s="5" t="n">
        <v>7.321655508312051e-05</v>
      </c>
      <c r="H1399" s="5" t="n">
        <v>0.004430907796284414</v>
      </c>
      <c r="I1399" s="5" t="n">
        <v>-0.001515353484030648</v>
      </c>
      <c r="J1399" s="5" t="n">
        <v>-0.0006427075748262898</v>
      </c>
      <c r="K1399" s="5" t="n">
        <v>-0.007866864793397686</v>
      </c>
      <c r="L1399" s="5" t="n">
        <v>-0.002523641973759523</v>
      </c>
      <c r="M1399" s="5">
        <f>SUMPRODUCT(Exposures!$B$6:$K$6,B1399:K1399)</f>
        <v/>
      </c>
      <c r="N1399" s="5">
        <f>IF(AND($A1399&gt;=DATE(2020,2,1),$A1399&lt;=DATE(2020,5,31)),$M1399,"")</f>
        <v/>
      </c>
      <c r="O1399" s="5">
        <f>IF(AND($A1399&gt;=DATE(2022,1,1),$A1399&lt;=DATE(2022,10,31)),$M1399,"")</f>
        <v/>
      </c>
      <c r="P1399" s="5">
        <f>IF(AND($A1399&gt;=DATE(2018,10,1),$A1399&lt;=DATE(2018,12,31)),$M1399,"")</f>
        <v/>
      </c>
      <c r="Q1399" s="5">
        <f>SUMPRODUCT(Exposures!$B$8:$K$8,B1399:K1399)</f>
        <v/>
      </c>
      <c r="R1399" s="5">
        <f>SUMPRODUCT(Exposures!$B$9:$K$9,B1399:K1399)</f>
        <v/>
      </c>
      <c r="S1399" s="5">
        <f>SUMPRODUCT(Exposures!$B$10:$K$10,B1399:K1399)</f>
        <v/>
      </c>
    </row>
    <row r="1400">
      <c r="A1400" s="1" t="n">
        <v>44488</v>
      </c>
      <c r="B1400" s="5" t="n">
        <v>3.379109254743112e-05</v>
      </c>
      <c r="C1400" s="5" t="n">
        <v>-0.001426416225644966</v>
      </c>
      <c r="D1400" s="5" t="n">
        <v>0.0004549266480141538</v>
      </c>
      <c r="E1400" s="5" t="n">
        <v>-0.0009480028205464629</v>
      </c>
      <c r="F1400" s="5" t="n">
        <v>-0.003904737832428826</v>
      </c>
      <c r="G1400" s="5" t="n">
        <v>0.003244818729918583</v>
      </c>
      <c r="H1400" s="5" t="n">
        <v>-0.00450128666789075</v>
      </c>
      <c r="I1400" s="5" t="n">
        <v>0.0009825112112157425</v>
      </c>
      <c r="J1400" s="5" t="n">
        <v>0.001740161263151997</v>
      </c>
      <c r="K1400" s="5" t="n">
        <v>0.008600742015583949</v>
      </c>
      <c r="L1400" s="5" t="n">
        <v>0.002320056309109242</v>
      </c>
      <c r="M1400" s="5">
        <f>SUMPRODUCT(Exposures!$B$6:$K$6,B1400:K1400)</f>
        <v/>
      </c>
      <c r="N1400" s="5">
        <f>IF(AND($A1400&gt;=DATE(2020,2,1),$A1400&lt;=DATE(2020,5,31)),$M1400,"")</f>
        <v/>
      </c>
      <c r="O1400" s="5">
        <f>IF(AND($A1400&gt;=DATE(2022,1,1),$A1400&lt;=DATE(2022,10,31)),$M1400,"")</f>
        <v/>
      </c>
      <c r="P1400" s="5">
        <f>IF(AND($A1400&gt;=DATE(2018,10,1),$A1400&lt;=DATE(2018,12,31)),$M1400,"")</f>
        <v/>
      </c>
      <c r="Q1400" s="5">
        <f>SUMPRODUCT(Exposures!$B$8:$K$8,B1400:K1400)</f>
        <v/>
      </c>
      <c r="R1400" s="5">
        <f>SUMPRODUCT(Exposures!$B$9:$K$9,B1400:K1400)</f>
        <v/>
      </c>
      <c r="S1400" s="5">
        <f>SUMPRODUCT(Exposures!$B$10:$K$10,B1400:K1400)</f>
        <v/>
      </c>
    </row>
    <row r="1401">
      <c r="A1401" s="1" t="n">
        <v>44489</v>
      </c>
      <c r="B1401" s="5" t="n">
        <v>-0.006137113859160777</v>
      </c>
      <c r="C1401" s="5" t="n">
        <v>-0.0003359848553709094</v>
      </c>
      <c r="D1401" s="5" t="n">
        <v>3.53938844989009e-05</v>
      </c>
      <c r="E1401" s="5" t="n">
        <v>0.00215497297647453</v>
      </c>
      <c r="F1401" s="5" t="n">
        <v>-0.007180769973920692</v>
      </c>
      <c r="G1401" s="5" t="n">
        <v>0.006611996634633521</v>
      </c>
      <c r="H1401" s="5" t="n">
        <v>0.002205683818627125</v>
      </c>
      <c r="I1401" s="5" t="n">
        <v>0.001947392407054338</v>
      </c>
      <c r="J1401" s="5" t="n">
        <v>-0.002270934188546472</v>
      </c>
      <c r="K1401" s="5" t="n">
        <v>0.006317723764364535</v>
      </c>
      <c r="L1401" s="5" t="n">
        <v>0.002115031911223287</v>
      </c>
      <c r="M1401" s="5">
        <f>SUMPRODUCT(Exposures!$B$6:$K$6,B1401:K1401)</f>
        <v/>
      </c>
      <c r="N1401" s="5">
        <f>IF(AND($A1401&gt;=DATE(2020,2,1),$A1401&lt;=DATE(2020,5,31)),$M1401,"")</f>
        <v/>
      </c>
      <c r="O1401" s="5">
        <f>IF(AND($A1401&gt;=DATE(2022,1,1),$A1401&lt;=DATE(2022,10,31)),$M1401,"")</f>
        <v/>
      </c>
      <c r="P1401" s="5">
        <f>IF(AND($A1401&gt;=DATE(2018,10,1),$A1401&lt;=DATE(2018,12,31)),$M1401,"")</f>
        <v/>
      </c>
      <c r="Q1401" s="5">
        <f>SUMPRODUCT(Exposures!$B$8:$K$8,B1401:K1401)</f>
        <v/>
      </c>
      <c r="R1401" s="5">
        <f>SUMPRODUCT(Exposures!$B$9:$K$9,B1401:K1401)</f>
        <v/>
      </c>
      <c r="S1401" s="5">
        <f>SUMPRODUCT(Exposures!$B$10:$K$10,B1401:K1401)</f>
        <v/>
      </c>
    </row>
    <row r="1402">
      <c r="A1402" s="1" t="n">
        <v>44490</v>
      </c>
      <c r="B1402" s="5" t="n">
        <v>-0.003261090223850123</v>
      </c>
      <c r="C1402" s="5" t="n">
        <v>-0.003065939827676403</v>
      </c>
      <c r="D1402" s="5" t="n">
        <v>-0.002014014001796155</v>
      </c>
      <c r="E1402" s="5" t="n">
        <v>-0.003900374799528621</v>
      </c>
      <c r="F1402" s="5" t="n">
        <v>0.0068980156305008</v>
      </c>
      <c r="G1402" s="5" t="n">
        <v>0.001776732343750277</v>
      </c>
      <c r="H1402" s="5" t="n">
        <v>-0.0004061985090303436</v>
      </c>
      <c r="I1402" s="5" t="n">
        <v>-0.0005513972716465199</v>
      </c>
      <c r="J1402" s="5" t="n">
        <v>-0.0009195690506856802</v>
      </c>
      <c r="K1402" s="5" t="n">
        <v>-0.006384290246149139</v>
      </c>
      <c r="L1402" s="5" t="n">
        <v>-0.002438495291006585</v>
      </c>
      <c r="M1402" s="5">
        <f>SUMPRODUCT(Exposures!$B$6:$K$6,B1402:K1402)</f>
        <v/>
      </c>
      <c r="N1402" s="5">
        <f>IF(AND($A1402&gt;=DATE(2020,2,1),$A1402&lt;=DATE(2020,5,31)),$M1402,"")</f>
        <v/>
      </c>
      <c r="O1402" s="5">
        <f>IF(AND($A1402&gt;=DATE(2022,1,1),$A1402&lt;=DATE(2022,10,31)),$M1402,"")</f>
        <v/>
      </c>
      <c r="P1402" s="5">
        <f>IF(AND($A1402&gt;=DATE(2018,10,1),$A1402&lt;=DATE(2018,12,31)),$M1402,"")</f>
        <v/>
      </c>
      <c r="Q1402" s="5">
        <f>SUMPRODUCT(Exposures!$B$8:$K$8,B1402:K1402)</f>
        <v/>
      </c>
      <c r="R1402" s="5">
        <f>SUMPRODUCT(Exposures!$B$9:$K$9,B1402:K1402)</f>
        <v/>
      </c>
      <c r="S1402" s="5">
        <f>SUMPRODUCT(Exposures!$B$10:$K$10,B1402:K1402)</f>
        <v/>
      </c>
    </row>
    <row r="1403">
      <c r="A1403" s="1" t="n">
        <v>44491</v>
      </c>
      <c r="B1403" s="5" t="n">
        <v>-0.006397736965065128</v>
      </c>
      <c r="C1403" s="5" t="n">
        <v>-0.0020811593801142</v>
      </c>
      <c r="D1403" s="5" t="n">
        <v>0.00527515713799466</v>
      </c>
      <c r="E1403" s="5" t="n">
        <v>0.005343469770250103</v>
      </c>
      <c r="F1403" s="5" t="n">
        <v>0.007461500193973302</v>
      </c>
      <c r="G1403" s="5" t="n">
        <v>-0.002800627587832906</v>
      </c>
      <c r="H1403" s="5" t="n">
        <v>0.002621957003387531</v>
      </c>
      <c r="I1403" s="5" t="n">
        <v>0.0003315402690633493</v>
      </c>
      <c r="J1403" s="5" t="n">
        <v>-0.005330566979106898</v>
      </c>
      <c r="K1403" s="5" t="n">
        <v>-0.005668542748322959</v>
      </c>
      <c r="L1403" s="5" t="n">
        <v>-0.004097696268548754</v>
      </c>
      <c r="M1403" s="5">
        <f>SUMPRODUCT(Exposures!$B$6:$K$6,B1403:K1403)</f>
        <v/>
      </c>
      <c r="N1403" s="5">
        <f>IF(AND($A1403&gt;=DATE(2020,2,1),$A1403&lt;=DATE(2020,5,31)),$M1403,"")</f>
        <v/>
      </c>
      <c r="O1403" s="5">
        <f>IF(AND($A1403&gt;=DATE(2022,1,1),$A1403&lt;=DATE(2022,10,31)),$M1403,"")</f>
        <v/>
      </c>
      <c r="P1403" s="5">
        <f>IF(AND($A1403&gt;=DATE(2018,10,1),$A1403&lt;=DATE(2018,12,31)),$M1403,"")</f>
        <v/>
      </c>
      <c r="Q1403" s="5">
        <f>SUMPRODUCT(Exposures!$B$8:$K$8,B1403:K1403)</f>
        <v/>
      </c>
      <c r="R1403" s="5">
        <f>SUMPRODUCT(Exposures!$B$9:$K$9,B1403:K1403)</f>
        <v/>
      </c>
      <c r="S1403" s="5">
        <f>SUMPRODUCT(Exposures!$B$10:$K$10,B1403:K1403)</f>
        <v/>
      </c>
    </row>
    <row r="1404">
      <c r="A1404" s="1" t="n">
        <v>44494</v>
      </c>
      <c r="B1404" s="5" t="n">
        <v>-0.0008479012061747082</v>
      </c>
      <c r="C1404" s="5" t="n">
        <v>0.0006289720398247458</v>
      </c>
      <c r="D1404" s="5" t="n">
        <v>0.0009148184844704533</v>
      </c>
      <c r="E1404" s="5" t="n">
        <v>0.0009610082605810082</v>
      </c>
      <c r="F1404" s="5" t="n">
        <v>0.00700444205392961</v>
      </c>
      <c r="G1404" s="5" t="n">
        <v>0.001843167445713184</v>
      </c>
      <c r="H1404" s="5" t="n">
        <v>0.003811282196025561</v>
      </c>
      <c r="I1404" s="5" t="n">
        <v>-0.0001740630686929189</v>
      </c>
      <c r="J1404" s="5" t="n">
        <v>0.0008232604624450441</v>
      </c>
      <c r="K1404" s="5" t="n">
        <v>-0.007306579031636394</v>
      </c>
      <c r="L1404" s="5" t="n">
        <v>-0.001860710413886552</v>
      </c>
      <c r="M1404" s="5">
        <f>SUMPRODUCT(Exposures!$B$6:$K$6,B1404:K1404)</f>
        <v/>
      </c>
      <c r="N1404" s="5">
        <f>IF(AND($A1404&gt;=DATE(2020,2,1),$A1404&lt;=DATE(2020,5,31)),$M1404,"")</f>
        <v/>
      </c>
      <c r="O1404" s="5">
        <f>IF(AND($A1404&gt;=DATE(2022,1,1),$A1404&lt;=DATE(2022,10,31)),$M1404,"")</f>
        <v/>
      </c>
      <c r="P1404" s="5">
        <f>IF(AND($A1404&gt;=DATE(2018,10,1),$A1404&lt;=DATE(2018,12,31)),$M1404,"")</f>
        <v/>
      </c>
      <c r="Q1404" s="5">
        <f>SUMPRODUCT(Exposures!$B$8:$K$8,B1404:K1404)</f>
        <v/>
      </c>
      <c r="R1404" s="5">
        <f>SUMPRODUCT(Exposures!$B$9:$K$9,B1404:K1404)</f>
        <v/>
      </c>
      <c r="S1404" s="5">
        <f>SUMPRODUCT(Exposures!$B$10:$K$10,B1404:K1404)</f>
        <v/>
      </c>
    </row>
    <row r="1405">
      <c r="A1405" s="1" t="n">
        <v>44495</v>
      </c>
      <c r="B1405" s="5" t="n">
        <v>-0.0004064552682991734</v>
      </c>
      <c r="C1405" s="5" t="n">
        <v>-0.001340513109895198</v>
      </c>
      <c r="D1405" s="5" t="n">
        <v>-0.002309304107699822</v>
      </c>
      <c r="E1405" s="5" t="n">
        <v>-0.0002053971980630557</v>
      </c>
      <c r="F1405" s="5" t="n">
        <v>0.0003281689426432773</v>
      </c>
      <c r="G1405" s="5" t="n">
        <v>-0.002511817498128192</v>
      </c>
      <c r="H1405" s="5" t="n">
        <v>0.0006783110913651199</v>
      </c>
      <c r="I1405" s="5" t="n">
        <v>0.00486784714591939</v>
      </c>
      <c r="J1405" s="5" t="n">
        <v>-0.007217380117217549</v>
      </c>
      <c r="K1405" s="5" t="n">
        <v>-0.004996129054511519</v>
      </c>
      <c r="L1405" s="5" t="n">
        <v>-0.0009095583688107521</v>
      </c>
      <c r="M1405" s="5">
        <f>SUMPRODUCT(Exposures!$B$6:$K$6,B1405:K1405)</f>
        <v/>
      </c>
      <c r="N1405" s="5">
        <f>IF(AND($A1405&gt;=DATE(2020,2,1),$A1405&lt;=DATE(2020,5,31)),$M1405,"")</f>
        <v/>
      </c>
      <c r="O1405" s="5">
        <f>IF(AND($A1405&gt;=DATE(2022,1,1),$A1405&lt;=DATE(2022,10,31)),$M1405,"")</f>
        <v/>
      </c>
      <c r="P1405" s="5">
        <f>IF(AND($A1405&gt;=DATE(2018,10,1),$A1405&lt;=DATE(2018,12,31)),$M1405,"")</f>
        <v/>
      </c>
      <c r="Q1405" s="5">
        <f>SUMPRODUCT(Exposures!$B$8:$K$8,B1405:K1405)</f>
        <v/>
      </c>
      <c r="R1405" s="5">
        <f>SUMPRODUCT(Exposures!$B$9:$K$9,B1405:K1405)</f>
        <v/>
      </c>
      <c r="S1405" s="5">
        <f>SUMPRODUCT(Exposures!$B$10:$K$10,B1405:K1405)</f>
        <v/>
      </c>
    </row>
    <row r="1406">
      <c r="A1406" s="1" t="n">
        <v>44496</v>
      </c>
      <c r="B1406" s="5" t="n">
        <v>0.001002401402003462</v>
      </c>
      <c r="C1406" s="5" t="n">
        <v>0.0004055797358022162</v>
      </c>
      <c r="D1406" s="5" t="n">
        <v>-0.005793594855840222</v>
      </c>
      <c r="E1406" s="5" t="n">
        <v>-0.004190720286169384</v>
      </c>
      <c r="F1406" s="5" t="n">
        <v>0.001068891195767554</v>
      </c>
      <c r="G1406" s="5" t="n">
        <v>-0.01430828376813318</v>
      </c>
      <c r="H1406" s="5" t="n">
        <v>-0.0009589109273590391</v>
      </c>
      <c r="I1406" s="5" t="n">
        <v>0.003174028796048391</v>
      </c>
      <c r="J1406" s="5" t="n">
        <v>-0.00271437312199096</v>
      </c>
      <c r="K1406" s="5" t="n">
        <v>0.000363063749655459</v>
      </c>
      <c r="L1406" s="5" t="n">
        <v>0.001232091047745291</v>
      </c>
      <c r="M1406" s="5">
        <f>SUMPRODUCT(Exposures!$B$6:$K$6,B1406:K1406)</f>
        <v/>
      </c>
      <c r="N1406" s="5">
        <f>IF(AND($A1406&gt;=DATE(2020,2,1),$A1406&lt;=DATE(2020,5,31)),$M1406,"")</f>
        <v/>
      </c>
      <c r="O1406" s="5">
        <f>IF(AND($A1406&gt;=DATE(2022,1,1),$A1406&lt;=DATE(2022,10,31)),$M1406,"")</f>
        <v/>
      </c>
      <c r="P1406" s="5">
        <f>IF(AND($A1406&gt;=DATE(2018,10,1),$A1406&lt;=DATE(2018,12,31)),$M1406,"")</f>
        <v/>
      </c>
      <c r="Q1406" s="5">
        <f>SUMPRODUCT(Exposures!$B$8:$K$8,B1406:K1406)</f>
        <v/>
      </c>
      <c r="R1406" s="5">
        <f>SUMPRODUCT(Exposures!$B$9:$K$9,B1406:K1406)</f>
        <v/>
      </c>
      <c r="S1406" s="5">
        <f>SUMPRODUCT(Exposures!$B$10:$K$10,B1406:K1406)</f>
        <v/>
      </c>
    </row>
    <row r="1407">
      <c r="A1407" s="1" t="n">
        <v>44497</v>
      </c>
      <c r="B1407" s="5" t="n">
        <v>0.002889642713621275</v>
      </c>
      <c r="C1407" s="5" t="n">
        <v>-0.00249318486016007</v>
      </c>
      <c r="D1407" s="5" t="n">
        <v>-0.00157723229707024</v>
      </c>
      <c r="E1407" s="5" t="n">
        <v>-0.000183643911644318</v>
      </c>
      <c r="F1407" s="5" t="n">
        <v>0.003152654006950397</v>
      </c>
      <c r="G1407" s="5" t="n">
        <v>0.0115203833094976</v>
      </c>
      <c r="H1407" s="5" t="n">
        <v>0.002750416356272504</v>
      </c>
      <c r="I1407" s="5" t="n">
        <v>-0.002588511136670372</v>
      </c>
      <c r="J1407" s="5" t="n">
        <v>0.0003898611470365711</v>
      </c>
      <c r="K1407" s="5" t="n">
        <v>-0.003289741148259945</v>
      </c>
      <c r="L1407" s="5" t="n">
        <v>0.0007986231782898198</v>
      </c>
      <c r="M1407" s="5">
        <f>SUMPRODUCT(Exposures!$B$6:$K$6,B1407:K1407)</f>
        <v/>
      </c>
      <c r="N1407" s="5">
        <f>IF(AND($A1407&gt;=DATE(2020,2,1),$A1407&lt;=DATE(2020,5,31)),$M1407,"")</f>
        <v/>
      </c>
      <c r="O1407" s="5">
        <f>IF(AND($A1407&gt;=DATE(2022,1,1),$A1407&lt;=DATE(2022,10,31)),$M1407,"")</f>
        <v/>
      </c>
      <c r="P1407" s="5">
        <f>IF(AND($A1407&gt;=DATE(2018,10,1),$A1407&lt;=DATE(2018,12,31)),$M1407,"")</f>
        <v/>
      </c>
      <c r="Q1407" s="5">
        <f>SUMPRODUCT(Exposures!$B$8:$K$8,B1407:K1407)</f>
        <v/>
      </c>
      <c r="R1407" s="5">
        <f>SUMPRODUCT(Exposures!$B$9:$K$9,B1407:K1407)</f>
        <v/>
      </c>
      <c r="S1407" s="5">
        <f>SUMPRODUCT(Exposures!$B$10:$K$10,B1407:K1407)</f>
        <v/>
      </c>
    </row>
    <row r="1408">
      <c r="A1408" s="1" t="n">
        <v>44498</v>
      </c>
      <c r="B1408" s="5" t="n">
        <v>-0.002541325455257379</v>
      </c>
      <c r="C1408" s="5" t="n">
        <v>0.00171092889482109</v>
      </c>
      <c r="D1408" s="5" t="n">
        <v>-0.003035332506250233</v>
      </c>
      <c r="E1408" s="5" t="n">
        <v>-0.003043906111748262</v>
      </c>
      <c r="F1408" s="5" t="n">
        <v>-0.0008535456156941897</v>
      </c>
      <c r="G1408" s="5" t="n">
        <v>0.000472984594026394</v>
      </c>
      <c r="H1408" s="5" t="n">
        <v>0.00593215495937576</v>
      </c>
      <c r="I1408" s="5" t="n">
        <v>0.003722190912910766</v>
      </c>
      <c r="J1408" s="5" t="n">
        <v>-0.002748402648971705</v>
      </c>
      <c r="K1408" s="5" t="n">
        <v>-0.004627918674141797</v>
      </c>
      <c r="L1408" s="5" t="n">
        <v>-0.004006044781180681</v>
      </c>
      <c r="M1408" s="5">
        <f>SUMPRODUCT(Exposures!$B$6:$K$6,B1408:K1408)</f>
        <v/>
      </c>
      <c r="N1408" s="5">
        <f>IF(AND($A1408&gt;=DATE(2020,2,1),$A1408&lt;=DATE(2020,5,31)),$M1408,"")</f>
        <v/>
      </c>
      <c r="O1408" s="5">
        <f>IF(AND($A1408&gt;=DATE(2022,1,1),$A1408&lt;=DATE(2022,10,31)),$M1408,"")</f>
        <v/>
      </c>
      <c r="P1408" s="5">
        <f>IF(AND($A1408&gt;=DATE(2018,10,1),$A1408&lt;=DATE(2018,12,31)),$M1408,"")</f>
        <v/>
      </c>
      <c r="Q1408" s="5">
        <f>SUMPRODUCT(Exposures!$B$8:$K$8,B1408:K1408)</f>
        <v/>
      </c>
      <c r="R1408" s="5">
        <f>SUMPRODUCT(Exposures!$B$9:$K$9,B1408:K1408)</f>
        <v/>
      </c>
      <c r="S1408" s="5">
        <f>SUMPRODUCT(Exposures!$B$10:$K$10,B1408:K1408)</f>
        <v/>
      </c>
    </row>
    <row r="1409">
      <c r="A1409" s="1" t="n">
        <v>44501</v>
      </c>
      <c r="B1409" s="5" t="n">
        <v>0.003174012373138257</v>
      </c>
      <c r="C1409" s="5" t="n">
        <v>-0.00126262536725605</v>
      </c>
      <c r="D1409" s="5" t="n">
        <v>-0.001630003182836325</v>
      </c>
      <c r="E1409" s="5" t="n">
        <v>0.003689854846813637</v>
      </c>
      <c r="F1409" s="5" t="n">
        <v>-0.004748229125484085</v>
      </c>
      <c r="G1409" s="5" t="n">
        <v>0.01699396253771954</v>
      </c>
      <c r="H1409" s="5" t="n">
        <v>-0.005493518849815813</v>
      </c>
      <c r="I1409" s="5" t="n">
        <v>-0.0005449759967488795</v>
      </c>
      <c r="J1409" s="5" t="n">
        <v>0.0119648035436388</v>
      </c>
      <c r="K1409" s="5" t="n">
        <v>-0.0001008965342103952</v>
      </c>
      <c r="L1409" s="5" t="n">
        <v>-0.0001746626361574191</v>
      </c>
      <c r="M1409" s="5">
        <f>SUMPRODUCT(Exposures!$B$6:$K$6,B1409:K1409)</f>
        <v/>
      </c>
      <c r="N1409" s="5">
        <f>IF(AND($A1409&gt;=DATE(2020,2,1),$A1409&lt;=DATE(2020,5,31)),$M1409,"")</f>
        <v/>
      </c>
      <c r="O1409" s="5">
        <f>IF(AND($A1409&gt;=DATE(2022,1,1),$A1409&lt;=DATE(2022,10,31)),$M1409,"")</f>
        <v/>
      </c>
      <c r="P1409" s="5">
        <f>IF(AND($A1409&gt;=DATE(2018,10,1),$A1409&lt;=DATE(2018,12,31)),$M1409,"")</f>
        <v/>
      </c>
      <c r="Q1409" s="5">
        <f>SUMPRODUCT(Exposures!$B$8:$K$8,B1409:K1409)</f>
        <v/>
      </c>
      <c r="R1409" s="5">
        <f>SUMPRODUCT(Exposures!$B$9:$K$9,B1409:K1409)</f>
        <v/>
      </c>
      <c r="S1409" s="5">
        <f>SUMPRODUCT(Exposures!$B$10:$K$10,B1409:K1409)</f>
        <v/>
      </c>
    </row>
    <row r="1410">
      <c r="A1410" s="1" t="n">
        <v>44502</v>
      </c>
      <c r="B1410" s="5" t="n">
        <v>-0.0005127008470128343</v>
      </c>
      <c r="C1410" s="5" t="n">
        <v>0.0004584685311748264</v>
      </c>
      <c r="D1410" s="5" t="n">
        <v>0.00129782479218246</v>
      </c>
      <c r="E1410" s="5" t="n">
        <v>-0.000606067984667099</v>
      </c>
      <c r="F1410" s="5" t="n">
        <v>0.0007453358889985723</v>
      </c>
      <c r="G1410" s="5" t="n">
        <v>-0.001059135788477796</v>
      </c>
      <c r="H1410" s="5" t="n">
        <v>0.007257911923231668</v>
      </c>
      <c r="I1410" s="5" t="n">
        <v>0.0009407232196273608</v>
      </c>
      <c r="J1410" s="5" t="n">
        <v>-0.008366227488546494</v>
      </c>
      <c r="K1410" s="5" t="n">
        <v>-0.001855854615329054</v>
      </c>
      <c r="L1410" s="5" t="n">
        <v>-0.004660967921125889</v>
      </c>
      <c r="M1410" s="5">
        <f>SUMPRODUCT(Exposures!$B$6:$K$6,B1410:K1410)</f>
        <v/>
      </c>
      <c r="N1410" s="5">
        <f>IF(AND($A1410&gt;=DATE(2020,2,1),$A1410&lt;=DATE(2020,5,31)),$M1410,"")</f>
        <v/>
      </c>
      <c r="O1410" s="5">
        <f>IF(AND($A1410&gt;=DATE(2022,1,1),$A1410&lt;=DATE(2022,10,31)),$M1410,"")</f>
        <v/>
      </c>
      <c r="P1410" s="5">
        <f>IF(AND($A1410&gt;=DATE(2018,10,1),$A1410&lt;=DATE(2018,12,31)),$M1410,"")</f>
        <v/>
      </c>
      <c r="Q1410" s="5">
        <f>SUMPRODUCT(Exposures!$B$8:$K$8,B1410:K1410)</f>
        <v/>
      </c>
      <c r="R1410" s="5">
        <f>SUMPRODUCT(Exposures!$B$9:$K$9,B1410:K1410)</f>
        <v/>
      </c>
      <c r="S1410" s="5">
        <f>SUMPRODUCT(Exposures!$B$10:$K$10,B1410:K1410)</f>
        <v/>
      </c>
    </row>
    <row r="1411">
      <c r="A1411" s="1" t="n">
        <v>44503</v>
      </c>
      <c r="B1411" s="5" t="n">
        <v>-0.003378477464710383</v>
      </c>
      <c r="C1411" s="5" t="n">
        <v>-0.0006239057393985679</v>
      </c>
      <c r="D1411" s="5" t="n">
        <v>0.00244412549908892</v>
      </c>
      <c r="E1411" s="5" t="n">
        <v>0.002197129860805169</v>
      </c>
      <c r="F1411" s="5" t="n">
        <v>0.0006674386580240653</v>
      </c>
      <c r="G1411" s="5" t="n">
        <v>0.01051036610166203</v>
      </c>
      <c r="H1411" s="5" t="n">
        <v>-0.003919123779631281</v>
      </c>
      <c r="I1411" s="5" t="n">
        <v>0.003316166368518116</v>
      </c>
      <c r="J1411" s="5" t="n">
        <v>0.005524772405943289</v>
      </c>
      <c r="K1411" s="5" t="n">
        <v>-0.002825460141320673</v>
      </c>
      <c r="L1411" s="5" t="n">
        <v>0.002355529325569239</v>
      </c>
      <c r="M1411" s="5">
        <f>SUMPRODUCT(Exposures!$B$6:$K$6,B1411:K1411)</f>
        <v/>
      </c>
      <c r="N1411" s="5">
        <f>IF(AND($A1411&gt;=DATE(2020,2,1),$A1411&lt;=DATE(2020,5,31)),$M1411,"")</f>
        <v/>
      </c>
      <c r="O1411" s="5">
        <f>IF(AND($A1411&gt;=DATE(2022,1,1),$A1411&lt;=DATE(2022,10,31)),$M1411,"")</f>
        <v/>
      </c>
      <c r="P1411" s="5">
        <f>IF(AND($A1411&gt;=DATE(2018,10,1),$A1411&lt;=DATE(2018,12,31)),$M1411,"")</f>
        <v/>
      </c>
      <c r="Q1411" s="5">
        <f>SUMPRODUCT(Exposures!$B$8:$K$8,B1411:K1411)</f>
        <v/>
      </c>
      <c r="R1411" s="5">
        <f>SUMPRODUCT(Exposures!$B$9:$K$9,B1411:K1411)</f>
        <v/>
      </c>
      <c r="S1411" s="5">
        <f>SUMPRODUCT(Exposures!$B$10:$K$10,B1411:K1411)</f>
        <v/>
      </c>
    </row>
    <row r="1412">
      <c r="A1412" s="1" t="n">
        <v>44504</v>
      </c>
      <c r="B1412" s="5" t="n">
        <v>0.00484164614448108</v>
      </c>
      <c r="C1412" s="5" t="n">
        <v>-0.001779498999685462</v>
      </c>
      <c r="D1412" s="5" t="n">
        <v>0.00613105959125404</v>
      </c>
      <c r="E1412" s="5" t="n">
        <v>-0.001227174580201635</v>
      </c>
      <c r="F1412" s="5" t="n">
        <v>0.008495096093609511</v>
      </c>
      <c r="G1412" s="5" t="n">
        <v>-0.003935617981643088</v>
      </c>
      <c r="H1412" s="5" t="n">
        <v>-0.005340426796995889</v>
      </c>
      <c r="I1412" s="5" t="n">
        <v>0.002821617507914218</v>
      </c>
      <c r="J1412" s="5" t="n">
        <v>-0.001438617333944326</v>
      </c>
      <c r="K1412" s="5" t="n">
        <v>-0.007673772579209882</v>
      </c>
      <c r="L1412" s="5" t="n">
        <v>-0.005450472923870307</v>
      </c>
      <c r="M1412" s="5">
        <f>SUMPRODUCT(Exposures!$B$6:$K$6,B1412:K1412)</f>
        <v/>
      </c>
      <c r="N1412" s="5">
        <f>IF(AND($A1412&gt;=DATE(2020,2,1),$A1412&lt;=DATE(2020,5,31)),$M1412,"")</f>
        <v/>
      </c>
      <c r="O1412" s="5">
        <f>IF(AND($A1412&gt;=DATE(2022,1,1),$A1412&lt;=DATE(2022,10,31)),$M1412,"")</f>
        <v/>
      </c>
      <c r="P1412" s="5">
        <f>IF(AND($A1412&gt;=DATE(2018,10,1),$A1412&lt;=DATE(2018,12,31)),$M1412,"")</f>
        <v/>
      </c>
      <c r="Q1412" s="5">
        <f>SUMPRODUCT(Exposures!$B$8:$K$8,B1412:K1412)</f>
        <v/>
      </c>
      <c r="R1412" s="5">
        <f>SUMPRODUCT(Exposures!$B$9:$K$9,B1412:K1412)</f>
        <v/>
      </c>
      <c r="S1412" s="5">
        <f>SUMPRODUCT(Exposures!$B$10:$K$10,B1412:K1412)</f>
        <v/>
      </c>
    </row>
    <row r="1413">
      <c r="A1413" s="1" t="n">
        <v>44505</v>
      </c>
      <c r="B1413" s="5" t="n">
        <v>0.004661627772766237</v>
      </c>
      <c r="C1413" s="5" t="n">
        <v>-0.0006872506871543375</v>
      </c>
      <c r="D1413" s="5" t="n">
        <v>-0.0007896599407914228</v>
      </c>
      <c r="E1413" s="5" t="n">
        <v>0.0004221508968472895</v>
      </c>
      <c r="F1413" s="5" t="n">
        <v>0.003368548703722124</v>
      </c>
      <c r="G1413" s="5" t="n">
        <v>0.01316084758754767</v>
      </c>
      <c r="H1413" s="5" t="n">
        <v>0.008153803263712733</v>
      </c>
      <c r="I1413" s="5" t="n">
        <v>-0.00241405301118046</v>
      </c>
      <c r="J1413" s="5" t="n">
        <v>0.001340647348501971</v>
      </c>
      <c r="K1413" s="5" t="n">
        <v>-0.00724313291724714</v>
      </c>
      <c r="L1413" s="5" t="n">
        <v>-0.002445661655655427</v>
      </c>
      <c r="M1413" s="5">
        <f>SUMPRODUCT(Exposures!$B$6:$K$6,B1413:K1413)</f>
        <v/>
      </c>
      <c r="N1413" s="5">
        <f>IF(AND($A1413&gt;=DATE(2020,2,1),$A1413&lt;=DATE(2020,5,31)),$M1413,"")</f>
        <v/>
      </c>
      <c r="O1413" s="5">
        <f>IF(AND($A1413&gt;=DATE(2022,1,1),$A1413&lt;=DATE(2022,10,31)),$M1413,"")</f>
        <v/>
      </c>
      <c r="P1413" s="5">
        <f>IF(AND($A1413&gt;=DATE(2018,10,1),$A1413&lt;=DATE(2018,12,31)),$M1413,"")</f>
        <v/>
      </c>
      <c r="Q1413" s="5">
        <f>SUMPRODUCT(Exposures!$B$8:$K$8,B1413:K1413)</f>
        <v/>
      </c>
      <c r="R1413" s="5">
        <f>SUMPRODUCT(Exposures!$B$9:$K$9,B1413:K1413)</f>
        <v/>
      </c>
      <c r="S1413" s="5">
        <f>SUMPRODUCT(Exposures!$B$10:$K$10,B1413:K1413)</f>
        <v/>
      </c>
    </row>
    <row r="1414">
      <c r="A1414" s="1" t="n">
        <v>44508</v>
      </c>
      <c r="B1414" s="5" t="n">
        <v>0.0004832093023254933</v>
      </c>
      <c r="C1414" s="5" t="n">
        <v>0.001839817538048261</v>
      </c>
      <c r="D1414" s="5" t="n">
        <v>0.0005492251059754559</v>
      </c>
      <c r="E1414" s="5" t="n">
        <v>-0.001963225813553097</v>
      </c>
      <c r="F1414" s="5" t="n">
        <v>0.003485147405026573</v>
      </c>
      <c r="G1414" s="5" t="n">
        <v>0.0006235580574962609</v>
      </c>
      <c r="H1414" s="5" t="n">
        <v>0.002850589967921314</v>
      </c>
      <c r="I1414" s="5" t="n">
        <v>0.003272881139690839</v>
      </c>
      <c r="J1414" s="5" t="n">
        <v>0.001088414003522995</v>
      </c>
      <c r="K1414" s="5" t="n">
        <v>-0.0009294027740673845</v>
      </c>
      <c r="L1414" s="5" t="n">
        <v>-0.001934147784083685</v>
      </c>
      <c r="M1414" s="5">
        <f>SUMPRODUCT(Exposures!$B$6:$K$6,B1414:K1414)</f>
        <v/>
      </c>
      <c r="N1414" s="5">
        <f>IF(AND($A1414&gt;=DATE(2020,2,1),$A1414&lt;=DATE(2020,5,31)),$M1414,"")</f>
        <v/>
      </c>
      <c r="O1414" s="5">
        <f>IF(AND($A1414&gt;=DATE(2022,1,1),$A1414&lt;=DATE(2022,10,31)),$M1414,"")</f>
        <v/>
      </c>
      <c r="P1414" s="5">
        <f>IF(AND($A1414&gt;=DATE(2018,10,1),$A1414&lt;=DATE(2018,12,31)),$M1414,"")</f>
        <v/>
      </c>
      <c r="Q1414" s="5">
        <f>SUMPRODUCT(Exposures!$B$8:$K$8,B1414:K1414)</f>
        <v/>
      </c>
      <c r="R1414" s="5">
        <f>SUMPRODUCT(Exposures!$B$9:$K$9,B1414:K1414)</f>
        <v/>
      </c>
      <c r="S1414" s="5">
        <f>SUMPRODUCT(Exposures!$B$10:$K$10,B1414:K1414)</f>
        <v/>
      </c>
    </row>
    <row r="1415">
      <c r="A1415" s="1" t="n">
        <v>44509</v>
      </c>
      <c r="B1415" s="5" t="n">
        <v>0.0005683502309191186</v>
      </c>
      <c r="C1415" s="5" t="n">
        <v>-0.001696655217268346</v>
      </c>
      <c r="D1415" s="5" t="n">
        <v>-0.003028395721241085</v>
      </c>
      <c r="E1415" s="5" t="n">
        <v>0.003910385895804616</v>
      </c>
      <c r="F1415" s="5" t="n">
        <v>0.002002885695551581</v>
      </c>
      <c r="G1415" s="5" t="n">
        <v>0.001539203922376687</v>
      </c>
      <c r="H1415" s="5" t="n">
        <v>-0.003074055953446082</v>
      </c>
      <c r="I1415" s="5" t="n">
        <v>-6.295393224945789e-05</v>
      </c>
      <c r="J1415" s="5" t="n">
        <v>-0.003111795525000699</v>
      </c>
      <c r="K1415" s="5" t="n">
        <v>-0.00471576817969457</v>
      </c>
      <c r="L1415" s="5" t="n">
        <v>-0.003228188164434694</v>
      </c>
      <c r="M1415" s="5">
        <f>SUMPRODUCT(Exposures!$B$6:$K$6,B1415:K1415)</f>
        <v/>
      </c>
      <c r="N1415" s="5">
        <f>IF(AND($A1415&gt;=DATE(2020,2,1),$A1415&lt;=DATE(2020,5,31)),$M1415,"")</f>
        <v/>
      </c>
      <c r="O1415" s="5">
        <f>IF(AND($A1415&gt;=DATE(2022,1,1),$A1415&lt;=DATE(2022,10,31)),$M1415,"")</f>
        <v/>
      </c>
      <c r="P1415" s="5">
        <f>IF(AND($A1415&gt;=DATE(2018,10,1),$A1415&lt;=DATE(2018,12,31)),$M1415,"")</f>
        <v/>
      </c>
      <c r="Q1415" s="5">
        <f>SUMPRODUCT(Exposures!$B$8:$K$8,B1415:K1415)</f>
        <v/>
      </c>
      <c r="R1415" s="5">
        <f>SUMPRODUCT(Exposures!$B$9:$K$9,B1415:K1415)</f>
        <v/>
      </c>
      <c r="S1415" s="5">
        <f>SUMPRODUCT(Exposures!$B$10:$K$10,B1415:K1415)</f>
        <v/>
      </c>
    </row>
    <row r="1416">
      <c r="A1416" s="1" t="n">
        <v>44510</v>
      </c>
      <c r="B1416" s="5" t="n">
        <v>-0.005682964932644512</v>
      </c>
      <c r="C1416" s="5" t="n">
        <v>0.00158573268057681</v>
      </c>
      <c r="D1416" s="5" t="n">
        <v>-0.00397851594079118</v>
      </c>
      <c r="E1416" s="5" t="n">
        <v>0.00237415905367452</v>
      </c>
      <c r="F1416" s="5" t="n">
        <v>-0.0109713323702876</v>
      </c>
      <c r="G1416" s="5" t="n">
        <v>-0.009542957591336752</v>
      </c>
      <c r="H1416" s="5" t="n">
        <v>0.000607583739093582</v>
      </c>
      <c r="I1416" s="5" t="n">
        <v>-0.001724319409643774</v>
      </c>
      <c r="J1416" s="5" t="n">
        <v>-0.006164341039571215</v>
      </c>
      <c r="K1416" s="5" t="n">
        <v>0.01018612488836956</v>
      </c>
      <c r="L1416" s="5" t="n">
        <v>0.00497671460912746</v>
      </c>
      <c r="M1416" s="5">
        <f>SUMPRODUCT(Exposures!$B$6:$K$6,B1416:K1416)</f>
        <v/>
      </c>
      <c r="N1416" s="5">
        <f>IF(AND($A1416&gt;=DATE(2020,2,1),$A1416&lt;=DATE(2020,5,31)),$M1416,"")</f>
        <v/>
      </c>
      <c r="O1416" s="5">
        <f>IF(AND($A1416&gt;=DATE(2022,1,1),$A1416&lt;=DATE(2022,10,31)),$M1416,"")</f>
        <v/>
      </c>
      <c r="P1416" s="5">
        <f>IF(AND($A1416&gt;=DATE(2018,10,1),$A1416&lt;=DATE(2018,12,31)),$M1416,"")</f>
        <v/>
      </c>
      <c r="Q1416" s="5">
        <f>SUMPRODUCT(Exposures!$B$8:$K$8,B1416:K1416)</f>
        <v/>
      </c>
      <c r="R1416" s="5">
        <f>SUMPRODUCT(Exposures!$B$9:$K$9,B1416:K1416)</f>
        <v/>
      </c>
      <c r="S1416" s="5">
        <f>SUMPRODUCT(Exposures!$B$10:$K$10,B1416:K1416)</f>
        <v/>
      </c>
    </row>
    <row r="1417">
      <c r="A1417" s="1" t="n">
        <v>44511</v>
      </c>
      <c r="B1417" s="5" t="n">
        <v>0.0009513089713959547</v>
      </c>
      <c r="C1417" s="5" t="n">
        <v>0.0005073060757659245</v>
      </c>
      <c r="D1417" s="5" t="n">
        <v>-0.0005382596239631546</v>
      </c>
      <c r="E1417" s="5" t="n">
        <v>-0.003987850465937409</v>
      </c>
      <c r="F1417" s="5" t="n">
        <v>0.002950993833012932</v>
      </c>
      <c r="G1417" s="5" t="n">
        <v>0.005911994209296207</v>
      </c>
      <c r="H1417" s="5" t="n">
        <v>0.002526196252230924</v>
      </c>
      <c r="I1417" s="5" t="n">
        <v>-0.00222772071555228</v>
      </c>
      <c r="J1417" s="5" t="n">
        <v>0.008721170889947304</v>
      </c>
      <c r="K1417" s="5" t="n">
        <v>0.001905832405314746</v>
      </c>
      <c r="L1417" s="5" t="n">
        <v>0.002386223048566179</v>
      </c>
      <c r="M1417" s="5">
        <f>SUMPRODUCT(Exposures!$B$6:$K$6,B1417:K1417)</f>
        <v/>
      </c>
      <c r="N1417" s="5">
        <f>IF(AND($A1417&gt;=DATE(2020,2,1),$A1417&lt;=DATE(2020,5,31)),$M1417,"")</f>
        <v/>
      </c>
      <c r="O1417" s="5">
        <f>IF(AND($A1417&gt;=DATE(2022,1,1),$A1417&lt;=DATE(2022,10,31)),$M1417,"")</f>
        <v/>
      </c>
      <c r="P1417" s="5">
        <f>IF(AND($A1417&gt;=DATE(2018,10,1),$A1417&lt;=DATE(2018,12,31)),$M1417,"")</f>
        <v/>
      </c>
      <c r="Q1417" s="5">
        <f>SUMPRODUCT(Exposures!$B$8:$K$8,B1417:K1417)</f>
        <v/>
      </c>
      <c r="R1417" s="5">
        <f>SUMPRODUCT(Exposures!$B$9:$K$9,B1417:K1417)</f>
        <v/>
      </c>
      <c r="S1417" s="5">
        <f>SUMPRODUCT(Exposures!$B$10:$K$10,B1417:K1417)</f>
        <v/>
      </c>
    </row>
    <row r="1418">
      <c r="A1418" s="1" t="n">
        <v>44512</v>
      </c>
      <c r="B1418" s="5" t="n">
        <v>0.004940627805691908</v>
      </c>
      <c r="C1418" s="5" t="n">
        <v>0.004916609679719654</v>
      </c>
      <c r="D1418" s="5" t="n">
        <v>-7.808973920388009e-05</v>
      </c>
      <c r="E1418" s="5" t="n">
        <v>-0.0009513106880113115</v>
      </c>
      <c r="F1418" s="5" t="n">
        <v>0.002575449037670605</v>
      </c>
      <c r="G1418" s="5" t="n">
        <v>0.005793078606298551</v>
      </c>
      <c r="H1418" s="5" t="n">
        <v>-0.003109869134130923</v>
      </c>
      <c r="I1418" s="5" t="n">
        <v>0.001171623829306926</v>
      </c>
      <c r="J1418" s="5" t="n">
        <v>0.001163094235857427</v>
      </c>
      <c r="K1418" s="5" t="n">
        <v>-0.003483407789310406</v>
      </c>
      <c r="L1418" s="5" t="n">
        <v>-0.002562274774687601</v>
      </c>
      <c r="M1418" s="5">
        <f>SUMPRODUCT(Exposures!$B$6:$K$6,B1418:K1418)</f>
        <v/>
      </c>
      <c r="N1418" s="5">
        <f>IF(AND($A1418&gt;=DATE(2020,2,1),$A1418&lt;=DATE(2020,5,31)),$M1418,"")</f>
        <v/>
      </c>
      <c r="O1418" s="5">
        <f>IF(AND($A1418&gt;=DATE(2022,1,1),$A1418&lt;=DATE(2022,10,31)),$M1418,"")</f>
        <v/>
      </c>
      <c r="P1418" s="5">
        <f>IF(AND($A1418&gt;=DATE(2018,10,1),$A1418&lt;=DATE(2018,12,31)),$M1418,"")</f>
        <v/>
      </c>
      <c r="Q1418" s="5">
        <f>SUMPRODUCT(Exposures!$B$8:$K$8,B1418:K1418)</f>
        <v/>
      </c>
      <c r="R1418" s="5">
        <f>SUMPRODUCT(Exposures!$B$9:$K$9,B1418:K1418)</f>
        <v/>
      </c>
      <c r="S1418" s="5">
        <f>SUMPRODUCT(Exposures!$B$10:$K$10,B1418:K1418)</f>
        <v/>
      </c>
    </row>
    <row r="1419">
      <c r="A1419" s="1" t="n">
        <v>44515</v>
      </c>
      <c r="B1419" s="5" t="n">
        <v>-0.001939253057671415</v>
      </c>
      <c r="C1419" s="5" t="n">
        <v>-0.0008419644067030046</v>
      </c>
      <c r="D1419" s="5" t="n">
        <v>0.001718556521332796</v>
      </c>
      <c r="E1419" s="5" t="n">
        <v>-0.001522580210151473</v>
      </c>
      <c r="F1419" s="5" t="n">
        <v>-0.001723690541202052</v>
      </c>
      <c r="G1419" s="5" t="n">
        <v>-0.001116196261148503</v>
      </c>
      <c r="H1419" s="5" t="n">
        <v>0.0002442825886106343</v>
      </c>
      <c r="I1419" s="5" t="n">
        <v>-0.002211817384974994</v>
      </c>
      <c r="J1419" s="5" t="n">
        <v>-0.002174147212978813</v>
      </c>
      <c r="K1419" s="5" t="n">
        <v>0.00370016115167069</v>
      </c>
      <c r="L1419" s="5" t="n">
        <v>0.001938386485674211</v>
      </c>
      <c r="M1419" s="5">
        <f>SUMPRODUCT(Exposures!$B$6:$K$6,B1419:K1419)</f>
        <v/>
      </c>
      <c r="N1419" s="5">
        <f>IF(AND($A1419&gt;=DATE(2020,2,1),$A1419&lt;=DATE(2020,5,31)),$M1419,"")</f>
        <v/>
      </c>
      <c r="O1419" s="5">
        <f>IF(AND($A1419&gt;=DATE(2022,1,1),$A1419&lt;=DATE(2022,10,31)),$M1419,"")</f>
        <v/>
      </c>
      <c r="P1419" s="5">
        <f>IF(AND($A1419&gt;=DATE(2018,10,1),$A1419&lt;=DATE(2018,12,31)),$M1419,"")</f>
        <v/>
      </c>
      <c r="Q1419" s="5">
        <f>SUMPRODUCT(Exposures!$B$8:$K$8,B1419:K1419)</f>
        <v/>
      </c>
      <c r="R1419" s="5">
        <f>SUMPRODUCT(Exposures!$B$9:$K$9,B1419:K1419)</f>
        <v/>
      </c>
      <c r="S1419" s="5">
        <f>SUMPRODUCT(Exposures!$B$10:$K$10,B1419:K1419)</f>
        <v/>
      </c>
    </row>
    <row r="1420">
      <c r="A1420" s="1" t="n">
        <v>44516</v>
      </c>
      <c r="B1420" s="5" t="n">
        <v>0.002844181685489486</v>
      </c>
      <c r="C1420" s="5" t="n">
        <v>-0.0009345111139868315</v>
      </c>
      <c r="D1420" s="5" t="n">
        <v>-0.0002540913719626543</v>
      </c>
      <c r="E1420" s="5" t="n">
        <v>-0.002358798821146268</v>
      </c>
      <c r="F1420" s="5" t="n">
        <v>0.003011199570654302</v>
      </c>
      <c r="G1420" s="5" t="n">
        <v>-0.0005482320743943369</v>
      </c>
      <c r="H1420" s="5" t="n">
        <v>-0.0001617380566663901</v>
      </c>
      <c r="I1420" s="5" t="n">
        <v>-0.001441266303096591</v>
      </c>
      <c r="J1420" s="5" t="n">
        <v>-0.003008045980276484</v>
      </c>
      <c r="K1420" s="5" t="n">
        <v>-0.001220990675851692</v>
      </c>
      <c r="L1420" s="5" t="n">
        <v>-0.003399609002870586</v>
      </c>
      <c r="M1420" s="5">
        <f>SUMPRODUCT(Exposures!$B$6:$K$6,B1420:K1420)</f>
        <v/>
      </c>
      <c r="N1420" s="5">
        <f>IF(AND($A1420&gt;=DATE(2020,2,1),$A1420&lt;=DATE(2020,5,31)),$M1420,"")</f>
        <v/>
      </c>
      <c r="O1420" s="5">
        <f>IF(AND($A1420&gt;=DATE(2022,1,1),$A1420&lt;=DATE(2022,10,31)),$M1420,"")</f>
        <v/>
      </c>
      <c r="P1420" s="5">
        <f>IF(AND($A1420&gt;=DATE(2018,10,1),$A1420&lt;=DATE(2018,12,31)),$M1420,"")</f>
        <v/>
      </c>
      <c r="Q1420" s="5">
        <f>SUMPRODUCT(Exposures!$B$8:$K$8,B1420:K1420)</f>
        <v/>
      </c>
      <c r="R1420" s="5">
        <f>SUMPRODUCT(Exposures!$B$9:$K$9,B1420:K1420)</f>
        <v/>
      </c>
      <c r="S1420" s="5">
        <f>SUMPRODUCT(Exposures!$B$10:$K$10,B1420:K1420)</f>
        <v/>
      </c>
    </row>
    <row r="1421">
      <c r="A1421" s="1" t="n">
        <v>44517</v>
      </c>
      <c r="B1421" s="5" t="n">
        <v>-0.0003986925258093726</v>
      </c>
      <c r="C1421" s="5" t="n">
        <v>-0.003042793621004358</v>
      </c>
      <c r="D1421" s="5" t="n">
        <v>-0.001069311383830197</v>
      </c>
      <c r="E1421" s="5" t="n">
        <v>2.527663343581667e-05</v>
      </c>
      <c r="F1421" s="5" t="n">
        <v>0.008153737752248896</v>
      </c>
      <c r="G1421" s="5" t="n">
        <v>-0.009628441795406643</v>
      </c>
      <c r="H1421" s="5" t="n">
        <v>-0.0007545092990805007</v>
      </c>
      <c r="I1421" s="5" t="n">
        <v>0.001321754539290818</v>
      </c>
      <c r="J1421" s="5" t="n">
        <v>-0.009594119336302621</v>
      </c>
      <c r="K1421" s="5" t="n">
        <v>-0.009315080795636359</v>
      </c>
      <c r="L1421" s="5" t="n">
        <v>-0.00215686254136626</v>
      </c>
      <c r="M1421" s="5">
        <f>SUMPRODUCT(Exposures!$B$6:$K$6,B1421:K1421)</f>
        <v/>
      </c>
      <c r="N1421" s="5">
        <f>IF(AND($A1421&gt;=DATE(2020,2,1),$A1421&lt;=DATE(2020,5,31)),$M1421,"")</f>
        <v/>
      </c>
      <c r="O1421" s="5">
        <f>IF(AND($A1421&gt;=DATE(2022,1,1),$A1421&lt;=DATE(2022,10,31)),$M1421,"")</f>
        <v/>
      </c>
      <c r="P1421" s="5">
        <f>IF(AND($A1421&gt;=DATE(2018,10,1),$A1421&lt;=DATE(2018,12,31)),$M1421,"")</f>
        <v/>
      </c>
      <c r="Q1421" s="5">
        <f>SUMPRODUCT(Exposures!$B$8:$K$8,B1421:K1421)</f>
        <v/>
      </c>
      <c r="R1421" s="5">
        <f>SUMPRODUCT(Exposures!$B$9:$K$9,B1421:K1421)</f>
        <v/>
      </c>
      <c r="S1421" s="5">
        <f>SUMPRODUCT(Exposures!$B$10:$K$10,B1421:K1421)</f>
        <v/>
      </c>
    </row>
    <row r="1422">
      <c r="A1422" s="1" t="n">
        <v>44518</v>
      </c>
      <c r="B1422" s="5" t="n">
        <v>-0.002411616926399299</v>
      </c>
      <c r="C1422" s="5" t="n">
        <v>0.00192153575070799</v>
      </c>
      <c r="D1422" s="5" t="n">
        <v>0.004384842821582641</v>
      </c>
      <c r="E1422" s="5" t="n">
        <v>0.004059583604918177</v>
      </c>
      <c r="F1422" s="5" t="n">
        <v>0.009213462584095696</v>
      </c>
      <c r="G1422" s="5" t="n">
        <v>-0.004919467431146604</v>
      </c>
      <c r="H1422" s="5" t="n">
        <v>0.01046690878722241</v>
      </c>
      <c r="I1422" s="5" t="n">
        <v>0.001654316787506167</v>
      </c>
      <c r="J1422" s="5" t="n">
        <v>-0.01152510324900556</v>
      </c>
      <c r="K1422" s="5" t="n">
        <v>-0.01444602560828552</v>
      </c>
      <c r="L1422" s="5" t="n">
        <v>-0.003679278797316317</v>
      </c>
      <c r="M1422" s="5">
        <f>SUMPRODUCT(Exposures!$B$6:$K$6,B1422:K1422)</f>
        <v/>
      </c>
      <c r="N1422" s="5">
        <f>IF(AND($A1422&gt;=DATE(2020,2,1),$A1422&lt;=DATE(2020,5,31)),$M1422,"")</f>
        <v/>
      </c>
      <c r="O1422" s="5">
        <f>IF(AND($A1422&gt;=DATE(2022,1,1),$A1422&lt;=DATE(2022,10,31)),$M1422,"")</f>
        <v/>
      </c>
      <c r="P1422" s="5">
        <f>IF(AND($A1422&gt;=DATE(2018,10,1),$A1422&lt;=DATE(2018,12,31)),$M1422,"")</f>
        <v/>
      </c>
      <c r="Q1422" s="5">
        <f>SUMPRODUCT(Exposures!$B$8:$K$8,B1422:K1422)</f>
        <v/>
      </c>
      <c r="R1422" s="5">
        <f>SUMPRODUCT(Exposures!$B$9:$K$9,B1422:K1422)</f>
        <v/>
      </c>
      <c r="S1422" s="5">
        <f>SUMPRODUCT(Exposures!$B$10:$K$10,B1422:K1422)</f>
        <v/>
      </c>
    </row>
    <row r="1423">
      <c r="A1423" s="1" t="n">
        <v>44519</v>
      </c>
      <c r="B1423" s="5" t="n">
        <v>0.001549324746095225</v>
      </c>
      <c r="C1423" s="5" t="n">
        <v>0.001868545892711198</v>
      </c>
      <c r="D1423" s="5" t="n">
        <v>0.003073932402402283</v>
      </c>
      <c r="E1423" s="5" t="n">
        <v>0.001548117935949441</v>
      </c>
      <c r="F1423" s="5" t="n">
        <v>-0.00271265560241915</v>
      </c>
      <c r="G1423" s="5" t="n">
        <v>-0.006618619978521719</v>
      </c>
      <c r="H1423" s="5" t="n">
        <v>-0.004278514528101313</v>
      </c>
      <c r="I1423" s="5" t="n">
        <v>-0.0044494878015647</v>
      </c>
      <c r="J1423" s="5" t="n">
        <v>-0.003127158926822638</v>
      </c>
      <c r="K1423" s="5" t="n">
        <v>0.003214636792892222</v>
      </c>
      <c r="L1423" s="5" t="n">
        <v>-0.002119984134073324</v>
      </c>
      <c r="M1423" s="5">
        <f>SUMPRODUCT(Exposures!$B$6:$K$6,B1423:K1423)</f>
        <v/>
      </c>
      <c r="N1423" s="5">
        <f>IF(AND($A1423&gt;=DATE(2020,2,1),$A1423&lt;=DATE(2020,5,31)),$M1423,"")</f>
        <v/>
      </c>
      <c r="O1423" s="5">
        <f>IF(AND($A1423&gt;=DATE(2022,1,1),$A1423&lt;=DATE(2022,10,31)),$M1423,"")</f>
        <v/>
      </c>
      <c r="P1423" s="5">
        <f>IF(AND($A1423&gt;=DATE(2018,10,1),$A1423&lt;=DATE(2018,12,31)),$M1423,"")</f>
        <v/>
      </c>
      <c r="Q1423" s="5">
        <f>SUMPRODUCT(Exposures!$B$8:$K$8,B1423:K1423)</f>
        <v/>
      </c>
      <c r="R1423" s="5">
        <f>SUMPRODUCT(Exposures!$B$9:$K$9,B1423:K1423)</f>
        <v/>
      </c>
      <c r="S1423" s="5">
        <f>SUMPRODUCT(Exposures!$B$10:$K$10,B1423:K1423)</f>
        <v/>
      </c>
    </row>
    <row r="1424">
      <c r="A1424" s="1" t="n">
        <v>44522</v>
      </c>
      <c r="B1424" s="5" t="n">
        <v>-0.002784636342217152</v>
      </c>
      <c r="C1424" s="5" t="n">
        <v>4.161881471311709e-05</v>
      </c>
      <c r="D1424" s="5" t="n">
        <v>-0.004497937386281831</v>
      </c>
      <c r="E1424" s="5" t="n">
        <v>0.004255266189165017</v>
      </c>
      <c r="F1424" s="5" t="n">
        <v>-0.00439760236386282</v>
      </c>
      <c r="G1424" s="5" t="n">
        <v>-0.002054375726237254</v>
      </c>
      <c r="H1424" s="5" t="n">
        <v>0.006232420933541255</v>
      </c>
      <c r="I1424" s="5" t="n">
        <v>-0.004083880098702464</v>
      </c>
      <c r="J1424" s="5" t="n">
        <v>-0.004317356468742909</v>
      </c>
      <c r="K1424" s="5" t="n">
        <v>0.003566004521043032</v>
      </c>
      <c r="L1424" s="5" t="n">
        <v>0.003209559878293386</v>
      </c>
      <c r="M1424" s="5">
        <f>SUMPRODUCT(Exposures!$B$6:$K$6,B1424:K1424)</f>
        <v/>
      </c>
      <c r="N1424" s="5">
        <f>IF(AND($A1424&gt;=DATE(2020,2,1),$A1424&lt;=DATE(2020,5,31)),$M1424,"")</f>
        <v/>
      </c>
      <c r="O1424" s="5">
        <f>IF(AND($A1424&gt;=DATE(2022,1,1),$A1424&lt;=DATE(2022,10,31)),$M1424,"")</f>
        <v/>
      </c>
      <c r="P1424" s="5">
        <f>IF(AND($A1424&gt;=DATE(2018,10,1),$A1424&lt;=DATE(2018,12,31)),$M1424,"")</f>
        <v/>
      </c>
      <c r="Q1424" s="5">
        <f>SUMPRODUCT(Exposures!$B$8:$K$8,B1424:K1424)</f>
        <v/>
      </c>
      <c r="R1424" s="5">
        <f>SUMPRODUCT(Exposures!$B$9:$K$9,B1424:K1424)</f>
        <v/>
      </c>
      <c r="S1424" s="5">
        <f>SUMPRODUCT(Exposures!$B$10:$K$10,B1424:K1424)</f>
        <v/>
      </c>
    </row>
    <row r="1425">
      <c r="A1425" s="1" t="n">
        <v>44523</v>
      </c>
      <c r="B1425" s="5" t="n">
        <v>-0.0002333332893913235</v>
      </c>
      <c r="C1425" s="5" t="n">
        <v>0.001907543416617892</v>
      </c>
      <c r="D1425" s="5" t="n">
        <v>-0.002607144146208071</v>
      </c>
      <c r="E1425" s="5" t="n">
        <v>0.001487835383139341</v>
      </c>
      <c r="F1425" s="5" t="n">
        <v>-0.001238564087912158</v>
      </c>
      <c r="G1425" s="5" t="n">
        <v>-0.001419060964730847</v>
      </c>
      <c r="H1425" s="5" t="n">
        <v>0.003720960978995628</v>
      </c>
      <c r="I1425" s="5" t="n">
        <v>0.001174666157816496</v>
      </c>
      <c r="J1425" s="5" t="n">
        <v>-0.00473001563608447</v>
      </c>
      <c r="K1425" s="5" t="n">
        <v>0.001592906507011435</v>
      </c>
      <c r="L1425" s="5" t="n">
        <v>0.003772145433720412</v>
      </c>
      <c r="M1425" s="5">
        <f>SUMPRODUCT(Exposures!$B$6:$K$6,B1425:K1425)</f>
        <v/>
      </c>
      <c r="N1425" s="5">
        <f>IF(AND($A1425&gt;=DATE(2020,2,1),$A1425&lt;=DATE(2020,5,31)),$M1425,"")</f>
        <v/>
      </c>
      <c r="O1425" s="5">
        <f>IF(AND($A1425&gt;=DATE(2022,1,1),$A1425&lt;=DATE(2022,10,31)),$M1425,"")</f>
        <v/>
      </c>
      <c r="P1425" s="5">
        <f>IF(AND($A1425&gt;=DATE(2018,10,1),$A1425&lt;=DATE(2018,12,31)),$M1425,"")</f>
        <v/>
      </c>
      <c r="Q1425" s="5">
        <f>SUMPRODUCT(Exposures!$B$8:$K$8,B1425:K1425)</f>
        <v/>
      </c>
      <c r="R1425" s="5">
        <f>SUMPRODUCT(Exposures!$B$9:$K$9,B1425:K1425)</f>
        <v/>
      </c>
      <c r="S1425" s="5">
        <f>SUMPRODUCT(Exposures!$B$10:$K$10,B1425:K1425)</f>
        <v/>
      </c>
    </row>
    <row r="1426">
      <c r="A1426" s="1" t="n">
        <v>44524</v>
      </c>
      <c r="B1426" s="5" t="n">
        <v>-0.001750322977770801</v>
      </c>
      <c r="C1426" s="5" t="n">
        <v>0.0002316553391527178</v>
      </c>
      <c r="D1426" s="5" t="n">
        <v>0.001627971736874012</v>
      </c>
      <c r="E1426" s="5" t="n">
        <v>0.0001708940167878599</v>
      </c>
      <c r="F1426" s="5" t="n">
        <v>0.002662021017461876</v>
      </c>
      <c r="G1426" s="5" t="n">
        <v>-0.0001144321165676551</v>
      </c>
      <c r="H1426" s="5" t="n">
        <v>0.0009191973633425853</v>
      </c>
      <c r="I1426" s="5" t="n">
        <v>-0.0007910837853890495</v>
      </c>
      <c r="J1426" s="5" t="n">
        <v>0.005031076158453041</v>
      </c>
      <c r="K1426" s="5" t="n">
        <v>0.000586821925506279</v>
      </c>
      <c r="L1426" s="5" t="n">
        <v>-0.0002033674705306426</v>
      </c>
      <c r="M1426" s="5">
        <f>SUMPRODUCT(Exposures!$B$6:$K$6,B1426:K1426)</f>
        <v/>
      </c>
      <c r="N1426" s="5">
        <f>IF(AND($A1426&gt;=DATE(2020,2,1),$A1426&lt;=DATE(2020,5,31)),$M1426,"")</f>
        <v/>
      </c>
      <c r="O1426" s="5">
        <f>IF(AND($A1426&gt;=DATE(2022,1,1),$A1426&lt;=DATE(2022,10,31)),$M1426,"")</f>
        <v/>
      </c>
      <c r="P1426" s="5">
        <f>IF(AND($A1426&gt;=DATE(2018,10,1),$A1426&lt;=DATE(2018,12,31)),$M1426,"")</f>
        <v/>
      </c>
      <c r="Q1426" s="5">
        <f>SUMPRODUCT(Exposures!$B$8:$K$8,B1426:K1426)</f>
        <v/>
      </c>
      <c r="R1426" s="5">
        <f>SUMPRODUCT(Exposures!$B$9:$K$9,B1426:K1426)</f>
        <v/>
      </c>
      <c r="S1426" s="5">
        <f>SUMPRODUCT(Exposures!$B$10:$K$10,B1426:K1426)</f>
        <v/>
      </c>
    </row>
    <row r="1427">
      <c r="A1427" s="1" t="n">
        <v>44526</v>
      </c>
      <c r="B1427" s="5" t="n">
        <v>-0.006723161913365985</v>
      </c>
      <c r="C1427" s="5" t="n">
        <v>0.001972240199061569</v>
      </c>
      <c r="D1427" s="5" t="n">
        <v>0.002727827948869325</v>
      </c>
      <c r="E1427" s="5" t="n">
        <v>-0.0008085372557354517</v>
      </c>
      <c r="F1427" s="5" t="n">
        <v>0.001824846916279648</v>
      </c>
      <c r="G1427" s="5" t="n">
        <v>-0.02377929101209318</v>
      </c>
      <c r="H1427" s="5" t="n">
        <v>-0.001554988990971703</v>
      </c>
      <c r="I1427" s="5" t="n">
        <v>0.00126538506946739</v>
      </c>
      <c r="J1427" s="5" t="n">
        <v>-0.002130890591163329</v>
      </c>
      <c r="K1427" s="5" t="n">
        <v>-0.004520510702229624</v>
      </c>
      <c r="L1427" s="5" t="n">
        <v>-0.004338022650295932</v>
      </c>
      <c r="M1427" s="5">
        <f>SUMPRODUCT(Exposures!$B$6:$K$6,B1427:K1427)</f>
        <v/>
      </c>
      <c r="N1427" s="5">
        <f>IF(AND($A1427&gt;=DATE(2020,2,1),$A1427&lt;=DATE(2020,5,31)),$M1427,"")</f>
        <v/>
      </c>
      <c r="O1427" s="5">
        <f>IF(AND($A1427&gt;=DATE(2022,1,1),$A1427&lt;=DATE(2022,10,31)),$M1427,"")</f>
        <v/>
      </c>
      <c r="P1427" s="5">
        <f>IF(AND($A1427&gt;=DATE(2018,10,1),$A1427&lt;=DATE(2018,12,31)),$M1427,"")</f>
        <v/>
      </c>
      <c r="Q1427" s="5">
        <f>SUMPRODUCT(Exposures!$B$8:$K$8,B1427:K1427)</f>
        <v/>
      </c>
      <c r="R1427" s="5">
        <f>SUMPRODUCT(Exposures!$B$9:$K$9,B1427:K1427)</f>
        <v/>
      </c>
      <c r="S1427" s="5">
        <f>SUMPRODUCT(Exposures!$B$10:$K$10,B1427:K1427)</f>
        <v/>
      </c>
    </row>
    <row r="1428">
      <c r="A1428" s="1" t="n">
        <v>44529</v>
      </c>
      <c r="B1428" s="5" t="n">
        <v>0.00591369317267567</v>
      </c>
      <c r="C1428" s="5" t="n">
        <v>0.001884240721858802</v>
      </c>
      <c r="D1428" s="5" t="n">
        <v>-0.0008083312851627166</v>
      </c>
      <c r="E1428" s="5" t="n">
        <v>-0.001805845731426519</v>
      </c>
      <c r="F1428" s="5" t="n">
        <v>0.004102000648177751</v>
      </c>
      <c r="G1428" s="5" t="n">
        <v>0.001346538511924046</v>
      </c>
      <c r="H1428" s="5" t="n">
        <v>0.00324410322260551</v>
      </c>
      <c r="I1428" s="5" t="n">
        <v>0.001901938295035041</v>
      </c>
      <c r="J1428" s="5" t="n">
        <v>-0.008600922390046752</v>
      </c>
      <c r="K1428" s="5" t="n">
        <v>-0.002617665377102321</v>
      </c>
      <c r="L1428" s="5" t="n">
        <v>-0.003967676808528079</v>
      </c>
      <c r="M1428" s="5">
        <f>SUMPRODUCT(Exposures!$B$6:$K$6,B1428:K1428)</f>
        <v/>
      </c>
      <c r="N1428" s="5">
        <f>IF(AND($A1428&gt;=DATE(2020,2,1),$A1428&lt;=DATE(2020,5,31)),$M1428,"")</f>
        <v/>
      </c>
      <c r="O1428" s="5">
        <f>IF(AND($A1428&gt;=DATE(2022,1,1),$A1428&lt;=DATE(2022,10,31)),$M1428,"")</f>
        <v/>
      </c>
      <c r="P1428" s="5">
        <f>IF(AND($A1428&gt;=DATE(2018,10,1),$A1428&lt;=DATE(2018,12,31)),$M1428,"")</f>
        <v/>
      </c>
      <c r="Q1428" s="5">
        <f>SUMPRODUCT(Exposures!$B$8:$K$8,B1428:K1428)</f>
        <v/>
      </c>
      <c r="R1428" s="5">
        <f>SUMPRODUCT(Exposures!$B$9:$K$9,B1428:K1428)</f>
        <v/>
      </c>
      <c r="S1428" s="5">
        <f>SUMPRODUCT(Exposures!$B$10:$K$10,B1428:K1428)</f>
        <v/>
      </c>
    </row>
    <row r="1429">
      <c r="A1429" s="1" t="n">
        <v>44530</v>
      </c>
      <c r="B1429" s="5" t="n">
        <v>0.001754776596652089</v>
      </c>
      <c r="C1429" s="5" t="n">
        <v>0.001657516500587908</v>
      </c>
      <c r="D1429" s="5" t="n">
        <v>0.001646150884226644</v>
      </c>
      <c r="E1429" s="5" t="n">
        <v>0.001106244420032643</v>
      </c>
      <c r="F1429" s="5" t="n">
        <v>-0.003800304644862359</v>
      </c>
      <c r="G1429" s="5" t="n">
        <v>-0.02490919367874369</v>
      </c>
      <c r="H1429" s="5" t="n">
        <v>-0.004546907984380644</v>
      </c>
      <c r="I1429" s="5" t="n">
        <v>0.0007787498748793369</v>
      </c>
      <c r="J1429" s="5" t="n">
        <v>-0.002145000112825688</v>
      </c>
      <c r="K1429" s="5" t="n">
        <v>0.00309586269555895</v>
      </c>
      <c r="L1429" s="5" t="n">
        <v>-0.002412646459150565</v>
      </c>
      <c r="M1429" s="5">
        <f>SUMPRODUCT(Exposures!$B$6:$K$6,B1429:K1429)</f>
        <v/>
      </c>
      <c r="N1429" s="5">
        <f>IF(AND($A1429&gt;=DATE(2020,2,1),$A1429&lt;=DATE(2020,5,31)),$M1429,"")</f>
        <v/>
      </c>
      <c r="O1429" s="5">
        <f>IF(AND($A1429&gt;=DATE(2022,1,1),$A1429&lt;=DATE(2022,10,31)),$M1429,"")</f>
        <v/>
      </c>
      <c r="P1429" s="5">
        <f>IF(AND($A1429&gt;=DATE(2018,10,1),$A1429&lt;=DATE(2018,12,31)),$M1429,"")</f>
        <v/>
      </c>
      <c r="Q1429" s="5">
        <f>SUMPRODUCT(Exposures!$B$8:$K$8,B1429:K1429)</f>
        <v/>
      </c>
      <c r="R1429" s="5">
        <f>SUMPRODUCT(Exposures!$B$9:$K$9,B1429:K1429)</f>
        <v/>
      </c>
      <c r="S1429" s="5">
        <f>SUMPRODUCT(Exposures!$B$10:$K$10,B1429:K1429)</f>
        <v/>
      </c>
    </row>
    <row r="1430">
      <c r="A1430" s="1" t="n">
        <v>44531</v>
      </c>
      <c r="B1430" s="5" t="n">
        <v>0.001884196676649653</v>
      </c>
      <c r="C1430" s="5" t="n">
        <v>0.002979363384292907</v>
      </c>
      <c r="D1430" s="5" t="n">
        <v>-0.001744540613840391</v>
      </c>
      <c r="E1430" s="5" t="n">
        <v>0.00303921544211726</v>
      </c>
      <c r="F1430" s="5" t="n">
        <v>-0.00462940733327586</v>
      </c>
      <c r="G1430" s="5" t="n">
        <v>-0.01902903814005189</v>
      </c>
      <c r="H1430" s="5" t="n">
        <v>-0.002817586669614433</v>
      </c>
      <c r="I1430" s="5" t="n">
        <v>0.004526010021507012</v>
      </c>
      <c r="J1430" s="5" t="n">
        <v>-0.01470525175630988</v>
      </c>
      <c r="K1430" s="5" t="n">
        <v>-0.001733327033145294</v>
      </c>
      <c r="L1430" s="5" t="n">
        <v>-0.002203956384366416</v>
      </c>
      <c r="M1430" s="5">
        <f>SUMPRODUCT(Exposures!$B$6:$K$6,B1430:K1430)</f>
        <v/>
      </c>
      <c r="N1430" s="5">
        <f>IF(AND($A1430&gt;=DATE(2020,2,1),$A1430&lt;=DATE(2020,5,31)),$M1430,"")</f>
        <v/>
      </c>
      <c r="O1430" s="5">
        <f>IF(AND($A1430&gt;=DATE(2022,1,1),$A1430&lt;=DATE(2022,10,31)),$M1430,"")</f>
        <v/>
      </c>
      <c r="P1430" s="5">
        <f>IF(AND($A1430&gt;=DATE(2018,10,1),$A1430&lt;=DATE(2018,12,31)),$M1430,"")</f>
        <v/>
      </c>
      <c r="Q1430" s="5">
        <f>SUMPRODUCT(Exposures!$B$8:$K$8,B1430:K1430)</f>
        <v/>
      </c>
      <c r="R1430" s="5">
        <f>SUMPRODUCT(Exposures!$B$9:$K$9,B1430:K1430)</f>
        <v/>
      </c>
      <c r="S1430" s="5">
        <f>SUMPRODUCT(Exposures!$B$10:$K$10,B1430:K1430)</f>
        <v/>
      </c>
    </row>
    <row r="1431">
      <c r="A1431" s="1" t="n">
        <v>44532</v>
      </c>
      <c r="B1431" s="5" t="n">
        <v>0.00157453468736289</v>
      </c>
      <c r="C1431" s="5" t="n">
        <v>-0.003212737763026208</v>
      </c>
      <c r="D1431" s="5" t="n">
        <v>0.001605067468573931</v>
      </c>
      <c r="E1431" s="5" t="n">
        <v>0.003051860491589546</v>
      </c>
      <c r="F1431" s="5" t="n">
        <v>-0.002261079799206305</v>
      </c>
      <c r="G1431" s="5" t="n">
        <v>0.02368944141750381</v>
      </c>
      <c r="H1431" s="5" t="n">
        <v>0.0029499732354717</v>
      </c>
      <c r="I1431" s="5" t="n">
        <v>-0.0010322798347804</v>
      </c>
      <c r="J1431" s="5" t="n">
        <v>-0.003145802875280976</v>
      </c>
      <c r="K1431" s="5" t="n">
        <v>-0.001708285818292067</v>
      </c>
      <c r="L1431" s="5" t="n">
        <v>0.0008276270622039564</v>
      </c>
      <c r="M1431" s="5">
        <f>SUMPRODUCT(Exposures!$B$6:$K$6,B1431:K1431)</f>
        <v/>
      </c>
      <c r="N1431" s="5">
        <f>IF(AND($A1431&gt;=DATE(2020,2,1),$A1431&lt;=DATE(2020,5,31)),$M1431,"")</f>
        <v/>
      </c>
      <c r="O1431" s="5">
        <f>IF(AND($A1431&gt;=DATE(2022,1,1),$A1431&lt;=DATE(2022,10,31)),$M1431,"")</f>
        <v/>
      </c>
      <c r="P1431" s="5">
        <f>IF(AND($A1431&gt;=DATE(2018,10,1),$A1431&lt;=DATE(2018,12,31)),$M1431,"")</f>
        <v/>
      </c>
      <c r="Q1431" s="5">
        <f>SUMPRODUCT(Exposures!$B$8:$K$8,B1431:K1431)</f>
        <v/>
      </c>
      <c r="R1431" s="5">
        <f>SUMPRODUCT(Exposures!$B$9:$K$9,B1431:K1431)</f>
        <v/>
      </c>
      <c r="S1431" s="5">
        <f>SUMPRODUCT(Exposures!$B$10:$K$10,B1431:K1431)</f>
        <v/>
      </c>
    </row>
    <row r="1432">
      <c r="A1432" s="1" t="n">
        <v>44533</v>
      </c>
      <c r="B1432" s="5" t="n">
        <v>-0.002172831061158389</v>
      </c>
      <c r="C1432" s="5" t="n">
        <v>-0.0008170955668316858</v>
      </c>
      <c r="D1432" s="5" t="n">
        <v>0.009891285940424764</v>
      </c>
      <c r="E1432" s="5" t="n">
        <v>0.002071223973508137</v>
      </c>
      <c r="F1432" s="5" t="n">
        <v>0.008827189871406087</v>
      </c>
      <c r="G1432" s="5" t="n">
        <v>-0.01574517787502312</v>
      </c>
      <c r="H1432" s="5" t="n">
        <v>-0.002570664632810772</v>
      </c>
      <c r="I1432" s="5" t="n">
        <v>0.00219887354207379</v>
      </c>
      <c r="J1432" s="5" t="n">
        <v>-0.02165927780069497</v>
      </c>
      <c r="K1432" s="5" t="n">
        <v>-0.01795698978233453</v>
      </c>
      <c r="L1432" s="5" t="n">
        <v>-0.002927235854943076</v>
      </c>
      <c r="M1432" s="5">
        <f>SUMPRODUCT(Exposures!$B$6:$K$6,B1432:K1432)</f>
        <v/>
      </c>
      <c r="N1432" s="5">
        <f>IF(AND($A1432&gt;=DATE(2020,2,1),$A1432&lt;=DATE(2020,5,31)),$M1432,"")</f>
        <v/>
      </c>
      <c r="O1432" s="5">
        <f>IF(AND($A1432&gt;=DATE(2022,1,1),$A1432&lt;=DATE(2022,10,31)),$M1432,"")</f>
        <v/>
      </c>
      <c r="P1432" s="5">
        <f>IF(AND($A1432&gt;=DATE(2018,10,1),$A1432&lt;=DATE(2018,12,31)),$M1432,"")</f>
        <v/>
      </c>
      <c r="Q1432" s="5">
        <f>SUMPRODUCT(Exposures!$B$8:$K$8,B1432:K1432)</f>
        <v/>
      </c>
      <c r="R1432" s="5">
        <f>SUMPRODUCT(Exposures!$B$9:$K$9,B1432:K1432)</f>
        <v/>
      </c>
      <c r="S1432" s="5">
        <f>SUMPRODUCT(Exposures!$B$10:$K$10,B1432:K1432)</f>
        <v/>
      </c>
    </row>
    <row r="1433">
      <c r="A1433" s="1" t="n">
        <v>44536</v>
      </c>
      <c r="B1433" s="5" t="n">
        <v>0.002937962604305859</v>
      </c>
      <c r="C1433" s="5" t="n">
        <v>-0.002276868365016416</v>
      </c>
      <c r="D1433" s="5" t="n">
        <v>-0.006085728250593722</v>
      </c>
      <c r="E1433" s="5" t="n">
        <v>0.00151909540241989</v>
      </c>
      <c r="F1433" s="5" t="n">
        <v>0.01181326251371279</v>
      </c>
      <c r="G1433" s="5" t="n">
        <v>0.01467368664755156</v>
      </c>
      <c r="H1433" s="5" t="n">
        <v>-0.00730579670261641</v>
      </c>
      <c r="I1433" s="5" t="n">
        <v>-0.004758171064842078</v>
      </c>
      <c r="J1433" s="5" t="n">
        <v>0.00087602857431795</v>
      </c>
      <c r="K1433" s="5" t="n">
        <v>-0.00460694346908633</v>
      </c>
      <c r="L1433" s="5" t="n">
        <v>0.005394917937327313</v>
      </c>
      <c r="M1433" s="5">
        <f>SUMPRODUCT(Exposures!$B$6:$K$6,B1433:K1433)</f>
        <v/>
      </c>
      <c r="N1433" s="5">
        <f>IF(AND($A1433&gt;=DATE(2020,2,1),$A1433&lt;=DATE(2020,5,31)),$M1433,"")</f>
        <v/>
      </c>
      <c r="O1433" s="5">
        <f>IF(AND($A1433&gt;=DATE(2022,1,1),$A1433&lt;=DATE(2022,10,31)),$M1433,"")</f>
        <v/>
      </c>
      <c r="P1433" s="5">
        <f>IF(AND($A1433&gt;=DATE(2018,10,1),$A1433&lt;=DATE(2018,12,31)),$M1433,"")</f>
        <v/>
      </c>
      <c r="Q1433" s="5">
        <f>SUMPRODUCT(Exposures!$B$8:$K$8,B1433:K1433)</f>
        <v/>
      </c>
      <c r="R1433" s="5">
        <f>SUMPRODUCT(Exposures!$B$9:$K$9,B1433:K1433)</f>
        <v/>
      </c>
      <c r="S1433" s="5">
        <f>SUMPRODUCT(Exposures!$B$10:$K$10,B1433:K1433)</f>
        <v/>
      </c>
    </row>
    <row r="1434">
      <c r="A1434" s="1" t="n">
        <v>44537</v>
      </c>
      <c r="B1434" s="5" t="n">
        <v>0.007039208449235341</v>
      </c>
      <c r="C1434" s="5" t="n">
        <v>0.002854066473069938</v>
      </c>
      <c r="D1434" s="5" t="n">
        <v>-0.001028364459896499</v>
      </c>
      <c r="E1434" s="5" t="n">
        <v>-0.004857509365153481</v>
      </c>
      <c r="F1434" s="5" t="n">
        <v>0.003025013889195754</v>
      </c>
      <c r="G1434" s="5" t="n">
        <v>0.01955887750742836</v>
      </c>
      <c r="H1434" s="5" t="n">
        <v>0.002379646218379959</v>
      </c>
      <c r="I1434" s="5" t="n">
        <v>0.001272518224669315</v>
      </c>
      <c r="J1434" s="5" t="n">
        <v>0.005521227412846483</v>
      </c>
      <c r="K1434" s="5" t="n">
        <v>-0.0004922117751893973</v>
      </c>
      <c r="L1434" s="5" t="n">
        <v>-0.001171862369055516</v>
      </c>
      <c r="M1434" s="5">
        <f>SUMPRODUCT(Exposures!$B$6:$K$6,B1434:K1434)</f>
        <v/>
      </c>
      <c r="N1434" s="5">
        <f>IF(AND($A1434&gt;=DATE(2020,2,1),$A1434&lt;=DATE(2020,5,31)),$M1434,"")</f>
        <v/>
      </c>
      <c r="O1434" s="5">
        <f>IF(AND($A1434&gt;=DATE(2022,1,1),$A1434&lt;=DATE(2022,10,31)),$M1434,"")</f>
        <v/>
      </c>
      <c r="P1434" s="5">
        <f>IF(AND($A1434&gt;=DATE(2018,10,1),$A1434&lt;=DATE(2018,12,31)),$M1434,"")</f>
        <v/>
      </c>
      <c r="Q1434" s="5">
        <f>SUMPRODUCT(Exposures!$B$8:$K$8,B1434:K1434)</f>
        <v/>
      </c>
      <c r="R1434" s="5">
        <f>SUMPRODUCT(Exposures!$B$9:$K$9,B1434:K1434)</f>
        <v/>
      </c>
      <c r="S1434" s="5">
        <f>SUMPRODUCT(Exposures!$B$10:$K$10,B1434:K1434)</f>
        <v/>
      </c>
    </row>
    <row r="1435">
      <c r="A1435" s="1" t="n">
        <v>44538</v>
      </c>
      <c r="B1435" s="5" t="n">
        <v>0.004301568580570589</v>
      </c>
      <c r="C1435" s="5" t="n">
        <v>-0.001569258275868082</v>
      </c>
      <c r="D1435" s="5" t="n">
        <v>0.0004147426456142984</v>
      </c>
      <c r="E1435" s="5" t="n">
        <v>-0.001058028419897843</v>
      </c>
      <c r="F1435" s="5" t="n">
        <v>0.005471225703917151</v>
      </c>
      <c r="G1435" s="5" t="n">
        <v>0.004065617736021616</v>
      </c>
      <c r="H1435" s="5" t="n">
        <v>-0.004077262542169962</v>
      </c>
      <c r="I1435" s="5" t="n">
        <v>0.0007940483280522498</v>
      </c>
      <c r="J1435" s="5" t="n">
        <v>-0.0008075319223444287</v>
      </c>
      <c r="K1435" s="5" t="n">
        <v>-0.007342098098535416</v>
      </c>
      <c r="L1435" s="5" t="n">
        <v>-0.0006041691027549764</v>
      </c>
      <c r="M1435" s="5">
        <f>SUMPRODUCT(Exposures!$B$6:$K$6,B1435:K1435)</f>
        <v/>
      </c>
      <c r="N1435" s="5">
        <f>IF(AND($A1435&gt;=DATE(2020,2,1),$A1435&lt;=DATE(2020,5,31)),$M1435,"")</f>
        <v/>
      </c>
      <c r="O1435" s="5">
        <f>IF(AND($A1435&gt;=DATE(2022,1,1),$A1435&lt;=DATE(2022,10,31)),$M1435,"")</f>
        <v/>
      </c>
      <c r="P1435" s="5">
        <f>IF(AND($A1435&gt;=DATE(2018,10,1),$A1435&lt;=DATE(2018,12,31)),$M1435,"")</f>
        <v/>
      </c>
      <c r="Q1435" s="5">
        <f>SUMPRODUCT(Exposures!$B$8:$K$8,B1435:K1435)</f>
        <v/>
      </c>
      <c r="R1435" s="5">
        <f>SUMPRODUCT(Exposures!$B$9:$K$9,B1435:K1435)</f>
        <v/>
      </c>
      <c r="S1435" s="5">
        <f>SUMPRODUCT(Exposures!$B$10:$K$10,B1435:K1435)</f>
        <v/>
      </c>
    </row>
    <row r="1436">
      <c r="A1436" s="1" t="n">
        <v>44539</v>
      </c>
      <c r="B1436" s="5" t="n">
        <v>-0.004065817854940293</v>
      </c>
      <c r="C1436" s="5" t="n">
        <v>0.0004029795701105614</v>
      </c>
      <c r="D1436" s="5" t="n">
        <v>-0.007230192923671009</v>
      </c>
      <c r="E1436" s="5" t="n">
        <v>0.0013089026081534</v>
      </c>
      <c r="F1436" s="5" t="n">
        <v>-0.004851867988490561</v>
      </c>
      <c r="G1436" s="5" t="n">
        <v>-0.01206541461638455</v>
      </c>
      <c r="H1436" s="5" t="n">
        <v>0.002020564109174215</v>
      </c>
      <c r="I1436" s="5" t="n">
        <v>-0.0009078973883135792</v>
      </c>
      <c r="J1436" s="5" t="n">
        <v>-0.00278419770583208</v>
      </c>
      <c r="K1436" s="5" t="n">
        <v>0.007155661865724692</v>
      </c>
      <c r="L1436" s="5" t="n">
        <v>0.004216164604547067</v>
      </c>
      <c r="M1436" s="5">
        <f>SUMPRODUCT(Exposures!$B$6:$K$6,B1436:K1436)</f>
        <v/>
      </c>
      <c r="N1436" s="5">
        <f>IF(AND($A1436&gt;=DATE(2020,2,1),$A1436&lt;=DATE(2020,5,31)),$M1436,"")</f>
        <v/>
      </c>
      <c r="O1436" s="5">
        <f>IF(AND($A1436&gt;=DATE(2022,1,1),$A1436&lt;=DATE(2022,10,31)),$M1436,"")</f>
        <v/>
      </c>
      <c r="P1436" s="5">
        <f>IF(AND($A1436&gt;=DATE(2018,10,1),$A1436&lt;=DATE(2018,12,31)),$M1436,"")</f>
        <v/>
      </c>
      <c r="Q1436" s="5">
        <f>SUMPRODUCT(Exposures!$B$8:$K$8,B1436:K1436)</f>
        <v/>
      </c>
      <c r="R1436" s="5">
        <f>SUMPRODUCT(Exposures!$B$9:$K$9,B1436:K1436)</f>
        <v/>
      </c>
      <c r="S1436" s="5">
        <f>SUMPRODUCT(Exposures!$B$10:$K$10,B1436:K1436)</f>
        <v/>
      </c>
    </row>
    <row r="1437">
      <c r="A1437" s="1" t="n">
        <v>44540</v>
      </c>
      <c r="B1437" s="5" t="n">
        <v>0.0001924442941973509</v>
      </c>
      <c r="C1437" s="5" t="n">
        <v>0.001653784387557562</v>
      </c>
      <c r="D1437" s="5" t="n">
        <v>-0.007101477547562552</v>
      </c>
      <c r="E1437" s="5" t="n">
        <v>-0.001553491314751574</v>
      </c>
      <c r="F1437" s="5" t="n">
        <v>-0.007112130989401428</v>
      </c>
      <c r="G1437" s="5" t="n">
        <v>0.0006391637186142743</v>
      </c>
      <c r="H1437" s="5" t="n">
        <v>0.003881846266537554</v>
      </c>
      <c r="I1437" s="5" t="n">
        <v>-0.002825499754495136</v>
      </c>
      <c r="J1437" s="5" t="n">
        <v>-0.004740207676556988</v>
      </c>
      <c r="K1437" s="5" t="n">
        <v>0.01141548111859062</v>
      </c>
      <c r="L1437" s="5" t="n">
        <v>-0.0005017764243230799</v>
      </c>
      <c r="M1437" s="5">
        <f>SUMPRODUCT(Exposures!$B$6:$K$6,B1437:K1437)</f>
        <v/>
      </c>
      <c r="N1437" s="5">
        <f>IF(AND($A1437&gt;=DATE(2020,2,1),$A1437&lt;=DATE(2020,5,31)),$M1437,"")</f>
        <v/>
      </c>
      <c r="O1437" s="5">
        <f>IF(AND($A1437&gt;=DATE(2022,1,1),$A1437&lt;=DATE(2022,10,31)),$M1437,"")</f>
        <v/>
      </c>
      <c r="P1437" s="5">
        <f>IF(AND($A1437&gt;=DATE(2018,10,1),$A1437&lt;=DATE(2018,12,31)),$M1437,"")</f>
        <v/>
      </c>
      <c r="Q1437" s="5">
        <f>SUMPRODUCT(Exposures!$B$8:$K$8,B1437:K1437)</f>
        <v/>
      </c>
      <c r="R1437" s="5">
        <f>SUMPRODUCT(Exposures!$B$9:$K$9,B1437:K1437)</f>
        <v/>
      </c>
      <c r="S1437" s="5">
        <f>SUMPRODUCT(Exposures!$B$10:$K$10,B1437:K1437)</f>
        <v/>
      </c>
    </row>
    <row r="1438">
      <c r="A1438" s="1" t="n">
        <v>44543</v>
      </c>
      <c r="B1438" s="5" t="n">
        <v>-0.0095569973588074</v>
      </c>
      <c r="C1438" s="5" t="n">
        <v>-0.0008725367961049868</v>
      </c>
      <c r="D1438" s="5" t="n">
        <v>0.002597385894364909</v>
      </c>
      <c r="E1438" s="5" t="n">
        <v>-0.002357644048710342</v>
      </c>
      <c r="F1438" s="5" t="n">
        <v>-0.00593891348158612</v>
      </c>
      <c r="G1438" s="5" t="n">
        <v>-0.01080042777224019</v>
      </c>
      <c r="H1438" s="5" t="n">
        <v>-0.003590599167408345</v>
      </c>
      <c r="I1438" s="5" t="n">
        <v>0.0008671701975374124</v>
      </c>
      <c r="J1438" s="5" t="n">
        <v>-0.006880921117300317</v>
      </c>
      <c r="K1438" s="5" t="n">
        <v>0.00276565804884525</v>
      </c>
      <c r="L1438" s="5" t="n">
        <v>-0.0003152654371977289</v>
      </c>
      <c r="M1438" s="5">
        <f>SUMPRODUCT(Exposures!$B$6:$K$6,B1438:K1438)</f>
        <v/>
      </c>
      <c r="N1438" s="5">
        <f>IF(AND($A1438&gt;=DATE(2020,2,1),$A1438&lt;=DATE(2020,5,31)),$M1438,"")</f>
        <v/>
      </c>
      <c r="O1438" s="5">
        <f>IF(AND($A1438&gt;=DATE(2022,1,1),$A1438&lt;=DATE(2022,10,31)),$M1438,"")</f>
        <v/>
      </c>
      <c r="P1438" s="5">
        <f>IF(AND($A1438&gt;=DATE(2018,10,1),$A1438&lt;=DATE(2018,12,31)),$M1438,"")</f>
        <v/>
      </c>
      <c r="Q1438" s="5">
        <f>SUMPRODUCT(Exposures!$B$8:$K$8,B1438:K1438)</f>
        <v/>
      </c>
      <c r="R1438" s="5">
        <f>SUMPRODUCT(Exposures!$B$9:$K$9,B1438:K1438)</f>
        <v/>
      </c>
      <c r="S1438" s="5">
        <f>SUMPRODUCT(Exposures!$B$10:$K$10,B1438:K1438)</f>
        <v/>
      </c>
    </row>
    <row r="1439">
      <c r="A1439" s="1" t="n">
        <v>44544</v>
      </c>
      <c r="B1439" s="5" t="n">
        <v>-0.0002543429379063592</v>
      </c>
      <c r="C1439" s="5" t="n">
        <v>0.0005501225092119988</v>
      </c>
      <c r="D1439" s="5" t="n">
        <v>0.003436745335048526</v>
      </c>
      <c r="E1439" s="5" t="n">
        <v>0.004666737041101762</v>
      </c>
      <c r="F1439" s="5" t="n">
        <v>0.001721408902578679</v>
      </c>
      <c r="G1439" s="5" t="n">
        <v>-0.006330795089938474</v>
      </c>
      <c r="H1439" s="5" t="n">
        <v>-0.003772201190896381</v>
      </c>
      <c r="I1439" s="5" t="n">
        <v>-0.0009492028767716861</v>
      </c>
      <c r="J1439" s="5" t="n">
        <v>0.003005051735575259</v>
      </c>
      <c r="K1439" s="5" t="n">
        <v>0.002491224353794849</v>
      </c>
      <c r="L1439" s="5" t="n">
        <v>0.004416205557690059</v>
      </c>
      <c r="M1439" s="5">
        <f>SUMPRODUCT(Exposures!$B$6:$K$6,B1439:K1439)</f>
        <v/>
      </c>
      <c r="N1439" s="5">
        <f>IF(AND($A1439&gt;=DATE(2020,2,1),$A1439&lt;=DATE(2020,5,31)),$M1439,"")</f>
        <v/>
      </c>
      <c r="O1439" s="5">
        <f>IF(AND($A1439&gt;=DATE(2022,1,1),$A1439&lt;=DATE(2022,10,31)),$M1439,"")</f>
        <v/>
      </c>
      <c r="P1439" s="5">
        <f>IF(AND($A1439&gt;=DATE(2018,10,1),$A1439&lt;=DATE(2018,12,31)),$M1439,"")</f>
        <v/>
      </c>
      <c r="Q1439" s="5">
        <f>SUMPRODUCT(Exposures!$B$8:$K$8,B1439:K1439)</f>
        <v/>
      </c>
      <c r="R1439" s="5">
        <f>SUMPRODUCT(Exposures!$B$9:$K$9,B1439:K1439)</f>
        <v/>
      </c>
      <c r="S1439" s="5">
        <f>SUMPRODUCT(Exposures!$B$10:$K$10,B1439:K1439)</f>
        <v/>
      </c>
    </row>
    <row r="1440">
      <c r="A1440" s="1" t="n">
        <v>44545</v>
      </c>
      <c r="B1440" s="5" t="n">
        <v>-0.0003274546361151671</v>
      </c>
      <c r="C1440" s="5" t="n">
        <v>0.0001400164303570974</v>
      </c>
      <c r="D1440" s="5" t="n">
        <v>-7.067174684985642e-05</v>
      </c>
      <c r="E1440" s="5" t="n">
        <v>-0.002050891645465922</v>
      </c>
      <c r="F1440" s="5" t="n">
        <v>0.007268343123341468</v>
      </c>
      <c r="G1440" s="5" t="n">
        <v>0.01374300360801129</v>
      </c>
      <c r="H1440" s="5" t="n">
        <v>0.003221918175060177</v>
      </c>
      <c r="I1440" s="5" t="n">
        <v>0.003770848754784784</v>
      </c>
      <c r="J1440" s="5" t="n">
        <v>-8.425876929065466e-05</v>
      </c>
      <c r="K1440" s="5" t="n">
        <v>-0.009483487287864288</v>
      </c>
      <c r="L1440" s="5" t="n">
        <v>-0.005429603295054723</v>
      </c>
      <c r="M1440" s="5">
        <f>SUMPRODUCT(Exposures!$B$6:$K$6,B1440:K1440)</f>
        <v/>
      </c>
      <c r="N1440" s="5">
        <f>IF(AND($A1440&gt;=DATE(2020,2,1),$A1440&lt;=DATE(2020,5,31)),$M1440,"")</f>
        <v/>
      </c>
      <c r="O1440" s="5">
        <f>IF(AND($A1440&gt;=DATE(2022,1,1),$A1440&lt;=DATE(2022,10,31)),$M1440,"")</f>
        <v/>
      </c>
      <c r="P1440" s="5">
        <f>IF(AND($A1440&gt;=DATE(2018,10,1),$A1440&lt;=DATE(2018,12,31)),$M1440,"")</f>
        <v/>
      </c>
      <c r="Q1440" s="5">
        <f>SUMPRODUCT(Exposures!$B$8:$K$8,B1440:K1440)</f>
        <v/>
      </c>
      <c r="R1440" s="5">
        <f>SUMPRODUCT(Exposures!$B$9:$K$9,B1440:K1440)</f>
        <v/>
      </c>
      <c r="S1440" s="5">
        <f>SUMPRODUCT(Exposures!$B$10:$K$10,B1440:K1440)</f>
        <v/>
      </c>
    </row>
    <row r="1441">
      <c r="A1441" s="1" t="n">
        <v>44546</v>
      </c>
      <c r="B1441" s="5" t="n">
        <v>-0.008658858200229547</v>
      </c>
      <c r="C1441" s="5" t="n">
        <v>0.002249246418930733</v>
      </c>
      <c r="D1441" s="5" t="n">
        <v>0.003758837700496997</v>
      </c>
      <c r="E1441" s="5" t="n">
        <v>0.004868002525714135</v>
      </c>
      <c r="F1441" s="5" t="n">
        <v>-0.001060515207139316</v>
      </c>
      <c r="G1441" s="5" t="n">
        <v>-0.01018704890469452</v>
      </c>
      <c r="H1441" s="5" t="n">
        <v>-0.001403628347894022</v>
      </c>
      <c r="I1441" s="5" t="n">
        <v>0.002940650600812005</v>
      </c>
      <c r="J1441" s="5" t="n">
        <v>-0.007921982893778866</v>
      </c>
      <c r="K1441" s="5" t="n">
        <v>-0.004647354791102613</v>
      </c>
      <c r="L1441" s="5" t="n">
        <v>0.002557342336151883</v>
      </c>
      <c r="M1441" s="5">
        <f>SUMPRODUCT(Exposures!$B$6:$K$6,B1441:K1441)</f>
        <v/>
      </c>
      <c r="N1441" s="5">
        <f>IF(AND($A1441&gt;=DATE(2020,2,1),$A1441&lt;=DATE(2020,5,31)),$M1441,"")</f>
        <v/>
      </c>
      <c r="O1441" s="5">
        <f>IF(AND($A1441&gt;=DATE(2022,1,1),$A1441&lt;=DATE(2022,10,31)),$M1441,"")</f>
        <v/>
      </c>
      <c r="P1441" s="5">
        <f>IF(AND($A1441&gt;=DATE(2018,10,1),$A1441&lt;=DATE(2018,12,31)),$M1441,"")</f>
        <v/>
      </c>
      <c r="Q1441" s="5">
        <f>SUMPRODUCT(Exposures!$B$8:$K$8,B1441:K1441)</f>
        <v/>
      </c>
      <c r="R1441" s="5">
        <f>SUMPRODUCT(Exposures!$B$9:$K$9,B1441:K1441)</f>
        <v/>
      </c>
      <c r="S1441" s="5">
        <f>SUMPRODUCT(Exposures!$B$10:$K$10,B1441:K1441)</f>
        <v/>
      </c>
    </row>
    <row r="1442">
      <c r="A1442" s="1" t="n">
        <v>44547</v>
      </c>
      <c r="B1442" s="5" t="n">
        <v>0.002586956264951188</v>
      </c>
      <c r="C1442" s="5" t="n">
        <v>-0.001952695283611933</v>
      </c>
      <c r="D1442" s="5" t="n">
        <v>-0.004232834882258966</v>
      </c>
      <c r="E1442" s="5" t="n">
        <v>-0.001976124972746799</v>
      </c>
      <c r="F1442" s="5" t="n">
        <v>-0.007152275141451253</v>
      </c>
      <c r="G1442" s="5" t="n">
        <v>0.002598196016079216</v>
      </c>
      <c r="H1442" s="5" t="n">
        <v>-0.00405129046805915</v>
      </c>
      <c r="I1442" s="5" t="n">
        <v>0.0005366599688093447</v>
      </c>
      <c r="J1442" s="5" t="n">
        <v>0.01013302216764279</v>
      </c>
      <c r="K1442" s="5" t="n">
        <v>0.00496392534363532</v>
      </c>
      <c r="L1442" s="5" t="n">
        <v>-0.002463140430006235</v>
      </c>
      <c r="M1442" s="5">
        <f>SUMPRODUCT(Exposures!$B$6:$K$6,B1442:K1442)</f>
        <v/>
      </c>
      <c r="N1442" s="5">
        <f>IF(AND($A1442&gt;=DATE(2020,2,1),$A1442&lt;=DATE(2020,5,31)),$M1442,"")</f>
        <v/>
      </c>
      <c r="O1442" s="5">
        <f>IF(AND($A1442&gt;=DATE(2022,1,1),$A1442&lt;=DATE(2022,10,31)),$M1442,"")</f>
        <v/>
      </c>
      <c r="P1442" s="5">
        <f>IF(AND($A1442&gt;=DATE(2018,10,1),$A1442&lt;=DATE(2018,12,31)),$M1442,"")</f>
        <v/>
      </c>
      <c r="Q1442" s="5">
        <f>SUMPRODUCT(Exposures!$B$8:$K$8,B1442:K1442)</f>
        <v/>
      </c>
      <c r="R1442" s="5">
        <f>SUMPRODUCT(Exposures!$B$9:$K$9,B1442:K1442)</f>
        <v/>
      </c>
      <c r="S1442" s="5">
        <f>SUMPRODUCT(Exposures!$B$10:$K$10,B1442:K1442)</f>
        <v/>
      </c>
    </row>
    <row r="1443">
      <c r="A1443" s="1" t="n">
        <v>44550</v>
      </c>
      <c r="B1443" s="5" t="n">
        <v>-0.005733531749095978</v>
      </c>
      <c r="C1443" s="5" t="n">
        <v>-0.00353090198326776</v>
      </c>
      <c r="D1443" s="5" t="n">
        <v>0.005557412407250903</v>
      </c>
      <c r="E1443" s="5" t="n">
        <v>-0.002611469977315076</v>
      </c>
      <c r="F1443" s="5" t="n">
        <v>0.006539175025955402</v>
      </c>
      <c r="G1443" s="5" t="n">
        <v>-0.01557086520882191</v>
      </c>
      <c r="H1443" s="5" t="n">
        <v>0.001442694552126797</v>
      </c>
      <c r="I1443" s="5" t="n">
        <v>0.00151912879255816</v>
      </c>
      <c r="J1443" s="5" t="n">
        <v>-0.005362564212693559</v>
      </c>
      <c r="K1443" s="5" t="n">
        <v>-0.007269834143993275</v>
      </c>
      <c r="L1443" s="5" t="n">
        <v>-0.003170851602283155</v>
      </c>
      <c r="M1443" s="5">
        <f>SUMPRODUCT(Exposures!$B$6:$K$6,B1443:K1443)</f>
        <v/>
      </c>
      <c r="N1443" s="5">
        <f>IF(AND($A1443&gt;=DATE(2020,2,1),$A1443&lt;=DATE(2020,5,31)),$M1443,"")</f>
        <v/>
      </c>
      <c r="O1443" s="5">
        <f>IF(AND($A1443&gt;=DATE(2022,1,1),$A1443&lt;=DATE(2022,10,31)),$M1443,"")</f>
        <v/>
      </c>
      <c r="P1443" s="5">
        <f>IF(AND($A1443&gt;=DATE(2018,10,1),$A1443&lt;=DATE(2018,12,31)),$M1443,"")</f>
        <v/>
      </c>
      <c r="Q1443" s="5">
        <f>SUMPRODUCT(Exposures!$B$8:$K$8,B1443:K1443)</f>
        <v/>
      </c>
      <c r="R1443" s="5">
        <f>SUMPRODUCT(Exposures!$B$9:$K$9,B1443:K1443)</f>
        <v/>
      </c>
      <c r="S1443" s="5">
        <f>SUMPRODUCT(Exposures!$B$10:$K$10,B1443:K1443)</f>
        <v/>
      </c>
    </row>
    <row r="1444">
      <c r="A1444" s="1" t="n">
        <v>44551</v>
      </c>
      <c r="B1444" s="5" t="n">
        <v>0.01360423353221939</v>
      </c>
      <c r="C1444" s="5" t="n">
        <v>-0.0001116678883593594</v>
      </c>
      <c r="D1444" s="5" t="n">
        <v>-0.006261612928752235</v>
      </c>
      <c r="E1444" s="5" t="n">
        <v>-0.0008369356906750142</v>
      </c>
      <c r="F1444" s="5" t="n">
        <v>-0.00112078341828652</v>
      </c>
      <c r="G1444" s="5" t="n">
        <v>0.02506316396376692</v>
      </c>
      <c r="H1444" s="5" t="n">
        <v>0.001788990030872697</v>
      </c>
      <c r="I1444" s="5" t="n">
        <v>-0.00293365747560026</v>
      </c>
      <c r="J1444" s="5" t="n">
        <v>0.005669634327229112</v>
      </c>
      <c r="K1444" s="5" t="n">
        <v>0.004088177741704148</v>
      </c>
      <c r="L1444" s="5" t="n">
        <v>0.002961111800833492</v>
      </c>
      <c r="M1444" s="5">
        <f>SUMPRODUCT(Exposures!$B$6:$K$6,B1444:K1444)</f>
        <v/>
      </c>
      <c r="N1444" s="5">
        <f>IF(AND($A1444&gt;=DATE(2020,2,1),$A1444&lt;=DATE(2020,5,31)),$M1444,"")</f>
        <v/>
      </c>
      <c r="O1444" s="5">
        <f>IF(AND($A1444&gt;=DATE(2022,1,1),$A1444&lt;=DATE(2022,10,31)),$M1444,"")</f>
        <v/>
      </c>
      <c r="P1444" s="5">
        <f>IF(AND($A1444&gt;=DATE(2018,10,1),$A1444&lt;=DATE(2018,12,31)),$M1444,"")</f>
        <v/>
      </c>
      <c r="Q1444" s="5">
        <f>SUMPRODUCT(Exposures!$B$8:$K$8,B1444:K1444)</f>
        <v/>
      </c>
      <c r="R1444" s="5">
        <f>SUMPRODUCT(Exposures!$B$9:$K$9,B1444:K1444)</f>
        <v/>
      </c>
      <c r="S1444" s="5">
        <f>SUMPRODUCT(Exposures!$B$10:$K$10,B1444:K1444)</f>
        <v/>
      </c>
    </row>
    <row r="1445">
      <c r="A1445" s="1" t="n">
        <v>44552</v>
      </c>
      <c r="B1445" s="5" t="n">
        <v>0.001205337214856814</v>
      </c>
      <c r="C1445" s="5" t="n">
        <v>-0.001933624071450215</v>
      </c>
      <c r="D1445" s="5" t="n">
        <v>0.00878495169597765</v>
      </c>
      <c r="E1445" s="5" t="n">
        <v>0.0002645703062219818</v>
      </c>
      <c r="F1445" s="5" t="n">
        <v>0.001426412944432329</v>
      </c>
      <c r="G1445" s="5" t="n">
        <v>0.006971632355883252</v>
      </c>
      <c r="H1445" s="5" t="n">
        <v>0.003909167089938072</v>
      </c>
      <c r="I1445" s="5" t="n">
        <v>0.003079021000854686</v>
      </c>
      <c r="J1445" s="5" t="n">
        <v>-0.007439153004036083</v>
      </c>
      <c r="K1445" s="5" t="n">
        <v>-0.006299759243671549</v>
      </c>
      <c r="L1445" s="5" t="n">
        <v>-0.0008993576197957757</v>
      </c>
      <c r="M1445" s="5">
        <f>SUMPRODUCT(Exposures!$B$6:$K$6,B1445:K1445)</f>
        <v/>
      </c>
      <c r="N1445" s="5">
        <f>IF(AND($A1445&gt;=DATE(2020,2,1),$A1445&lt;=DATE(2020,5,31)),$M1445,"")</f>
        <v/>
      </c>
      <c r="O1445" s="5">
        <f>IF(AND($A1445&gt;=DATE(2022,1,1),$A1445&lt;=DATE(2022,10,31)),$M1445,"")</f>
        <v/>
      </c>
      <c r="P1445" s="5">
        <f>IF(AND($A1445&gt;=DATE(2018,10,1),$A1445&lt;=DATE(2018,12,31)),$M1445,"")</f>
        <v/>
      </c>
      <c r="Q1445" s="5">
        <f>SUMPRODUCT(Exposures!$B$8:$K$8,B1445:K1445)</f>
        <v/>
      </c>
      <c r="R1445" s="5">
        <f>SUMPRODUCT(Exposures!$B$9:$K$9,B1445:K1445)</f>
        <v/>
      </c>
      <c r="S1445" s="5">
        <f>SUMPRODUCT(Exposures!$B$10:$K$10,B1445:K1445)</f>
        <v/>
      </c>
    </row>
    <row r="1446">
      <c r="A1446" s="1" t="n">
        <v>44553</v>
      </c>
      <c r="B1446" s="5" t="n">
        <v>0.001524200999042416</v>
      </c>
      <c r="C1446" s="5" t="n">
        <v>-0.000913824298082143</v>
      </c>
      <c r="D1446" s="5" t="n">
        <v>0.001050962385003591</v>
      </c>
      <c r="E1446" s="5" t="n">
        <v>0.001098021159536997</v>
      </c>
      <c r="F1446" s="5" t="n">
        <v>-0.001316027119888975</v>
      </c>
      <c r="G1446" s="5" t="n">
        <v>0.008780577078109237</v>
      </c>
      <c r="H1446" s="5" t="n">
        <v>-0.0003625346372822891</v>
      </c>
      <c r="I1446" s="5" t="n">
        <v>0.0004627634344517017</v>
      </c>
      <c r="J1446" s="5" t="n">
        <v>0.003237491136390507</v>
      </c>
      <c r="K1446" s="5" t="n">
        <v>0.001275837631538109</v>
      </c>
      <c r="L1446" s="5" t="n">
        <v>0.0005573352696780747</v>
      </c>
      <c r="M1446" s="5">
        <f>SUMPRODUCT(Exposures!$B$6:$K$6,B1446:K1446)</f>
        <v/>
      </c>
      <c r="N1446" s="5">
        <f>IF(AND($A1446&gt;=DATE(2020,2,1),$A1446&lt;=DATE(2020,5,31)),$M1446,"")</f>
        <v/>
      </c>
      <c r="O1446" s="5">
        <f>IF(AND($A1446&gt;=DATE(2022,1,1),$A1446&lt;=DATE(2022,10,31)),$M1446,"")</f>
        <v/>
      </c>
      <c r="P1446" s="5">
        <f>IF(AND($A1446&gt;=DATE(2018,10,1),$A1446&lt;=DATE(2018,12,31)),$M1446,"")</f>
        <v/>
      </c>
      <c r="Q1446" s="5">
        <f>SUMPRODUCT(Exposures!$B$8:$K$8,B1446:K1446)</f>
        <v/>
      </c>
      <c r="R1446" s="5">
        <f>SUMPRODUCT(Exposures!$B$9:$K$9,B1446:K1446)</f>
        <v/>
      </c>
      <c r="S1446" s="5">
        <f>SUMPRODUCT(Exposures!$B$10:$K$10,B1446:K1446)</f>
        <v/>
      </c>
    </row>
    <row r="1447">
      <c r="A1447" s="1" t="n">
        <v>44557</v>
      </c>
      <c r="B1447" s="5" t="n">
        <v>0.005987457403580958</v>
      </c>
      <c r="C1447" s="5" t="n">
        <v>0.0005651928679889001</v>
      </c>
      <c r="D1447" s="5" t="n">
        <v>-0.006211730302368007</v>
      </c>
      <c r="E1447" s="5" t="n">
        <v>-3.832442403254235e-05</v>
      </c>
      <c r="F1447" s="5" t="n">
        <v>-0.001813750955873523</v>
      </c>
      <c r="G1447" s="5" t="n">
        <v>0.009261702549879146</v>
      </c>
      <c r="H1447" s="5" t="n">
        <v>0.003189191379989513</v>
      </c>
      <c r="I1447" s="5" t="n">
        <v>0.0002976562524617855</v>
      </c>
      <c r="J1447" s="5" t="n">
        <v>-0.006730612264575655</v>
      </c>
      <c r="K1447" s="5" t="n">
        <v>-0.0003853411932382574</v>
      </c>
      <c r="L1447" s="5" t="n">
        <v>-0.002577568514451013</v>
      </c>
      <c r="M1447" s="5">
        <f>SUMPRODUCT(Exposures!$B$6:$K$6,B1447:K1447)</f>
        <v/>
      </c>
      <c r="N1447" s="5">
        <f>IF(AND($A1447&gt;=DATE(2020,2,1),$A1447&lt;=DATE(2020,5,31)),$M1447,"")</f>
        <v/>
      </c>
      <c r="O1447" s="5">
        <f>IF(AND($A1447&gt;=DATE(2022,1,1),$A1447&lt;=DATE(2022,10,31)),$M1447,"")</f>
        <v/>
      </c>
      <c r="P1447" s="5">
        <f>IF(AND($A1447&gt;=DATE(2018,10,1),$A1447&lt;=DATE(2018,12,31)),$M1447,"")</f>
        <v/>
      </c>
      <c r="Q1447" s="5">
        <f>SUMPRODUCT(Exposures!$B$8:$K$8,B1447:K1447)</f>
        <v/>
      </c>
      <c r="R1447" s="5">
        <f>SUMPRODUCT(Exposures!$B$9:$K$9,B1447:K1447)</f>
        <v/>
      </c>
      <c r="S1447" s="5">
        <f>SUMPRODUCT(Exposures!$B$10:$K$10,B1447:K1447)</f>
        <v/>
      </c>
    </row>
    <row r="1448">
      <c r="A1448" s="1" t="n">
        <v>44558</v>
      </c>
      <c r="B1448" s="5" t="n">
        <v>-0.002965793919341546</v>
      </c>
      <c r="C1448" s="5" t="n">
        <v>-0.0005628620831289989</v>
      </c>
      <c r="D1448" s="5" t="n">
        <v>0.001601206930227155</v>
      </c>
      <c r="E1448" s="5" t="n">
        <v>0.002114589698488972</v>
      </c>
      <c r="F1448" s="5" t="n">
        <v>0.001694614500909255</v>
      </c>
      <c r="G1448" s="5" t="n">
        <v>-0.002330364151015449</v>
      </c>
      <c r="H1448" s="5" t="n">
        <v>-0.003038799294543965</v>
      </c>
      <c r="I1448" s="5" t="n">
        <v>-0.001253697182802153</v>
      </c>
      <c r="J1448" s="5" t="n">
        <v>-0.00666500878156688</v>
      </c>
      <c r="K1448" s="5" t="n">
        <v>-0.003978632639273201</v>
      </c>
      <c r="L1448" s="5" t="n">
        <v>-0.0008212940021397199</v>
      </c>
      <c r="M1448" s="5">
        <f>SUMPRODUCT(Exposures!$B$6:$K$6,B1448:K1448)</f>
        <v/>
      </c>
      <c r="N1448" s="5">
        <f>IF(AND($A1448&gt;=DATE(2020,2,1),$A1448&lt;=DATE(2020,5,31)),$M1448,"")</f>
        <v/>
      </c>
      <c r="O1448" s="5">
        <f>IF(AND($A1448&gt;=DATE(2022,1,1),$A1448&lt;=DATE(2022,10,31)),$M1448,"")</f>
        <v/>
      </c>
      <c r="P1448" s="5">
        <f>IF(AND($A1448&gt;=DATE(2018,10,1),$A1448&lt;=DATE(2018,12,31)),$M1448,"")</f>
        <v/>
      </c>
      <c r="Q1448" s="5">
        <f>SUMPRODUCT(Exposures!$B$8:$K$8,B1448:K1448)</f>
        <v/>
      </c>
      <c r="R1448" s="5">
        <f>SUMPRODUCT(Exposures!$B$9:$K$9,B1448:K1448)</f>
        <v/>
      </c>
      <c r="S1448" s="5">
        <f>SUMPRODUCT(Exposures!$B$10:$K$10,B1448:K1448)</f>
        <v/>
      </c>
    </row>
    <row r="1449">
      <c r="A1449" s="1" t="n">
        <v>44559</v>
      </c>
      <c r="B1449" s="5" t="n">
        <v>0.0001242472503908834</v>
      </c>
      <c r="C1449" s="5" t="n">
        <v>0.003783188644715847</v>
      </c>
      <c r="D1449" s="5" t="n">
        <v>-0.004949398517376555</v>
      </c>
      <c r="E1449" s="5" t="n">
        <v>0.0007593369442992416</v>
      </c>
      <c r="F1449" s="5" t="n">
        <v>-0.002898555856612585</v>
      </c>
      <c r="G1449" s="5" t="n">
        <v>0.001264347007395955</v>
      </c>
      <c r="H1449" s="5" t="n">
        <v>0.005111450366733501</v>
      </c>
      <c r="I1449" s="5" t="n">
        <v>-0.0009324354869835664</v>
      </c>
      <c r="J1449" s="5" t="n">
        <v>-0.004950626965008752</v>
      </c>
      <c r="K1449" s="5" t="n">
        <v>-0.0004673109776566754</v>
      </c>
      <c r="L1449" s="5" t="n">
        <v>-0.00358339928705475</v>
      </c>
      <c r="M1449" s="5">
        <f>SUMPRODUCT(Exposures!$B$6:$K$6,B1449:K1449)</f>
        <v/>
      </c>
      <c r="N1449" s="5">
        <f>IF(AND($A1449&gt;=DATE(2020,2,1),$A1449&lt;=DATE(2020,5,31)),$M1449,"")</f>
        <v/>
      </c>
      <c r="O1449" s="5">
        <f>IF(AND($A1449&gt;=DATE(2022,1,1),$A1449&lt;=DATE(2022,10,31)),$M1449,"")</f>
        <v/>
      </c>
      <c r="P1449" s="5">
        <f>IF(AND($A1449&gt;=DATE(2018,10,1),$A1449&lt;=DATE(2018,12,31)),$M1449,"")</f>
        <v/>
      </c>
      <c r="Q1449" s="5">
        <f>SUMPRODUCT(Exposures!$B$8:$K$8,B1449:K1449)</f>
        <v/>
      </c>
      <c r="R1449" s="5">
        <f>SUMPRODUCT(Exposures!$B$9:$K$9,B1449:K1449)</f>
        <v/>
      </c>
      <c r="S1449" s="5">
        <f>SUMPRODUCT(Exposures!$B$10:$K$10,B1449:K1449)</f>
        <v/>
      </c>
    </row>
    <row r="1450">
      <c r="A1450" s="1" t="n">
        <v>44560</v>
      </c>
      <c r="B1450" s="5" t="n">
        <v>-0.00140836100333387</v>
      </c>
      <c r="C1450" s="5" t="n">
        <v>0.001153753021295973</v>
      </c>
      <c r="D1450" s="5" t="n">
        <v>-0.0007313607051659809</v>
      </c>
      <c r="E1450" s="5" t="n">
        <v>-0.002346175974538984</v>
      </c>
      <c r="F1450" s="5" t="n">
        <v>-0.009389642442770234</v>
      </c>
      <c r="G1450" s="5" t="n">
        <v>0.001936945652775121</v>
      </c>
      <c r="H1450" s="5" t="n">
        <v>-0.006811632921096263</v>
      </c>
      <c r="I1450" s="5" t="n">
        <v>-0.003963875514488988</v>
      </c>
      <c r="J1450" s="5" t="n">
        <v>0.01207961924694558</v>
      </c>
      <c r="K1450" s="5" t="n">
        <v>0.01669042432145994</v>
      </c>
      <c r="L1450" s="5" t="n">
        <v>0.004820501697273628</v>
      </c>
      <c r="M1450" s="5">
        <f>SUMPRODUCT(Exposures!$B$6:$K$6,B1450:K1450)</f>
        <v/>
      </c>
      <c r="N1450" s="5">
        <f>IF(AND($A1450&gt;=DATE(2020,2,1),$A1450&lt;=DATE(2020,5,31)),$M1450,"")</f>
        <v/>
      </c>
      <c r="O1450" s="5">
        <f>IF(AND($A1450&gt;=DATE(2022,1,1),$A1450&lt;=DATE(2022,10,31)),$M1450,"")</f>
        <v/>
      </c>
      <c r="P1450" s="5">
        <f>IF(AND($A1450&gt;=DATE(2018,10,1),$A1450&lt;=DATE(2018,12,31)),$M1450,"")</f>
        <v/>
      </c>
      <c r="Q1450" s="5">
        <f>SUMPRODUCT(Exposures!$B$8:$K$8,B1450:K1450)</f>
        <v/>
      </c>
      <c r="R1450" s="5">
        <f>SUMPRODUCT(Exposures!$B$9:$K$9,B1450:K1450)</f>
        <v/>
      </c>
      <c r="S1450" s="5">
        <f>SUMPRODUCT(Exposures!$B$10:$K$10,B1450:K1450)</f>
        <v/>
      </c>
    </row>
    <row r="1451">
      <c r="A1451" s="1" t="n">
        <v>44561</v>
      </c>
      <c r="B1451" s="5" t="n">
        <v>0.0001141501456829762</v>
      </c>
      <c r="C1451" s="5" t="n">
        <v>0.0005408100284022151</v>
      </c>
      <c r="D1451" s="5" t="n">
        <v>0.001646615670390504</v>
      </c>
      <c r="E1451" s="5" t="n">
        <v>0.0008674004539063565</v>
      </c>
      <c r="F1451" s="5" t="n">
        <v>-0.003420172370718476</v>
      </c>
      <c r="G1451" s="5" t="n">
        <v>-7.15531426432477e-05</v>
      </c>
      <c r="H1451" s="5" t="n">
        <v>0.003719878234459489</v>
      </c>
      <c r="I1451" s="5" t="n">
        <v>3.202583523026937e-06</v>
      </c>
      <c r="J1451" s="5" t="n">
        <v>-0.004437504795405371</v>
      </c>
      <c r="K1451" s="5" t="n">
        <v>-0.001567822695617472</v>
      </c>
      <c r="L1451" s="5" t="n">
        <v>-0.002310007193859156</v>
      </c>
      <c r="M1451" s="5">
        <f>SUMPRODUCT(Exposures!$B$6:$K$6,B1451:K1451)</f>
        <v/>
      </c>
      <c r="N1451" s="5">
        <f>IF(AND($A1451&gt;=DATE(2020,2,1),$A1451&lt;=DATE(2020,5,31)),$M1451,"")</f>
        <v/>
      </c>
      <c r="O1451" s="5">
        <f>IF(AND($A1451&gt;=DATE(2022,1,1),$A1451&lt;=DATE(2022,10,31)),$M1451,"")</f>
        <v/>
      </c>
      <c r="P1451" s="5">
        <f>IF(AND($A1451&gt;=DATE(2018,10,1),$A1451&lt;=DATE(2018,12,31)),$M1451,"")</f>
        <v/>
      </c>
      <c r="Q1451" s="5">
        <f>SUMPRODUCT(Exposures!$B$8:$K$8,B1451:K1451)</f>
        <v/>
      </c>
      <c r="R1451" s="5">
        <f>SUMPRODUCT(Exposures!$B$9:$K$9,B1451:K1451)</f>
        <v/>
      </c>
      <c r="S1451" s="5">
        <f>SUMPRODUCT(Exposures!$B$10:$K$10,B1451:K1451)</f>
        <v/>
      </c>
    </row>
    <row r="1452">
      <c r="A1452" s="1" t="n">
        <v>44564</v>
      </c>
      <c r="B1452" s="5" t="n">
        <v>0.0008563258542576614</v>
      </c>
      <c r="C1452" s="5" t="n">
        <v>-0.002460795184490158</v>
      </c>
      <c r="D1452" s="5" t="n">
        <v>-0.002053391332750641</v>
      </c>
      <c r="E1452" s="5" t="n">
        <v>0.003865913618516632</v>
      </c>
      <c r="F1452" s="5" t="n">
        <v>0.005578415056404128</v>
      </c>
      <c r="G1452" s="5" t="n">
        <v>0.004727152831854378</v>
      </c>
      <c r="H1452" s="5" t="n">
        <v>-0.009045600295487791</v>
      </c>
      <c r="I1452" s="5" t="n">
        <v>0.003262093380589449</v>
      </c>
      <c r="J1452" s="5" t="n">
        <v>0.009015737343271305</v>
      </c>
      <c r="K1452" s="5" t="n">
        <v>-0.001623382128174853</v>
      </c>
      <c r="L1452" s="5" t="n">
        <v>0.005993817223686266</v>
      </c>
      <c r="M1452" s="5">
        <f>SUMPRODUCT(Exposures!$B$6:$K$6,B1452:K1452)</f>
        <v/>
      </c>
      <c r="N1452" s="5">
        <f>IF(AND($A1452&gt;=DATE(2020,2,1),$A1452&lt;=DATE(2020,5,31)),$M1452,"")</f>
        <v/>
      </c>
      <c r="O1452" s="5">
        <f>IF(AND($A1452&gt;=DATE(2022,1,1),$A1452&lt;=DATE(2022,10,31)),$M1452,"")</f>
        <v/>
      </c>
      <c r="P1452" s="5">
        <f>IF(AND($A1452&gt;=DATE(2018,10,1),$A1452&lt;=DATE(2018,12,31)),$M1452,"")</f>
        <v/>
      </c>
      <c r="Q1452" s="5">
        <f>SUMPRODUCT(Exposures!$B$8:$K$8,B1452:K1452)</f>
        <v/>
      </c>
      <c r="R1452" s="5">
        <f>SUMPRODUCT(Exposures!$B$9:$K$9,B1452:K1452)</f>
        <v/>
      </c>
      <c r="S1452" s="5">
        <f>SUMPRODUCT(Exposures!$B$10:$K$10,B1452:K1452)</f>
        <v/>
      </c>
    </row>
    <row r="1453">
      <c r="A1453" s="1" t="n">
        <v>44565</v>
      </c>
      <c r="B1453" s="5" t="n">
        <v>0.00431942038657031</v>
      </c>
      <c r="C1453" s="5" t="n">
        <v>0.0001154947760644552</v>
      </c>
      <c r="D1453" s="5" t="n">
        <v>8.584484292355806e-05</v>
      </c>
      <c r="E1453" s="5" t="n">
        <v>0.003823006411155772</v>
      </c>
      <c r="F1453" s="5" t="n">
        <v>-0.008903949954630256</v>
      </c>
      <c r="G1453" s="5" t="n">
        <v>0.0005683578951492547</v>
      </c>
      <c r="H1453" s="5" t="n">
        <v>-0.0003724163334147006</v>
      </c>
      <c r="I1453" s="5" t="n">
        <v>-0.0009352037019988674</v>
      </c>
      <c r="J1453" s="5" t="n">
        <v>-0.009663669585218589</v>
      </c>
      <c r="K1453" s="5" t="n">
        <v>0.00405706808042398</v>
      </c>
      <c r="L1453" s="5" t="n">
        <v>0.007234667437922724</v>
      </c>
      <c r="M1453" s="5">
        <f>SUMPRODUCT(Exposures!$B$6:$K$6,B1453:K1453)</f>
        <v/>
      </c>
      <c r="N1453" s="5">
        <f>IF(AND($A1453&gt;=DATE(2020,2,1),$A1453&lt;=DATE(2020,5,31)),$M1453,"")</f>
        <v/>
      </c>
      <c r="O1453" s="5">
        <f>IF(AND($A1453&gt;=DATE(2022,1,1),$A1453&lt;=DATE(2022,10,31)),$M1453,"")</f>
        <v/>
      </c>
      <c r="P1453" s="5">
        <f>IF(AND($A1453&gt;=DATE(2018,10,1),$A1453&lt;=DATE(2018,12,31)),$M1453,"")</f>
        <v/>
      </c>
      <c r="Q1453" s="5">
        <f>SUMPRODUCT(Exposures!$B$8:$K$8,B1453:K1453)</f>
        <v/>
      </c>
      <c r="R1453" s="5">
        <f>SUMPRODUCT(Exposures!$B$9:$K$9,B1453:K1453)</f>
        <v/>
      </c>
      <c r="S1453" s="5">
        <f>SUMPRODUCT(Exposures!$B$10:$K$10,B1453:K1453)</f>
        <v/>
      </c>
    </row>
    <row r="1454">
      <c r="A1454" s="1" t="n">
        <v>44566</v>
      </c>
      <c r="B1454" s="5" t="n">
        <v>-0.008707451104516576</v>
      </c>
      <c r="C1454" s="5" t="n">
        <v>0.001548332706371507</v>
      </c>
      <c r="D1454" s="5" t="n">
        <v>-0.0008875313207997481</v>
      </c>
      <c r="E1454" s="5" t="n">
        <v>2.848949733145995e-05</v>
      </c>
      <c r="F1454" s="5" t="n">
        <v>-0.006553142325293637</v>
      </c>
      <c r="G1454" s="5" t="n">
        <v>-0.02238912578913463</v>
      </c>
      <c r="H1454" s="5" t="n">
        <v>-0.0033650448085764</v>
      </c>
      <c r="I1454" s="5" t="n">
        <v>-0.001084244952545754</v>
      </c>
      <c r="J1454" s="5" t="n">
        <v>-0.00314714264344981</v>
      </c>
      <c r="K1454" s="5" t="n">
        <v>0.008065473361343273</v>
      </c>
      <c r="L1454" s="5" t="n">
        <v>0.003750689483070916</v>
      </c>
      <c r="M1454" s="5">
        <f>SUMPRODUCT(Exposures!$B$6:$K$6,B1454:K1454)</f>
        <v/>
      </c>
      <c r="N1454" s="5">
        <f>IF(AND($A1454&gt;=DATE(2020,2,1),$A1454&lt;=DATE(2020,5,31)),$M1454,"")</f>
        <v/>
      </c>
      <c r="O1454" s="5">
        <f>IF(AND($A1454&gt;=DATE(2022,1,1),$A1454&lt;=DATE(2022,10,31)),$M1454,"")</f>
        <v/>
      </c>
      <c r="P1454" s="5">
        <f>IF(AND($A1454&gt;=DATE(2018,10,1),$A1454&lt;=DATE(2018,12,31)),$M1454,"")</f>
        <v/>
      </c>
      <c r="Q1454" s="5">
        <f>SUMPRODUCT(Exposures!$B$8:$K$8,B1454:K1454)</f>
        <v/>
      </c>
      <c r="R1454" s="5">
        <f>SUMPRODUCT(Exposures!$B$9:$K$9,B1454:K1454)</f>
        <v/>
      </c>
      <c r="S1454" s="5">
        <f>SUMPRODUCT(Exposures!$B$10:$K$10,B1454:K1454)</f>
        <v/>
      </c>
    </row>
    <row r="1455">
      <c r="A1455" s="1" t="n">
        <v>44567</v>
      </c>
      <c r="B1455" s="5" t="n">
        <v>0.001285802887592874</v>
      </c>
      <c r="C1455" s="5" t="n">
        <v>0.001811696846518462</v>
      </c>
      <c r="D1455" s="5" t="n">
        <v>-0.001454506184145382</v>
      </c>
      <c r="E1455" s="5" t="n">
        <v>0.002498488065545836</v>
      </c>
      <c r="F1455" s="5" t="n">
        <v>-0.0007886205675790638</v>
      </c>
      <c r="G1455" s="5" t="n">
        <v>0.001526363040666303</v>
      </c>
      <c r="H1455" s="5" t="n">
        <v>0.0003050364781321029</v>
      </c>
      <c r="I1455" s="5" t="n">
        <v>-0.001611516614978937</v>
      </c>
      <c r="J1455" s="5" t="n">
        <v>0.002570074301162559</v>
      </c>
      <c r="K1455" s="5" t="n">
        <v>0.003331171314138535</v>
      </c>
      <c r="L1455" s="5" t="n">
        <v>0.004120674356996901</v>
      </c>
      <c r="M1455" s="5">
        <f>SUMPRODUCT(Exposures!$B$6:$K$6,B1455:K1455)</f>
        <v/>
      </c>
      <c r="N1455" s="5">
        <f>IF(AND($A1455&gt;=DATE(2020,2,1),$A1455&lt;=DATE(2020,5,31)),$M1455,"")</f>
        <v/>
      </c>
      <c r="O1455" s="5">
        <f>IF(AND($A1455&gt;=DATE(2022,1,1),$A1455&lt;=DATE(2022,10,31)),$M1455,"")</f>
        <v/>
      </c>
      <c r="P1455" s="5">
        <f>IF(AND($A1455&gt;=DATE(2018,10,1),$A1455&lt;=DATE(2018,12,31)),$M1455,"")</f>
        <v/>
      </c>
      <c r="Q1455" s="5">
        <f>SUMPRODUCT(Exposures!$B$8:$K$8,B1455:K1455)</f>
        <v/>
      </c>
      <c r="R1455" s="5">
        <f>SUMPRODUCT(Exposures!$B$9:$K$9,B1455:K1455)</f>
        <v/>
      </c>
      <c r="S1455" s="5">
        <f>SUMPRODUCT(Exposures!$B$10:$K$10,B1455:K1455)</f>
        <v/>
      </c>
    </row>
    <row r="1456">
      <c r="A1456" s="1" t="n">
        <v>44568</v>
      </c>
      <c r="B1456" s="5" t="n">
        <v>-0.003056274006768183</v>
      </c>
      <c r="C1456" s="5" t="n">
        <v>-0.003063118098914692</v>
      </c>
      <c r="D1456" s="5" t="n">
        <v>0.0009763645285468211</v>
      </c>
      <c r="E1456" s="5" t="n">
        <v>0.003854408287248021</v>
      </c>
      <c r="F1456" s="5" t="n">
        <v>0.003612251173029889</v>
      </c>
      <c r="G1456" s="5" t="n">
        <v>-0.005150353762121112</v>
      </c>
      <c r="H1456" s="5" t="n">
        <v>-0.003259358031288173</v>
      </c>
      <c r="I1456" s="5" t="n">
        <v>-0.001632368662678085</v>
      </c>
      <c r="J1456" s="5" t="n">
        <v>0.001015306730928745</v>
      </c>
      <c r="K1456" s="5" t="n">
        <v>0.00271849800166127</v>
      </c>
      <c r="L1456" s="5" t="n">
        <v>0.006660883490833124</v>
      </c>
      <c r="M1456" s="5">
        <f>SUMPRODUCT(Exposures!$B$6:$K$6,B1456:K1456)</f>
        <v/>
      </c>
      <c r="N1456" s="5">
        <f>IF(AND($A1456&gt;=DATE(2020,2,1),$A1456&lt;=DATE(2020,5,31)),$M1456,"")</f>
        <v/>
      </c>
      <c r="O1456" s="5">
        <f>IF(AND($A1456&gt;=DATE(2022,1,1),$A1456&lt;=DATE(2022,10,31)),$M1456,"")</f>
        <v/>
      </c>
      <c r="P1456" s="5">
        <f>IF(AND($A1456&gt;=DATE(2018,10,1),$A1456&lt;=DATE(2018,12,31)),$M1456,"")</f>
        <v/>
      </c>
      <c r="Q1456" s="5">
        <f>SUMPRODUCT(Exposures!$B$8:$K$8,B1456:K1456)</f>
        <v/>
      </c>
      <c r="R1456" s="5">
        <f>SUMPRODUCT(Exposures!$B$9:$K$9,B1456:K1456)</f>
        <v/>
      </c>
      <c r="S1456" s="5">
        <f>SUMPRODUCT(Exposures!$B$10:$K$10,B1456:K1456)</f>
        <v/>
      </c>
    </row>
    <row r="1457">
      <c r="A1457" s="1" t="n">
        <v>44571</v>
      </c>
      <c r="B1457" s="5" t="n">
        <v>-0.001684889388774135</v>
      </c>
      <c r="C1457" s="5" t="n">
        <v>0.001160835507491102</v>
      </c>
      <c r="D1457" s="5" t="n">
        <v>-0.002222521246057979</v>
      </c>
      <c r="E1457" s="5" t="n">
        <v>-0.0007759885924967654</v>
      </c>
      <c r="F1457" s="5" t="n">
        <v>0.0003741105150941234</v>
      </c>
      <c r="G1457" s="5" t="n">
        <v>-0.002974981624417704</v>
      </c>
      <c r="H1457" s="5" t="n">
        <v>-9.083022838483881e-05</v>
      </c>
      <c r="I1457" s="5" t="n">
        <v>0.0009675519446466299</v>
      </c>
      <c r="J1457" s="5" t="n">
        <v>0.001316574404670474</v>
      </c>
      <c r="K1457" s="5" t="n">
        <v>0.002682934592395872</v>
      </c>
      <c r="L1457" s="5" t="n">
        <v>0.001341908440218469</v>
      </c>
      <c r="M1457" s="5">
        <f>SUMPRODUCT(Exposures!$B$6:$K$6,B1457:K1457)</f>
        <v/>
      </c>
      <c r="N1457" s="5">
        <f>IF(AND($A1457&gt;=DATE(2020,2,1),$A1457&lt;=DATE(2020,5,31)),$M1457,"")</f>
        <v/>
      </c>
      <c r="O1457" s="5">
        <f>IF(AND($A1457&gt;=DATE(2022,1,1),$A1457&lt;=DATE(2022,10,31)),$M1457,"")</f>
        <v/>
      </c>
      <c r="P1457" s="5">
        <f>IF(AND($A1457&gt;=DATE(2018,10,1),$A1457&lt;=DATE(2018,12,31)),$M1457,"")</f>
        <v/>
      </c>
      <c r="Q1457" s="5">
        <f>SUMPRODUCT(Exposures!$B$8:$K$8,B1457:K1457)</f>
        <v/>
      </c>
      <c r="R1457" s="5">
        <f>SUMPRODUCT(Exposures!$B$9:$K$9,B1457:K1457)</f>
        <v/>
      </c>
      <c r="S1457" s="5">
        <f>SUMPRODUCT(Exposures!$B$10:$K$10,B1457:K1457)</f>
        <v/>
      </c>
    </row>
    <row r="1458">
      <c r="A1458" s="1" t="n">
        <v>44572</v>
      </c>
      <c r="B1458" s="5" t="n">
        <v>0.007491515924091345</v>
      </c>
      <c r="C1458" s="5" t="n">
        <v>-0.001727471127294344</v>
      </c>
      <c r="D1458" s="5" t="n">
        <v>0.00383190769909665</v>
      </c>
      <c r="E1458" s="5" t="n">
        <v>-0.002188860352660194</v>
      </c>
      <c r="F1458" s="5" t="n">
        <v>-0.0007079578307961918</v>
      </c>
      <c r="G1458" s="5" t="n">
        <v>0.01209974993789738</v>
      </c>
      <c r="H1458" s="5" t="n">
        <v>-0.002593370939351279</v>
      </c>
      <c r="I1458" s="5" t="n">
        <v>0.0006879937987619733</v>
      </c>
      <c r="J1458" s="5" t="n">
        <v>0.005254363660970977</v>
      </c>
      <c r="K1458" s="5" t="n">
        <v>0.005396557475443348</v>
      </c>
      <c r="L1458" s="5" t="n">
        <v>0.003048318142325959</v>
      </c>
      <c r="M1458" s="5">
        <f>SUMPRODUCT(Exposures!$B$6:$K$6,B1458:K1458)</f>
        <v/>
      </c>
      <c r="N1458" s="5">
        <f>IF(AND($A1458&gt;=DATE(2020,2,1),$A1458&lt;=DATE(2020,5,31)),$M1458,"")</f>
        <v/>
      </c>
      <c r="O1458" s="5">
        <f>IF(AND($A1458&gt;=DATE(2022,1,1),$A1458&lt;=DATE(2022,10,31)),$M1458,"")</f>
        <v/>
      </c>
      <c r="P1458" s="5">
        <f>IF(AND($A1458&gt;=DATE(2018,10,1),$A1458&lt;=DATE(2018,12,31)),$M1458,"")</f>
        <v/>
      </c>
      <c r="Q1458" s="5">
        <f>SUMPRODUCT(Exposures!$B$8:$K$8,B1458:K1458)</f>
        <v/>
      </c>
      <c r="R1458" s="5">
        <f>SUMPRODUCT(Exposures!$B$9:$K$9,B1458:K1458)</f>
        <v/>
      </c>
      <c r="S1458" s="5">
        <f>SUMPRODUCT(Exposures!$B$10:$K$10,B1458:K1458)</f>
        <v/>
      </c>
    </row>
    <row r="1459">
      <c r="A1459" s="1" t="n">
        <v>44573</v>
      </c>
      <c r="B1459" s="5" t="n">
        <v>0.002157781591581673</v>
      </c>
      <c r="C1459" s="5" t="n">
        <v>0.001789139731189801</v>
      </c>
      <c r="D1459" s="5" t="n">
        <v>0.001467633695496596</v>
      </c>
      <c r="E1459" s="5" t="n">
        <v>-0.001157285135909868</v>
      </c>
      <c r="F1459" s="5" t="n">
        <v>-0.008094866119336718</v>
      </c>
      <c r="G1459" s="5" t="n">
        <v>-0.003224301044046814</v>
      </c>
      <c r="H1459" s="5" t="n">
        <v>0.002090540658938576</v>
      </c>
      <c r="I1459" s="5" t="n">
        <v>-0.00243266988068496</v>
      </c>
      <c r="J1459" s="5" t="n">
        <v>-0.00326902461724765</v>
      </c>
      <c r="K1459" s="5" t="n">
        <v>0.01226425128341512</v>
      </c>
      <c r="L1459" s="5" t="n">
        <v>0.002554010008209452</v>
      </c>
      <c r="M1459" s="5">
        <f>SUMPRODUCT(Exposures!$B$6:$K$6,B1459:K1459)</f>
        <v/>
      </c>
      <c r="N1459" s="5">
        <f>IF(AND($A1459&gt;=DATE(2020,2,1),$A1459&lt;=DATE(2020,5,31)),$M1459,"")</f>
        <v/>
      </c>
      <c r="O1459" s="5">
        <f>IF(AND($A1459&gt;=DATE(2022,1,1),$A1459&lt;=DATE(2022,10,31)),$M1459,"")</f>
        <v/>
      </c>
      <c r="P1459" s="5">
        <f>IF(AND($A1459&gt;=DATE(2018,10,1),$A1459&lt;=DATE(2018,12,31)),$M1459,"")</f>
        <v/>
      </c>
      <c r="Q1459" s="5">
        <f>SUMPRODUCT(Exposures!$B$8:$K$8,B1459:K1459)</f>
        <v/>
      </c>
      <c r="R1459" s="5">
        <f>SUMPRODUCT(Exposures!$B$9:$K$9,B1459:K1459)</f>
        <v/>
      </c>
      <c r="S1459" s="5">
        <f>SUMPRODUCT(Exposures!$B$10:$K$10,B1459:K1459)</f>
        <v/>
      </c>
    </row>
    <row r="1460">
      <c r="A1460" s="1" t="n">
        <v>44574</v>
      </c>
      <c r="B1460" s="5" t="n">
        <v>-0.005332343184433588</v>
      </c>
      <c r="C1460" s="5" t="n">
        <v>0.000736334776130736</v>
      </c>
      <c r="D1460" s="5" t="n">
        <v>0.0013521581716018</v>
      </c>
      <c r="E1460" s="5" t="n">
        <v>0.004175702666195506</v>
      </c>
      <c r="F1460" s="5" t="n">
        <v>-0.0003158717620491483</v>
      </c>
      <c r="G1460" s="5" t="n">
        <v>-0.007206877430396013</v>
      </c>
      <c r="H1460" s="5" t="n">
        <v>-0.001810129774903765</v>
      </c>
      <c r="I1460" s="5" t="n">
        <v>0.0004796206703542886</v>
      </c>
      <c r="J1460" s="5" t="n">
        <v>-0.005877446213506123</v>
      </c>
      <c r="K1460" s="5" t="n">
        <v>-0.006585836827188054</v>
      </c>
      <c r="L1460" s="5" t="n">
        <v>0.0005609516687859746</v>
      </c>
      <c r="M1460" s="5">
        <f>SUMPRODUCT(Exposures!$B$6:$K$6,B1460:K1460)</f>
        <v/>
      </c>
      <c r="N1460" s="5">
        <f>IF(AND($A1460&gt;=DATE(2020,2,1),$A1460&lt;=DATE(2020,5,31)),$M1460,"")</f>
        <v/>
      </c>
      <c r="O1460" s="5">
        <f>IF(AND($A1460&gt;=DATE(2022,1,1),$A1460&lt;=DATE(2022,10,31)),$M1460,"")</f>
        <v/>
      </c>
      <c r="P1460" s="5">
        <f>IF(AND($A1460&gt;=DATE(2018,10,1),$A1460&lt;=DATE(2018,12,31)),$M1460,"")</f>
        <v/>
      </c>
      <c r="Q1460" s="5">
        <f>SUMPRODUCT(Exposures!$B$8:$K$8,B1460:K1460)</f>
        <v/>
      </c>
      <c r="R1460" s="5">
        <f>SUMPRODUCT(Exposures!$B$9:$K$9,B1460:K1460)</f>
        <v/>
      </c>
      <c r="S1460" s="5">
        <f>SUMPRODUCT(Exposures!$B$10:$K$10,B1460:K1460)</f>
        <v/>
      </c>
    </row>
    <row r="1461">
      <c r="A1461" s="1" t="n">
        <v>44575</v>
      </c>
      <c r="B1461" s="5" t="n">
        <v>0.00121233917645088</v>
      </c>
      <c r="C1461" s="5" t="n">
        <v>-0.0003408812963460775</v>
      </c>
      <c r="D1461" s="5" t="n">
        <v>-0.001016975524548855</v>
      </c>
      <c r="E1461" s="5" t="n">
        <v>-0.0006115698486689028</v>
      </c>
      <c r="F1461" s="5" t="n">
        <v>-0.002591113283744987</v>
      </c>
      <c r="G1461" s="5" t="n">
        <v>-0.002266435253403397</v>
      </c>
      <c r="H1461" s="5" t="n">
        <v>-0.003147220354480936</v>
      </c>
      <c r="I1461" s="5" t="n">
        <v>0.00175099277130959</v>
      </c>
      <c r="J1461" s="5" t="n">
        <v>0.001017378260137738</v>
      </c>
      <c r="K1461" s="5" t="n">
        <v>0.004992551399886095</v>
      </c>
      <c r="L1461" s="5" t="n">
        <v>0.002130319344225667</v>
      </c>
      <c r="M1461" s="5">
        <f>SUMPRODUCT(Exposures!$B$6:$K$6,B1461:K1461)</f>
        <v/>
      </c>
      <c r="N1461" s="5">
        <f>IF(AND($A1461&gt;=DATE(2020,2,1),$A1461&lt;=DATE(2020,5,31)),$M1461,"")</f>
        <v/>
      </c>
      <c r="O1461" s="5">
        <f>IF(AND($A1461&gt;=DATE(2022,1,1),$A1461&lt;=DATE(2022,10,31)),$M1461,"")</f>
        <v/>
      </c>
      <c r="P1461" s="5">
        <f>IF(AND($A1461&gt;=DATE(2018,10,1),$A1461&lt;=DATE(2018,12,31)),$M1461,"")</f>
        <v/>
      </c>
      <c r="Q1461" s="5">
        <f>SUMPRODUCT(Exposures!$B$8:$K$8,B1461:K1461)</f>
        <v/>
      </c>
      <c r="R1461" s="5">
        <f>SUMPRODUCT(Exposures!$B$9:$K$9,B1461:K1461)</f>
        <v/>
      </c>
      <c r="S1461" s="5">
        <f>SUMPRODUCT(Exposures!$B$10:$K$10,B1461:K1461)</f>
        <v/>
      </c>
    </row>
    <row r="1462">
      <c r="A1462" s="1" t="n">
        <v>44579</v>
      </c>
      <c r="B1462" s="5" t="n">
        <v>-0.007201277430036018</v>
      </c>
      <c r="C1462" s="5" t="n">
        <v>-0.0009752553709353735</v>
      </c>
      <c r="D1462" s="5" t="n">
        <v>0.002002265874461713</v>
      </c>
      <c r="E1462" s="5" t="n">
        <v>0.001030138555111006</v>
      </c>
      <c r="F1462" s="5" t="n">
        <v>-0.0006907573433409956</v>
      </c>
      <c r="G1462" s="5" t="n">
        <v>-0.02392431615209047</v>
      </c>
      <c r="H1462" s="5" t="n">
        <v>0.0018990371259999</v>
      </c>
      <c r="I1462" s="5" t="n">
        <v>-0.0008372653436942326</v>
      </c>
      <c r="J1462" s="5" t="n">
        <v>-0.006421578003316321</v>
      </c>
      <c r="K1462" s="5" t="n">
        <v>0.0005088131512651058</v>
      </c>
      <c r="L1462" s="5" t="n">
        <v>0.002203941675061325</v>
      </c>
      <c r="M1462" s="5">
        <f>SUMPRODUCT(Exposures!$B$6:$K$6,B1462:K1462)</f>
        <v/>
      </c>
      <c r="N1462" s="5">
        <f>IF(AND($A1462&gt;=DATE(2020,2,1),$A1462&lt;=DATE(2020,5,31)),$M1462,"")</f>
        <v/>
      </c>
      <c r="O1462" s="5">
        <f>IF(AND($A1462&gt;=DATE(2022,1,1),$A1462&lt;=DATE(2022,10,31)),$M1462,"")</f>
        <v/>
      </c>
      <c r="P1462" s="5">
        <f>IF(AND($A1462&gt;=DATE(2018,10,1),$A1462&lt;=DATE(2018,12,31)),$M1462,"")</f>
        <v/>
      </c>
      <c r="Q1462" s="5">
        <f>SUMPRODUCT(Exposures!$B$8:$K$8,B1462:K1462)</f>
        <v/>
      </c>
      <c r="R1462" s="5">
        <f>SUMPRODUCT(Exposures!$B$9:$K$9,B1462:K1462)</f>
        <v/>
      </c>
      <c r="S1462" s="5">
        <f>SUMPRODUCT(Exposures!$B$10:$K$10,B1462:K1462)</f>
        <v/>
      </c>
    </row>
    <row r="1463">
      <c r="A1463" s="1" t="n">
        <v>44580</v>
      </c>
      <c r="B1463" s="5" t="n">
        <v>-0.006129153755231081</v>
      </c>
      <c r="C1463" s="5" t="n">
        <v>-0.002500924314883762</v>
      </c>
      <c r="D1463" s="5" t="n">
        <v>-0.001102925806235716</v>
      </c>
      <c r="E1463" s="5" t="n">
        <v>-0.0009639196473289668</v>
      </c>
      <c r="F1463" s="5" t="n">
        <v>0.006521618806595338</v>
      </c>
      <c r="G1463" s="5" t="n">
        <v>-0.01273165661630338</v>
      </c>
      <c r="H1463" s="5" t="n">
        <v>-0.006915296473473213</v>
      </c>
      <c r="I1463" s="5" t="n">
        <v>-0.0004425960378256642</v>
      </c>
      <c r="J1463" s="5" t="n">
        <v>-0.003311528210903494</v>
      </c>
      <c r="K1463" s="5" t="n">
        <v>-0.005862253370117117</v>
      </c>
      <c r="L1463" s="5" t="n">
        <v>-0.0004723246715227423</v>
      </c>
      <c r="M1463" s="5">
        <f>SUMPRODUCT(Exposures!$B$6:$K$6,B1463:K1463)</f>
        <v/>
      </c>
      <c r="N1463" s="5">
        <f>IF(AND($A1463&gt;=DATE(2020,2,1),$A1463&lt;=DATE(2020,5,31)),$M1463,"")</f>
        <v/>
      </c>
      <c r="O1463" s="5">
        <f>IF(AND($A1463&gt;=DATE(2022,1,1),$A1463&lt;=DATE(2022,10,31)),$M1463,"")</f>
        <v/>
      </c>
      <c r="P1463" s="5">
        <f>IF(AND($A1463&gt;=DATE(2018,10,1),$A1463&lt;=DATE(2018,12,31)),$M1463,"")</f>
        <v/>
      </c>
      <c r="Q1463" s="5">
        <f>SUMPRODUCT(Exposures!$B$8:$K$8,B1463:K1463)</f>
        <v/>
      </c>
      <c r="R1463" s="5">
        <f>SUMPRODUCT(Exposures!$B$9:$K$9,B1463:K1463)</f>
        <v/>
      </c>
      <c r="S1463" s="5">
        <f>SUMPRODUCT(Exposures!$B$10:$K$10,B1463:K1463)</f>
        <v/>
      </c>
    </row>
    <row r="1464">
      <c r="A1464" s="1" t="n">
        <v>44581</v>
      </c>
      <c r="B1464" s="5" t="n">
        <v>-0.00185092842810132</v>
      </c>
      <c r="C1464" s="5" t="n">
        <v>-0.003396654063825991</v>
      </c>
      <c r="D1464" s="5" t="n">
        <v>-0.0006413170329847717</v>
      </c>
      <c r="E1464" s="5" t="n">
        <v>-0.001406391608645425</v>
      </c>
      <c r="F1464" s="5" t="n">
        <v>-0.003055083103182767</v>
      </c>
      <c r="G1464" s="5" t="n">
        <v>-0.01551178096997631</v>
      </c>
      <c r="H1464" s="5" t="n">
        <v>-0.001645349837638598</v>
      </c>
      <c r="I1464" s="5" t="n">
        <v>-0.002246182262726572</v>
      </c>
      <c r="J1464" s="5" t="n">
        <v>-0.0007177203644393713</v>
      </c>
      <c r="K1464" s="5" t="n">
        <v>0.009820006513681062</v>
      </c>
      <c r="L1464" s="5" t="n">
        <v>0.004232615257986677</v>
      </c>
      <c r="M1464" s="5">
        <f>SUMPRODUCT(Exposures!$B$6:$K$6,B1464:K1464)</f>
        <v/>
      </c>
      <c r="N1464" s="5">
        <f>IF(AND($A1464&gt;=DATE(2020,2,1),$A1464&lt;=DATE(2020,5,31)),$M1464,"")</f>
        <v/>
      </c>
      <c r="O1464" s="5">
        <f>IF(AND($A1464&gt;=DATE(2022,1,1),$A1464&lt;=DATE(2022,10,31)),$M1464,"")</f>
        <v/>
      </c>
      <c r="P1464" s="5">
        <f>IF(AND($A1464&gt;=DATE(2018,10,1),$A1464&lt;=DATE(2018,12,31)),$M1464,"")</f>
        <v/>
      </c>
      <c r="Q1464" s="5">
        <f>SUMPRODUCT(Exposures!$B$8:$K$8,B1464:K1464)</f>
        <v/>
      </c>
      <c r="R1464" s="5">
        <f>SUMPRODUCT(Exposures!$B$9:$K$9,B1464:K1464)</f>
        <v/>
      </c>
      <c r="S1464" s="5">
        <f>SUMPRODUCT(Exposures!$B$10:$K$10,B1464:K1464)</f>
        <v/>
      </c>
    </row>
    <row r="1465">
      <c r="A1465" s="1" t="n">
        <v>44582</v>
      </c>
      <c r="B1465" s="5" t="n">
        <v>-0.006292366161649568</v>
      </c>
      <c r="C1465" s="5" t="n">
        <v>-0.0002497198556868901</v>
      </c>
      <c r="D1465" s="5" t="n">
        <v>0.003481902352635355</v>
      </c>
      <c r="E1465" s="5" t="n">
        <v>0.0008807588804503369</v>
      </c>
      <c r="F1465" s="5" t="n">
        <v>-0.006083622547041767</v>
      </c>
      <c r="G1465" s="5" t="n">
        <v>-0.02084894994138212</v>
      </c>
      <c r="H1465" s="5" t="n">
        <v>0.00282745606127624</v>
      </c>
      <c r="I1465" s="5" t="n">
        <v>0.0006032145433137806</v>
      </c>
      <c r="J1465" s="5" t="n">
        <v>-0.01324384725195452</v>
      </c>
      <c r="K1465" s="5" t="n">
        <v>-0.0005314383608306297</v>
      </c>
      <c r="L1465" s="5" t="n">
        <v>-0.003025189357456685</v>
      </c>
      <c r="M1465" s="5">
        <f>SUMPRODUCT(Exposures!$B$6:$K$6,B1465:K1465)</f>
        <v/>
      </c>
      <c r="N1465" s="5">
        <f>IF(AND($A1465&gt;=DATE(2020,2,1),$A1465&lt;=DATE(2020,5,31)),$M1465,"")</f>
        <v/>
      </c>
      <c r="O1465" s="5">
        <f>IF(AND($A1465&gt;=DATE(2022,1,1),$A1465&lt;=DATE(2022,10,31)),$M1465,"")</f>
        <v/>
      </c>
      <c r="P1465" s="5">
        <f>IF(AND($A1465&gt;=DATE(2018,10,1),$A1465&lt;=DATE(2018,12,31)),$M1465,"")</f>
        <v/>
      </c>
      <c r="Q1465" s="5">
        <f>SUMPRODUCT(Exposures!$B$8:$K$8,B1465:K1465)</f>
        <v/>
      </c>
      <c r="R1465" s="5">
        <f>SUMPRODUCT(Exposures!$B$9:$K$9,B1465:K1465)</f>
        <v/>
      </c>
      <c r="S1465" s="5">
        <f>SUMPRODUCT(Exposures!$B$10:$K$10,B1465:K1465)</f>
        <v/>
      </c>
    </row>
    <row r="1466">
      <c r="A1466" s="1" t="n">
        <v>44585</v>
      </c>
      <c r="B1466" s="5" t="n">
        <v>0.005390126423568611</v>
      </c>
      <c r="C1466" s="5" t="n">
        <v>0.002411799564902494</v>
      </c>
      <c r="D1466" s="5" t="n">
        <v>-0.0002428255894361909</v>
      </c>
      <c r="E1466" s="5" t="n">
        <v>0.001188129309148966</v>
      </c>
      <c r="F1466" s="5" t="n">
        <v>0.0008305671937042028</v>
      </c>
      <c r="G1466" s="5" t="n">
        <v>0.01368610716217601</v>
      </c>
      <c r="H1466" s="5" t="n">
        <v>0.002239104226273696</v>
      </c>
      <c r="I1466" s="5" t="n">
        <v>0.001836806740677996</v>
      </c>
      <c r="J1466" s="5" t="n">
        <v>0.002812932616623158</v>
      </c>
      <c r="K1466" s="5" t="n">
        <v>-0.009161873586058231</v>
      </c>
      <c r="L1466" s="5" t="n">
        <v>-0.004955665699297044</v>
      </c>
      <c r="M1466" s="5">
        <f>SUMPRODUCT(Exposures!$B$6:$K$6,B1466:K1466)</f>
        <v/>
      </c>
      <c r="N1466" s="5">
        <f>IF(AND($A1466&gt;=DATE(2020,2,1),$A1466&lt;=DATE(2020,5,31)),$M1466,"")</f>
        <v/>
      </c>
      <c r="O1466" s="5">
        <f>IF(AND($A1466&gt;=DATE(2022,1,1),$A1466&lt;=DATE(2022,10,31)),$M1466,"")</f>
        <v/>
      </c>
      <c r="P1466" s="5">
        <f>IF(AND($A1466&gt;=DATE(2018,10,1),$A1466&lt;=DATE(2018,12,31)),$M1466,"")</f>
        <v/>
      </c>
      <c r="Q1466" s="5">
        <f>SUMPRODUCT(Exposures!$B$8:$K$8,B1466:K1466)</f>
        <v/>
      </c>
      <c r="R1466" s="5">
        <f>SUMPRODUCT(Exposures!$B$9:$K$9,B1466:K1466)</f>
        <v/>
      </c>
      <c r="S1466" s="5">
        <f>SUMPRODUCT(Exposures!$B$10:$K$10,B1466:K1466)</f>
        <v/>
      </c>
    </row>
    <row r="1467">
      <c r="A1467" s="1" t="n">
        <v>44586</v>
      </c>
      <c r="B1467" s="5" t="n">
        <v>-0.0044015955804165</v>
      </c>
      <c r="C1467" s="5" t="n">
        <v>-0.004720752874618583</v>
      </c>
      <c r="D1467" s="5" t="n">
        <v>-0.003806935751496476</v>
      </c>
      <c r="E1467" s="5" t="n">
        <v>0.004152961433275481</v>
      </c>
      <c r="F1467" s="5" t="n">
        <v>-0.003087176020529102</v>
      </c>
      <c r="G1467" s="5" t="n">
        <v>-0.0107755027452026</v>
      </c>
      <c r="H1467" s="5" t="n">
        <v>0.001888888044393879</v>
      </c>
      <c r="I1467" s="5" t="n">
        <v>0.001241632792660269</v>
      </c>
      <c r="J1467" s="5" t="n">
        <v>-0.0005662941200074915</v>
      </c>
      <c r="K1467" s="5" t="n">
        <v>0.004744993221727425</v>
      </c>
      <c r="L1467" s="5" t="n">
        <v>0.007684196104671064</v>
      </c>
      <c r="M1467" s="5">
        <f>SUMPRODUCT(Exposures!$B$6:$K$6,B1467:K1467)</f>
        <v/>
      </c>
      <c r="N1467" s="5">
        <f>IF(AND($A1467&gt;=DATE(2020,2,1),$A1467&lt;=DATE(2020,5,31)),$M1467,"")</f>
        <v/>
      </c>
      <c r="O1467" s="5">
        <f>IF(AND($A1467&gt;=DATE(2022,1,1),$A1467&lt;=DATE(2022,10,31)),$M1467,"")</f>
        <v/>
      </c>
      <c r="P1467" s="5">
        <f>IF(AND($A1467&gt;=DATE(2018,10,1),$A1467&lt;=DATE(2018,12,31)),$M1467,"")</f>
        <v/>
      </c>
      <c r="Q1467" s="5">
        <f>SUMPRODUCT(Exposures!$B$8:$K$8,B1467:K1467)</f>
        <v/>
      </c>
      <c r="R1467" s="5">
        <f>SUMPRODUCT(Exposures!$B$9:$K$9,B1467:K1467)</f>
        <v/>
      </c>
      <c r="S1467" s="5">
        <f>SUMPRODUCT(Exposures!$B$10:$K$10,B1467:K1467)</f>
        <v/>
      </c>
    </row>
    <row r="1468">
      <c r="A1468" s="1" t="n">
        <v>44587</v>
      </c>
      <c r="B1468" s="5" t="n">
        <v>0.003854426273063153</v>
      </c>
      <c r="C1468" s="5" t="n">
        <v>-0.0006252477608875241</v>
      </c>
      <c r="D1468" s="5" t="n">
        <v>-0.002638371295946297</v>
      </c>
      <c r="E1468" s="5" t="n">
        <v>-0.001244115103559911</v>
      </c>
      <c r="F1468" s="5" t="n">
        <v>0.003611157224463892</v>
      </c>
      <c r="G1468" s="5" t="n">
        <v>-0.008972985651719844</v>
      </c>
      <c r="H1468" s="5" t="n">
        <v>0.003359180737349314</v>
      </c>
      <c r="I1468" s="5" t="n">
        <v>0.0009161008239815908</v>
      </c>
      <c r="J1468" s="5" t="n">
        <v>-0.003513931117725699</v>
      </c>
      <c r="K1468" s="5" t="n">
        <v>-0.003766362256278673</v>
      </c>
      <c r="L1468" s="5" t="n">
        <v>0.003925016597184635</v>
      </c>
      <c r="M1468" s="5">
        <f>SUMPRODUCT(Exposures!$B$6:$K$6,B1468:K1468)</f>
        <v/>
      </c>
      <c r="N1468" s="5">
        <f>IF(AND($A1468&gt;=DATE(2020,2,1),$A1468&lt;=DATE(2020,5,31)),$M1468,"")</f>
        <v/>
      </c>
      <c r="O1468" s="5">
        <f>IF(AND($A1468&gt;=DATE(2022,1,1),$A1468&lt;=DATE(2022,10,31)),$M1468,"")</f>
        <v/>
      </c>
      <c r="P1468" s="5">
        <f>IF(AND($A1468&gt;=DATE(2018,10,1),$A1468&lt;=DATE(2018,12,31)),$M1468,"")</f>
        <v/>
      </c>
      <c r="Q1468" s="5">
        <f>SUMPRODUCT(Exposures!$B$8:$K$8,B1468:K1468)</f>
        <v/>
      </c>
      <c r="R1468" s="5">
        <f>SUMPRODUCT(Exposures!$B$9:$K$9,B1468:K1468)</f>
        <v/>
      </c>
      <c r="S1468" s="5">
        <f>SUMPRODUCT(Exposures!$B$10:$K$10,B1468:K1468)</f>
        <v/>
      </c>
    </row>
    <row r="1469">
      <c r="A1469" s="1" t="n">
        <v>44588</v>
      </c>
      <c r="B1469" s="5" t="n">
        <v>-0.009839653384840209</v>
      </c>
      <c r="C1469" s="5" t="n">
        <v>0.0003998036775434018</v>
      </c>
      <c r="D1469" s="5" t="n">
        <v>-0.0009757457911301088</v>
      </c>
      <c r="E1469" s="5" t="n">
        <v>0.001055045269429848</v>
      </c>
      <c r="F1469" s="5" t="n">
        <v>-0.001211191349464289</v>
      </c>
      <c r="G1469" s="5" t="n">
        <v>-0.01626462700433088</v>
      </c>
      <c r="H1469" s="5" t="n">
        <v>0.006291398112064843</v>
      </c>
      <c r="I1469" s="5" t="n">
        <v>-0.001014029687769238</v>
      </c>
      <c r="J1469" s="5" t="n">
        <v>-0.008950638501738571</v>
      </c>
      <c r="K1469" s="5" t="n">
        <v>0.00429799868960572</v>
      </c>
      <c r="L1469" s="5" t="n">
        <v>-0.000438792832045599</v>
      </c>
      <c r="M1469" s="5">
        <f>SUMPRODUCT(Exposures!$B$6:$K$6,B1469:K1469)</f>
        <v/>
      </c>
      <c r="N1469" s="5">
        <f>IF(AND($A1469&gt;=DATE(2020,2,1),$A1469&lt;=DATE(2020,5,31)),$M1469,"")</f>
        <v/>
      </c>
      <c r="O1469" s="5">
        <f>IF(AND($A1469&gt;=DATE(2022,1,1),$A1469&lt;=DATE(2022,10,31)),$M1469,"")</f>
        <v/>
      </c>
      <c r="P1469" s="5">
        <f>IF(AND($A1469&gt;=DATE(2018,10,1),$A1469&lt;=DATE(2018,12,31)),$M1469,"")</f>
        <v/>
      </c>
      <c r="Q1469" s="5">
        <f>SUMPRODUCT(Exposures!$B$8:$K$8,B1469:K1469)</f>
        <v/>
      </c>
      <c r="R1469" s="5">
        <f>SUMPRODUCT(Exposures!$B$9:$K$9,B1469:K1469)</f>
        <v/>
      </c>
      <c r="S1469" s="5">
        <f>SUMPRODUCT(Exposures!$B$10:$K$10,B1469:K1469)</f>
        <v/>
      </c>
    </row>
    <row r="1470">
      <c r="A1470" s="1" t="n">
        <v>44589</v>
      </c>
      <c r="B1470" s="5" t="n">
        <v>0.005753813236800352</v>
      </c>
      <c r="C1470" s="5" t="n">
        <v>0.001777848046911957</v>
      </c>
      <c r="D1470" s="5" t="n">
        <v>0.001088659138227319</v>
      </c>
      <c r="E1470" s="5" t="n">
        <v>-0.002052471359769511</v>
      </c>
      <c r="F1470" s="5" t="n">
        <v>0.002883793313856253</v>
      </c>
      <c r="G1470" s="5" t="n">
        <v>0.02041964614862083</v>
      </c>
      <c r="H1470" s="5" t="n">
        <v>0.001136609170484493</v>
      </c>
      <c r="I1470" s="5" t="n">
        <v>-0.0004074099756648083</v>
      </c>
      <c r="J1470" s="5" t="n">
        <v>0.003946260565504652</v>
      </c>
      <c r="K1470" s="5" t="n">
        <v>0.00176253778625931</v>
      </c>
      <c r="L1470" s="5" t="n">
        <v>-0.004794740032033999</v>
      </c>
      <c r="M1470" s="5">
        <f>SUMPRODUCT(Exposures!$B$6:$K$6,B1470:K1470)</f>
        <v/>
      </c>
      <c r="N1470" s="5">
        <f>IF(AND($A1470&gt;=DATE(2020,2,1),$A1470&lt;=DATE(2020,5,31)),$M1470,"")</f>
        <v/>
      </c>
      <c r="O1470" s="5">
        <f>IF(AND($A1470&gt;=DATE(2022,1,1),$A1470&lt;=DATE(2022,10,31)),$M1470,"")</f>
        <v/>
      </c>
      <c r="P1470" s="5">
        <f>IF(AND($A1470&gt;=DATE(2018,10,1),$A1470&lt;=DATE(2018,12,31)),$M1470,"")</f>
        <v/>
      </c>
      <c r="Q1470" s="5">
        <f>SUMPRODUCT(Exposures!$B$8:$K$8,B1470:K1470)</f>
        <v/>
      </c>
      <c r="R1470" s="5">
        <f>SUMPRODUCT(Exposures!$B$9:$K$9,B1470:K1470)</f>
        <v/>
      </c>
      <c r="S1470" s="5">
        <f>SUMPRODUCT(Exposures!$B$10:$K$10,B1470:K1470)</f>
        <v/>
      </c>
    </row>
    <row r="1471">
      <c r="A1471" s="1" t="n">
        <v>44592</v>
      </c>
      <c r="B1471" s="5" t="n">
        <v>0.008423441892743631</v>
      </c>
      <c r="C1471" s="5" t="n">
        <v>0.00168878337440645</v>
      </c>
      <c r="D1471" s="5" t="n">
        <v>-0.0003368173279444853</v>
      </c>
      <c r="E1471" s="5" t="n">
        <v>-0.003588025800891471</v>
      </c>
      <c r="F1471" s="5" t="n">
        <v>-0.004185370642659149</v>
      </c>
      <c r="G1471" s="5" t="n">
        <v>0.03003931742873495</v>
      </c>
      <c r="H1471" s="5" t="n">
        <v>-0.002033072213365716</v>
      </c>
      <c r="I1471" s="5" t="n">
        <v>-0.00297006295563852</v>
      </c>
      <c r="J1471" s="5" t="n">
        <v>0.01869105774148346</v>
      </c>
      <c r="K1471" s="5" t="n">
        <v>0.00939914861426128</v>
      </c>
      <c r="L1471" s="5" t="n">
        <v>-0.001515769949146371</v>
      </c>
      <c r="M1471" s="5">
        <f>SUMPRODUCT(Exposures!$B$6:$K$6,B1471:K1471)</f>
        <v/>
      </c>
      <c r="N1471" s="5">
        <f>IF(AND($A1471&gt;=DATE(2020,2,1),$A1471&lt;=DATE(2020,5,31)),$M1471,"")</f>
        <v/>
      </c>
      <c r="O1471" s="5">
        <f>IF(AND($A1471&gt;=DATE(2022,1,1),$A1471&lt;=DATE(2022,10,31)),$M1471,"")</f>
        <v/>
      </c>
      <c r="P1471" s="5">
        <f>IF(AND($A1471&gt;=DATE(2018,10,1),$A1471&lt;=DATE(2018,12,31)),$M1471,"")</f>
        <v/>
      </c>
      <c r="Q1471" s="5">
        <f>SUMPRODUCT(Exposures!$B$8:$K$8,B1471:K1471)</f>
        <v/>
      </c>
      <c r="R1471" s="5">
        <f>SUMPRODUCT(Exposures!$B$9:$K$9,B1471:K1471)</f>
        <v/>
      </c>
      <c r="S1471" s="5">
        <f>SUMPRODUCT(Exposures!$B$10:$K$10,B1471:K1471)</f>
        <v/>
      </c>
    </row>
    <row r="1472">
      <c r="A1472" s="1" t="n">
        <v>44593</v>
      </c>
      <c r="B1472" s="5" t="n">
        <v>0.0007822102460200047</v>
      </c>
      <c r="C1472" s="5" t="n">
        <v>-0.001387190713494167</v>
      </c>
      <c r="D1472" s="5" t="n">
        <v>0.001416137725686642</v>
      </c>
      <c r="E1472" s="5" t="n">
        <v>0.001279350779752776</v>
      </c>
      <c r="F1472" s="5" t="n">
        <v>0.008225158427409696</v>
      </c>
      <c r="G1472" s="5" t="n">
        <v>0.01030945719564182</v>
      </c>
      <c r="H1472" s="5" t="n">
        <v>0.0008898172551268905</v>
      </c>
      <c r="I1472" s="5" t="n">
        <v>-0.0008086775895661053</v>
      </c>
      <c r="J1472" s="5" t="n">
        <v>0.008677290966683708</v>
      </c>
      <c r="K1472" s="5" t="n">
        <v>-0.004616523750665459</v>
      </c>
      <c r="L1472" s="5" t="n">
        <v>0.002116763395220992</v>
      </c>
      <c r="M1472" s="5">
        <f>SUMPRODUCT(Exposures!$B$6:$K$6,B1472:K1472)</f>
        <v/>
      </c>
      <c r="N1472" s="5">
        <f>IF(AND($A1472&gt;=DATE(2020,2,1),$A1472&lt;=DATE(2020,5,31)),$M1472,"")</f>
        <v/>
      </c>
      <c r="O1472" s="5">
        <f>IF(AND($A1472&gt;=DATE(2022,1,1),$A1472&lt;=DATE(2022,10,31)),$M1472,"")</f>
        <v/>
      </c>
      <c r="P1472" s="5">
        <f>IF(AND($A1472&gt;=DATE(2018,10,1),$A1472&lt;=DATE(2018,12,31)),$M1472,"")</f>
        <v/>
      </c>
      <c r="Q1472" s="5">
        <f>SUMPRODUCT(Exposures!$B$8:$K$8,B1472:K1472)</f>
        <v/>
      </c>
      <c r="R1472" s="5">
        <f>SUMPRODUCT(Exposures!$B$9:$K$9,B1472:K1472)</f>
        <v/>
      </c>
      <c r="S1472" s="5">
        <f>SUMPRODUCT(Exposures!$B$10:$K$10,B1472:K1472)</f>
        <v/>
      </c>
    </row>
    <row r="1473">
      <c r="A1473" s="1" t="n">
        <v>44594</v>
      </c>
      <c r="B1473" s="5" t="n">
        <v>-0.0003368727926422871</v>
      </c>
      <c r="C1473" s="5" t="n">
        <v>-0.0007146743341235643</v>
      </c>
      <c r="D1473" s="5" t="n">
        <v>0.00483514700559006</v>
      </c>
      <c r="E1473" s="5" t="n">
        <v>-0.001120836383536582</v>
      </c>
      <c r="F1473" s="5" t="n">
        <v>0.006127036366089768</v>
      </c>
      <c r="G1473" s="5" t="n">
        <v>-0.001591550448514435</v>
      </c>
      <c r="H1473" s="5" t="n">
        <v>0.008530778960822515</v>
      </c>
      <c r="I1473" s="5" t="n">
        <v>0.00260117936777601</v>
      </c>
      <c r="J1473" s="5" t="n">
        <v>-0.0115206977786263</v>
      </c>
      <c r="K1473" s="5" t="n">
        <v>-0.005945223597224308</v>
      </c>
      <c r="L1473" s="5" t="n">
        <v>0.001188383957551281</v>
      </c>
      <c r="M1473" s="5">
        <f>SUMPRODUCT(Exposures!$B$6:$K$6,B1473:K1473)</f>
        <v/>
      </c>
      <c r="N1473" s="5">
        <f>IF(AND($A1473&gt;=DATE(2020,2,1),$A1473&lt;=DATE(2020,5,31)),$M1473,"")</f>
        <v/>
      </c>
      <c r="O1473" s="5">
        <f>IF(AND($A1473&gt;=DATE(2022,1,1),$A1473&lt;=DATE(2022,10,31)),$M1473,"")</f>
        <v/>
      </c>
      <c r="P1473" s="5">
        <f>IF(AND($A1473&gt;=DATE(2018,10,1),$A1473&lt;=DATE(2018,12,31)),$M1473,"")</f>
        <v/>
      </c>
      <c r="Q1473" s="5">
        <f>SUMPRODUCT(Exposures!$B$8:$K$8,B1473:K1473)</f>
        <v/>
      </c>
      <c r="R1473" s="5">
        <f>SUMPRODUCT(Exposures!$B$9:$K$9,B1473:K1473)</f>
        <v/>
      </c>
      <c r="S1473" s="5">
        <f>SUMPRODUCT(Exposures!$B$10:$K$10,B1473:K1473)</f>
        <v/>
      </c>
    </row>
    <row r="1474">
      <c r="A1474" s="1" t="n">
        <v>44595</v>
      </c>
      <c r="B1474" s="5" t="n">
        <v>-0.01089461378937599</v>
      </c>
      <c r="C1474" s="5" t="n">
        <v>-0.002394992159697038</v>
      </c>
      <c r="D1474" s="5" t="n">
        <v>-0.003333711605106738</v>
      </c>
      <c r="E1474" s="5" t="n">
        <v>0.001596727428617486</v>
      </c>
      <c r="F1474" s="5" t="n">
        <v>-0.003488209807622661</v>
      </c>
      <c r="G1474" s="5" t="n">
        <v>-0.01704288972025831</v>
      </c>
      <c r="H1474" s="5" t="n">
        <v>0.002912533026032311</v>
      </c>
      <c r="I1474" s="5" t="n">
        <v>-0.002822960167027269</v>
      </c>
      <c r="J1474" s="5" t="n">
        <v>0.002494314147012692</v>
      </c>
      <c r="K1474" s="5" t="n">
        <v>0.008129682102876044</v>
      </c>
      <c r="L1474" s="5" t="n">
        <v>0.002219910284714367</v>
      </c>
      <c r="M1474" s="5">
        <f>SUMPRODUCT(Exposures!$B$6:$K$6,B1474:K1474)</f>
        <v/>
      </c>
      <c r="N1474" s="5">
        <f>IF(AND($A1474&gt;=DATE(2020,2,1),$A1474&lt;=DATE(2020,5,31)),$M1474,"")</f>
        <v/>
      </c>
      <c r="O1474" s="5">
        <f>IF(AND($A1474&gt;=DATE(2022,1,1),$A1474&lt;=DATE(2022,10,31)),$M1474,"")</f>
        <v/>
      </c>
      <c r="P1474" s="5">
        <f>IF(AND($A1474&gt;=DATE(2018,10,1),$A1474&lt;=DATE(2018,12,31)),$M1474,"")</f>
        <v/>
      </c>
      <c r="Q1474" s="5">
        <f>SUMPRODUCT(Exposures!$B$8:$K$8,B1474:K1474)</f>
        <v/>
      </c>
      <c r="R1474" s="5">
        <f>SUMPRODUCT(Exposures!$B$9:$K$9,B1474:K1474)</f>
        <v/>
      </c>
      <c r="S1474" s="5">
        <f>SUMPRODUCT(Exposures!$B$10:$K$10,B1474:K1474)</f>
        <v/>
      </c>
    </row>
    <row r="1475">
      <c r="A1475" s="1" t="n">
        <v>44596</v>
      </c>
      <c r="B1475" s="5" t="n">
        <v>0.004807109061740569</v>
      </c>
      <c r="C1475" s="5" t="n">
        <v>-0.002052898353135902</v>
      </c>
      <c r="D1475" s="5" t="n">
        <v>0.002056710538402755</v>
      </c>
      <c r="E1475" s="5" t="n">
        <v>-0.0006079718494248442</v>
      </c>
      <c r="F1475" s="5" t="n">
        <v>0.01098038148496607</v>
      </c>
      <c r="G1475" s="5" t="n">
        <v>0.008343508207829224</v>
      </c>
      <c r="H1475" s="5" t="n">
        <v>0.003661985101253695</v>
      </c>
      <c r="I1475" s="5" t="n">
        <v>0.001874314251589511</v>
      </c>
      <c r="J1475" s="5" t="n">
        <v>0.01766365255648275</v>
      </c>
      <c r="K1475" s="5" t="n">
        <v>-0.00450393236394634</v>
      </c>
      <c r="L1475" s="5" t="n">
        <v>0.005943300443032627</v>
      </c>
      <c r="M1475" s="5">
        <f>SUMPRODUCT(Exposures!$B$6:$K$6,B1475:K1475)</f>
        <v/>
      </c>
      <c r="N1475" s="5">
        <f>IF(AND($A1475&gt;=DATE(2020,2,1),$A1475&lt;=DATE(2020,5,31)),$M1475,"")</f>
        <v/>
      </c>
      <c r="O1475" s="5">
        <f>IF(AND($A1475&gt;=DATE(2022,1,1),$A1475&lt;=DATE(2022,10,31)),$M1475,"")</f>
        <v/>
      </c>
      <c r="P1475" s="5">
        <f>IF(AND($A1475&gt;=DATE(2018,10,1),$A1475&lt;=DATE(2018,12,31)),$M1475,"")</f>
        <v/>
      </c>
      <c r="Q1475" s="5">
        <f>SUMPRODUCT(Exposures!$B$8:$K$8,B1475:K1475)</f>
        <v/>
      </c>
      <c r="R1475" s="5">
        <f>SUMPRODUCT(Exposures!$B$9:$K$9,B1475:K1475)</f>
        <v/>
      </c>
      <c r="S1475" s="5">
        <f>SUMPRODUCT(Exposures!$B$10:$K$10,B1475:K1475)</f>
        <v/>
      </c>
    </row>
    <row r="1476">
      <c r="A1476" s="1" t="n">
        <v>44599</v>
      </c>
      <c r="B1476" s="5" t="n">
        <v>-0.004661918166551544</v>
      </c>
      <c r="C1476" s="5" t="n">
        <v>-0.007286229133269572</v>
      </c>
      <c r="D1476" s="5" t="n">
        <v>-0.003950932435658045</v>
      </c>
      <c r="E1476" s="5" t="n">
        <v>0.002644069733578323</v>
      </c>
      <c r="F1476" s="5" t="n">
        <v>0.00656001409641422</v>
      </c>
      <c r="G1476" s="5" t="n">
        <v>0.00354335010688737</v>
      </c>
      <c r="H1476" s="5" t="n">
        <v>0.0025813690867877</v>
      </c>
      <c r="I1476" s="5" t="n">
        <v>0.00324648231970263</v>
      </c>
      <c r="J1476" s="5" t="n">
        <v>0.001308454960679805</v>
      </c>
      <c r="K1476" s="5" t="n">
        <v>-0.01082483506228976</v>
      </c>
      <c r="L1476" s="5" t="n">
        <v>-0.00107080217699233</v>
      </c>
      <c r="M1476" s="5">
        <f>SUMPRODUCT(Exposures!$B$6:$K$6,B1476:K1476)</f>
        <v/>
      </c>
      <c r="N1476" s="5">
        <f>IF(AND($A1476&gt;=DATE(2020,2,1),$A1476&lt;=DATE(2020,5,31)),$M1476,"")</f>
        <v/>
      </c>
      <c r="O1476" s="5">
        <f>IF(AND($A1476&gt;=DATE(2022,1,1),$A1476&lt;=DATE(2022,10,31)),$M1476,"")</f>
        <v/>
      </c>
      <c r="P1476" s="5">
        <f>IF(AND($A1476&gt;=DATE(2018,10,1),$A1476&lt;=DATE(2018,12,31)),$M1476,"")</f>
        <v/>
      </c>
      <c r="Q1476" s="5">
        <f>SUMPRODUCT(Exposures!$B$8:$K$8,B1476:K1476)</f>
        <v/>
      </c>
      <c r="R1476" s="5">
        <f>SUMPRODUCT(Exposures!$B$9:$K$9,B1476:K1476)</f>
        <v/>
      </c>
      <c r="S1476" s="5">
        <f>SUMPRODUCT(Exposures!$B$10:$K$10,B1476:K1476)</f>
        <v/>
      </c>
    </row>
    <row r="1477">
      <c r="A1477" s="1" t="n">
        <v>44600</v>
      </c>
      <c r="B1477" s="5" t="n">
        <v>0.003924217602906803</v>
      </c>
      <c r="C1477" s="5" t="n">
        <v>0.0004853308580817291</v>
      </c>
      <c r="D1477" s="5" t="n">
        <v>-0.001129383074225643</v>
      </c>
      <c r="E1477" s="5" t="n">
        <v>0.003310662088464924</v>
      </c>
      <c r="F1477" s="5" t="n">
        <v>0.004992574138404532</v>
      </c>
      <c r="G1477" s="5" t="n">
        <v>0.01641513427413146</v>
      </c>
      <c r="H1477" s="5" t="n">
        <v>-0.0004472038242886174</v>
      </c>
      <c r="I1477" s="5" t="n">
        <v>-0.002913799934581998</v>
      </c>
      <c r="J1477" s="5" t="n">
        <v>0.008896417134437904</v>
      </c>
      <c r="K1477" s="5" t="n">
        <v>0.0008356769202815507</v>
      </c>
      <c r="L1477" s="5" t="n">
        <v>0.001246545649247622</v>
      </c>
      <c r="M1477" s="5">
        <f>SUMPRODUCT(Exposures!$B$6:$K$6,B1477:K1477)</f>
        <v/>
      </c>
      <c r="N1477" s="5">
        <f>IF(AND($A1477&gt;=DATE(2020,2,1),$A1477&lt;=DATE(2020,5,31)),$M1477,"")</f>
        <v/>
      </c>
      <c r="O1477" s="5">
        <f>IF(AND($A1477&gt;=DATE(2022,1,1),$A1477&lt;=DATE(2022,10,31)),$M1477,"")</f>
        <v/>
      </c>
      <c r="P1477" s="5">
        <f>IF(AND($A1477&gt;=DATE(2018,10,1),$A1477&lt;=DATE(2018,12,31)),$M1477,"")</f>
        <v/>
      </c>
      <c r="Q1477" s="5">
        <f>SUMPRODUCT(Exposures!$B$8:$K$8,B1477:K1477)</f>
        <v/>
      </c>
      <c r="R1477" s="5">
        <f>SUMPRODUCT(Exposures!$B$9:$K$9,B1477:K1477)</f>
        <v/>
      </c>
      <c r="S1477" s="5">
        <f>SUMPRODUCT(Exposures!$B$10:$K$10,B1477:K1477)</f>
        <v/>
      </c>
    </row>
    <row r="1478">
      <c r="A1478" s="1" t="n">
        <v>44601</v>
      </c>
      <c r="B1478" s="5" t="n">
        <v>0.008312862735784986</v>
      </c>
      <c r="C1478" s="5" t="n">
        <v>0.000139314970345635</v>
      </c>
      <c r="D1478" s="5" t="n">
        <v>-0.002517595804997301</v>
      </c>
      <c r="E1478" s="5" t="n">
        <v>-0.001321823877679845</v>
      </c>
      <c r="F1478" s="5" t="n">
        <v>0.008847788485788464</v>
      </c>
      <c r="G1478" s="5" t="n">
        <v>0.01888677097897258</v>
      </c>
      <c r="H1478" s="5" t="n">
        <v>-0.004029998599871574</v>
      </c>
      <c r="I1478" s="5" t="n">
        <v>-0.001492656218935248</v>
      </c>
      <c r="J1478" s="5" t="n">
        <v>0.00315300183542077</v>
      </c>
      <c r="K1478" s="5" t="n">
        <v>-0.007829428275436923</v>
      </c>
      <c r="L1478" s="5" t="n">
        <v>-0.004020073829669075</v>
      </c>
      <c r="M1478" s="5">
        <f>SUMPRODUCT(Exposures!$B$6:$K$6,B1478:K1478)</f>
        <v/>
      </c>
      <c r="N1478" s="5">
        <f>IF(AND($A1478&gt;=DATE(2020,2,1),$A1478&lt;=DATE(2020,5,31)),$M1478,"")</f>
        <v/>
      </c>
      <c r="O1478" s="5">
        <f>IF(AND($A1478&gt;=DATE(2022,1,1),$A1478&lt;=DATE(2022,10,31)),$M1478,"")</f>
        <v/>
      </c>
      <c r="P1478" s="5">
        <f>IF(AND($A1478&gt;=DATE(2018,10,1),$A1478&lt;=DATE(2018,12,31)),$M1478,"")</f>
        <v/>
      </c>
      <c r="Q1478" s="5">
        <f>SUMPRODUCT(Exposures!$B$8:$K$8,B1478:K1478)</f>
        <v/>
      </c>
      <c r="R1478" s="5">
        <f>SUMPRODUCT(Exposures!$B$9:$K$9,B1478:K1478)</f>
        <v/>
      </c>
      <c r="S1478" s="5">
        <f>SUMPRODUCT(Exposures!$B$10:$K$10,B1478:K1478)</f>
        <v/>
      </c>
    </row>
    <row r="1479">
      <c r="A1479" s="1" t="n">
        <v>44602</v>
      </c>
      <c r="B1479" s="5" t="n">
        <v>-0.001804563563291394</v>
      </c>
      <c r="C1479" s="5" t="n">
        <v>-0.0006506872916840678</v>
      </c>
      <c r="D1479" s="5" t="n">
        <v>0.005474950442748322</v>
      </c>
      <c r="E1479" s="5" t="n">
        <v>0.002078752173353183</v>
      </c>
      <c r="F1479" s="5" t="n">
        <v>-0.007959658502930754</v>
      </c>
      <c r="G1479" s="5" t="n">
        <v>-0.01685398812665155</v>
      </c>
      <c r="H1479" s="5" t="n">
        <v>0.004066465869974741</v>
      </c>
      <c r="I1479" s="5" t="n">
        <v>-0.0009111195644601311</v>
      </c>
      <c r="J1479" s="5" t="n">
        <v>-0.0008501997488935408</v>
      </c>
      <c r="K1479" s="5" t="n">
        <v>0.006075868834533483</v>
      </c>
      <c r="L1479" s="5" t="n">
        <v>0.002488685766067633</v>
      </c>
      <c r="M1479" s="5">
        <f>SUMPRODUCT(Exposures!$B$6:$K$6,B1479:K1479)</f>
        <v/>
      </c>
      <c r="N1479" s="5">
        <f>IF(AND($A1479&gt;=DATE(2020,2,1),$A1479&lt;=DATE(2020,5,31)),$M1479,"")</f>
        <v/>
      </c>
      <c r="O1479" s="5">
        <f>IF(AND($A1479&gt;=DATE(2022,1,1),$A1479&lt;=DATE(2022,10,31)),$M1479,"")</f>
        <v/>
      </c>
      <c r="P1479" s="5">
        <f>IF(AND($A1479&gt;=DATE(2018,10,1),$A1479&lt;=DATE(2018,12,31)),$M1479,"")</f>
        <v/>
      </c>
      <c r="Q1479" s="5">
        <f>SUMPRODUCT(Exposures!$B$8:$K$8,B1479:K1479)</f>
        <v/>
      </c>
      <c r="R1479" s="5">
        <f>SUMPRODUCT(Exposures!$B$9:$K$9,B1479:K1479)</f>
        <v/>
      </c>
      <c r="S1479" s="5">
        <f>SUMPRODUCT(Exposures!$B$10:$K$10,B1479:K1479)</f>
        <v/>
      </c>
    </row>
    <row r="1480">
      <c r="A1480" s="1" t="n">
        <v>44603</v>
      </c>
      <c r="B1480" s="5" t="n">
        <v>-0.01527891067977432</v>
      </c>
      <c r="C1480" s="5" t="n">
        <v>-0.002153865965958285</v>
      </c>
      <c r="D1480" s="5" t="n">
        <v>-0.001841436192078352</v>
      </c>
      <c r="E1480" s="5" t="n">
        <v>-0.0009982624467527049</v>
      </c>
      <c r="F1480" s="5" t="n">
        <v>-0.006751390005808522</v>
      </c>
      <c r="G1480" s="5" t="n">
        <v>-0.01776420514545481</v>
      </c>
      <c r="H1480" s="5" t="n">
        <v>0.003720559973194113</v>
      </c>
      <c r="I1480" s="5" t="n">
        <v>-0.001484104400991961</v>
      </c>
      <c r="J1480" s="5" t="n">
        <v>0.0001566798864476972</v>
      </c>
      <c r="K1480" s="5" t="n">
        <v>0.003265966823987962</v>
      </c>
      <c r="L1480" s="5" t="n">
        <v>0.00566705412162434</v>
      </c>
      <c r="M1480" s="5">
        <f>SUMPRODUCT(Exposures!$B$6:$K$6,B1480:K1480)</f>
        <v/>
      </c>
      <c r="N1480" s="5">
        <f>IF(AND($A1480&gt;=DATE(2020,2,1),$A1480&lt;=DATE(2020,5,31)),$M1480,"")</f>
        <v/>
      </c>
      <c r="O1480" s="5">
        <f>IF(AND($A1480&gt;=DATE(2022,1,1),$A1480&lt;=DATE(2022,10,31)),$M1480,"")</f>
        <v/>
      </c>
      <c r="P1480" s="5">
        <f>IF(AND($A1480&gt;=DATE(2018,10,1),$A1480&lt;=DATE(2018,12,31)),$M1480,"")</f>
        <v/>
      </c>
      <c r="Q1480" s="5">
        <f>SUMPRODUCT(Exposures!$B$8:$K$8,B1480:K1480)</f>
        <v/>
      </c>
      <c r="R1480" s="5">
        <f>SUMPRODUCT(Exposures!$B$9:$K$9,B1480:K1480)</f>
        <v/>
      </c>
      <c r="S1480" s="5">
        <f>SUMPRODUCT(Exposures!$B$10:$K$10,B1480:K1480)</f>
        <v/>
      </c>
    </row>
    <row r="1481">
      <c r="A1481" s="1" t="n">
        <v>44606</v>
      </c>
      <c r="B1481" s="5" t="n">
        <v>0.0002890137190477462</v>
      </c>
      <c r="C1481" s="5" t="n">
        <v>-0.000481113091068016</v>
      </c>
      <c r="D1481" s="5" t="n">
        <v>0.002570032188979489</v>
      </c>
      <c r="E1481" s="5" t="n">
        <v>-7.374257908589606e-05</v>
      </c>
      <c r="F1481" s="5" t="n">
        <v>0.003238733860380406</v>
      </c>
      <c r="G1481" s="5" t="n">
        <v>-0.005849500038708823</v>
      </c>
      <c r="H1481" s="5" t="n">
        <v>-0.001392629595501827</v>
      </c>
      <c r="I1481" s="5" t="n">
        <v>0.0004529907945457212</v>
      </c>
      <c r="J1481" s="5" t="n">
        <v>-5.745475313623398e-05</v>
      </c>
      <c r="K1481" s="5" t="n">
        <v>-0.002837654033261825</v>
      </c>
      <c r="L1481" s="5" t="n">
        <v>-0.0006009275133727766</v>
      </c>
      <c r="M1481" s="5">
        <f>SUMPRODUCT(Exposures!$B$6:$K$6,B1481:K1481)</f>
        <v/>
      </c>
      <c r="N1481" s="5">
        <f>IF(AND($A1481&gt;=DATE(2020,2,1),$A1481&lt;=DATE(2020,5,31)),$M1481,"")</f>
        <v/>
      </c>
      <c r="O1481" s="5">
        <f>IF(AND($A1481&gt;=DATE(2022,1,1),$A1481&lt;=DATE(2022,10,31)),$M1481,"")</f>
        <v/>
      </c>
      <c r="P1481" s="5">
        <f>IF(AND($A1481&gt;=DATE(2018,10,1),$A1481&lt;=DATE(2018,12,31)),$M1481,"")</f>
        <v/>
      </c>
      <c r="Q1481" s="5">
        <f>SUMPRODUCT(Exposures!$B$8:$K$8,B1481:K1481)</f>
        <v/>
      </c>
      <c r="R1481" s="5">
        <f>SUMPRODUCT(Exposures!$B$9:$K$9,B1481:K1481)</f>
        <v/>
      </c>
      <c r="S1481" s="5">
        <f>SUMPRODUCT(Exposures!$B$10:$K$10,B1481:K1481)</f>
        <v/>
      </c>
    </row>
    <row r="1482">
      <c r="A1482" s="1" t="n">
        <v>44607</v>
      </c>
      <c r="B1482" s="5" t="n">
        <v>0.01338975420286613</v>
      </c>
      <c r="C1482" s="5" t="n">
        <v>0.001412576141514494</v>
      </c>
      <c r="D1482" s="5" t="n">
        <v>-0.004729503592544381</v>
      </c>
      <c r="E1482" s="5" t="n">
        <v>0.001468011855195649</v>
      </c>
      <c r="F1482" s="5" t="n">
        <v>-0.003876679046176897</v>
      </c>
      <c r="G1482" s="5" t="n">
        <v>0.02395203173403367</v>
      </c>
      <c r="H1482" s="5" t="n">
        <v>-0.006755680729932769</v>
      </c>
      <c r="I1482" s="5" t="n">
        <v>0.002218676235885374</v>
      </c>
      <c r="J1482" s="5" t="n">
        <v>0.005129076499329916</v>
      </c>
      <c r="K1482" s="5" t="n">
        <v>0.001845732547837998</v>
      </c>
      <c r="L1482" s="5" t="n">
        <v>0.0001486281548142879</v>
      </c>
      <c r="M1482" s="5">
        <f>SUMPRODUCT(Exposures!$B$6:$K$6,B1482:K1482)</f>
        <v/>
      </c>
      <c r="N1482" s="5">
        <f>IF(AND($A1482&gt;=DATE(2020,2,1),$A1482&lt;=DATE(2020,5,31)),$M1482,"")</f>
        <v/>
      </c>
      <c r="O1482" s="5">
        <f>IF(AND($A1482&gt;=DATE(2022,1,1),$A1482&lt;=DATE(2022,10,31)),$M1482,"")</f>
        <v/>
      </c>
      <c r="P1482" s="5">
        <f>IF(AND($A1482&gt;=DATE(2018,10,1),$A1482&lt;=DATE(2018,12,31)),$M1482,"")</f>
        <v/>
      </c>
      <c r="Q1482" s="5">
        <f>SUMPRODUCT(Exposures!$B$8:$K$8,B1482:K1482)</f>
        <v/>
      </c>
      <c r="R1482" s="5">
        <f>SUMPRODUCT(Exposures!$B$9:$K$9,B1482:K1482)</f>
        <v/>
      </c>
      <c r="S1482" s="5">
        <f>SUMPRODUCT(Exposures!$B$10:$K$10,B1482:K1482)</f>
        <v/>
      </c>
    </row>
    <row r="1483">
      <c r="A1483" s="1" t="n">
        <v>44608</v>
      </c>
      <c r="B1483" s="5" t="n">
        <v>0.0004655870142227695</v>
      </c>
      <c r="C1483" s="5" t="n">
        <v>-0.002065896617657275</v>
      </c>
      <c r="D1483" s="5" t="n">
        <v>0.00158413698002656</v>
      </c>
      <c r="E1483" s="5" t="n">
        <v>-0.0007287489017150759</v>
      </c>
      <c r="F1483" s="5" t="n">
        <v>-0.001538376634934614</v>
      </c>
      <c r="G1483" s="5" t="n">
        <v>0.002726750878498478</v>
      </c>
      <c r="H1483" s="5" t="n">
        <v>0.003412004059030468</v>
      </c>
      <c r="I1483" s="5" t="n">
        <v>0.0005794891451073481</v>
      </c>
      <c r="J1483" s="5" t="n">
        <v>-6.746554015184811e-05</v>
      </c>
      <c r="K1483" s="5" t="n">
        <v>0.0001315119819015475</v>
      </c>
      <c r="L1483" s="5" t="n">
        <v>0.002601476728083091</v>
      </c>
      <c r="M1483" s="5">
        <f>SUMPRODUCT(Exposures!$B$6:$K$6,B1483:K1483)</f>
        <v/>
      </c>
      <c r="N1483" s="5">
        <f>IF(AND($A1483&gt;=DATE(2020,2,1),$A1483&lt;=DATE(2020,5,31)),$M1483,"")</f>
        <v/>
      </c>
      <c r="O1483" s="5">
        <f>IF(AND($A1483&gt;=DATE(2022,1,1),$A1483&lt;=DATE(2022,10,31)),$M1483,"")</f>
        <v/>
      </c>
      <c r="P1483" s="5">
        <f>IF(AND($A1483&gt;=DATE(2018,10,1),$A1483&lt;=DATE(2018,12,31)),$M1483,"")</f>
        <v/>
      </c>
      <c r="Q1483" s="5">
        <f>SUMPRODUCT(Exposures!$B$8:$K$8,B1483:K1483)</f>
        <v/>
      </c>
      <c r="R1483" s="5">
        <f>SUMPRODUCT(Exposures!$B$9:$K$9,B1483:K1483)</f>
        <v/>
      </c>
      <c r="S1483" s="5">
        <f>SUMPRODUCT(Exposures!$B$10:$K$10,B1483:K1483)</f>
        <v/>
      </c>
    </row>
    <row r="1484">
      <c r="A1484" s="1" t="n">
        <v>44609</v>
      </c>
      <c r="B1484" s="5" t="n">
        <v>-0.01223690523684816</v>
      </c>
      <c r="C1484" s="5" t="n">
        <v>-0.0007488415198684487</v>
      </c>
      <c r="D1484" s="5" t="n">
        <v>-0.00561843081531568</v>
      </c>
      <c r="E1484" s="5" t="n">
        <v>0.001750589147245678</v>
      </c>
      <c r="F1484" s="5" t="n">
        <v>-0.001879532554733828</v>
      </c>
      <c r="G1484" s="5" t="n">
        <v>-0.02468922469883224</v>
      </c>
      <c r="H1484" s="5" t="n">
        <v>0.002132749054903769</v>
      </c>
      <c r="I1484" s="5" t="n">
        <v>-0.0008763109949405721</v>
      </c>
      <c r="J1484" s="5" t="n">
        <v>-0.005302290658782192</v>
      </c>
      <c r="K1484" s="5" t="n">
        <v>0.001293028162267608</v>
      </c>
      <c r="L1484" s="5" t="n">
        <v>-0.0008426869133849513</v>
      </c>
      <c r="M1484" s="5">
        <f>SUMPRODUCT(Exposures!$B$6:$K$6,B1484:K1484)</f>
        <v/>
      </c>
      <c r="N1484" s="5">
        <f>IF(AND($A1484&gt;=DATE(2020,2,1),$A1484&lt;=DATE(2020,5,31)),$M1484,"")</f>
        <v/>
      </c>
      <c r="O1484" s="5">
        <f>IF(AND($A1484&gt;=DATE(2022,1,1),$A1484&lt;=DATE(2022,10,31)),$M1484,"")</f>
        <v/>
      </c>
      <c r="P1484" s="5">
        <f>IF(AND($A1484&gt;=DATE(2018,10,1),$A1484&lt;=DATE(2018,12,31)),$M1484,"")</f>
        <v/>
      </c>
      <c r="Q1484" s="5">
        <f>SUMPRODUCT(Exposures!$B$8:$K$8,B1484:K1484)</f>
        <v/>
      </c>
      <c r="R1484" s="5">
        <f>SUMPRODUCT(Exposures!$B$9:$K$9,B1484:K1484)</f>
        <v/>
      </c>
      <c r="S1484" s="5">
        <f>SUMPRODUCT(Exposures!$B$10:$K$10,B1484:K1484)</f>
        <v/>
      </c>
    </row>
    <row r="1485">
      <c r="A1485" s="1" t="n">
        <v>44610</v>
      </c>
      <c r="B1485" s="5" t="n">
        <v>-0.005244712212410593</v>
      </c>
      <c r="C1485" s="5" t="n">
        <v>-0.0003636467320474764</v>
      </c>
      <c r="D1485" s="5" t="n">
        <v>-0.007273814522951383</v>
      </c>
      <c r="E1485" s="5" t="n">
        <v>0.0006040937048273205</v>
      </c>
      <c r="F1485" s="5" t="n">
        <v>0.007315138639974024</v>
      </c>
      <c r="G1485" s="5" t="n">
        <v>-0.007775238269576116</v>
      </c>
      <c r="H1485" s="5" t="n">
        <v>0.005650756440846992</v>
      </c>
      <c r="I1485" s="5" t="n">
        <v>0.0007997110499499312</v>
      </c>
      <c r="J1485" s="5" t="n">
        <v>-0.006165149711079107</v>
      </c>
      <c r="K1485" s="5" t="n">
        <v>-0.01093920849325323</v>
      </c>
      <c r="L1485" s="5" t="n">
        <v>-0.000245122005855996</v>
      </c>
      <c r="M1485" s="5">
        <f>SUMPRODUCT(Exposures!$B$6:$K$6,B1485:K1485)</f>
        <v/>
      </c>
      <c r="N1485" s="5">
        <f>IF(AND($A1485&gt;=DATE(2020,2,1),$A1485&lt;=DATE(2020,5,31)),$M1485,"")</f>
        <v/>
      </c>
      <c r="O1485" s="5">
        <f>IF(AND($A1485&gt;=DATE(2022,1,1),$A1485&lt;=DATE(2022,10,31)),$M1485,"")</f>
        <v/>
      </c>
      <c r="P1485" s="5">
        <f>IF(AND($A1485&gt;=DATE(2018,10,1),$A1485&lt;=DATE(2018,12,31)),$M1485,"")</f>
        <v/>
      </c>
      <c r="Q1485" s="5">
        <f>SUMPRODUCT(Exposures!$B$8:$K$8,B1485:K1485)</f>
        <v/>
      </c>
      <c r="R1485" s="5">
        <f>SUMPRODUCT(Exposures!$B$9:$K$9,B1485:K1485)</f>
        <v/>
      </c>
      <c r="S1485" s="5">
        <f>SUMPRODUCT(Exposures!$B$10:$K$10,B1485:K1485)</f>
        <v/>
      </c>
    </row>
    <row r="1486">
      <c r="A1486" s="1" t="n">
        <v>44614</v>
      </c>
      <c r="B1486" s="5" t="n">
        <v>-0.001950810438167784</v>
      </c>
      <c r="C1486" s="5" t="n">
        <v>-0.0006180466773587141</v>
      </c>
      <c r="D1486" s="5" t="n">
        <v>1.125185157397146e-05</v>
      </c>
      <c r="E1486" s="5" t="n">
        <v>0.001283373395236139</v>
      </c>
      <c r="F1486" s="5" t="n">
        <v>-0.002338410058858301</v>
      </c>
      <c r="G1486" s="5" t="n">
        <v>-0.01510149804302343</v>
      </c>
      <c r="H1486" s="5" t="n">
        <v>0.002047275169961913</v>
      </c>
      <c r="I1486" s="5" t="n">
        <v>0.002879528699140771</v>
      </c>
      <c r="J1486" s="5" t="n">
        <v>-0.009053208408507677</v>
      </c>
      <c r="K1486" s="5" t="n">
        <v>4.866480247024685e-05</v>
      </c>
      <c r="L1486" s="5" t="n">
        <v>0.0001270584633993818</v>
      </c>
      <c r="M1486" s="5">
        <f>SUMPRODUCT(Exposures!$B$6:$K$6,B1486:K1486)</f>
        <v/>
      </c>
      <c r="N1486" s="5">
        <f>IF(AND($A1486&gt;=DATE(2020,2,1),$A1486&lt;=DATE(2020,5,31)),$M1486,"")</f>
        <v/>
      </c>
      <c r="O1486" s="5">
        <f>IF(AND($A1486&gt;=DATE(2022,1,1),$A1486&lt;=DATE(2022,10,31)),$M1486,"")</f>
        <v/>
      </c>
      <c r="P1486" s="5">
        <f>IF(AND($A1486&gt;=DATE(2018,10,1),$A1486&lt;=DATE(2018,12,31)),$M1486,"")</f>
        <v/>
      </c>
      <c r="Q1486" s="5">
        <f>SUMPRODUCT(Exposures!$B$8:$K$8,B1486:K1486)</f>
        <v/>
      </c>
      <c r="R1486" s="5">
        <f>SUMPRODUCT(Exposures!$B$9:$K$9,B1486:K1486)</f>
        <v/>
      </c>
      <c r="S1486" s="5">
        <f>SUMPRODUCT(Exposures!$B$10:$K$10,B1486:K1486)</f>
        <v/>
      </c>
    </row>
    <row r="1487">
      <c r="A1487" s="1" t="n">
        <v>44615</v>
      </c>
      <c r="B1487" s="5" t="n">
        <v>-0.004546510715741805</v>
      </c>
      <c r="C1487" s="5" t="n">
        <v>-0.001152198940660587</v>
      </c>
      <c r="D1487" s="5" t="n">
        <v>-0.004597268246006154</v>
      </c>
      <c r="E1487" s="5" t="n">
        <v>-0.001964823514392652</v>
      </c>
      <c r="F1487" s="5" t="n">
        <v>-0.003898858880316348</v>
      </c>
      <c r="G1487" s="5" t="n">
        <v>-0.01679911591363562</v>
      </c>
      <c r="H1487" s="5" t="n">
        <v>0.001504184513532391</v>
      </c>
      <c r="I1487" s="5" t="n">
        <v>0.002028996021395216</v>
      </c>
      <c r="J1487" s="5" t="n">
        <v>-0.001715135839615674</v>
      </c>
      <c r="K1487" s="5" t="n">
        <v>0.002912353368803289</v>
      </c>
      <c r="L1487" s="5" t="n">
        <v>0.002072088108589596</v>
      </c>
      <c r="M1487" s="5">
        <f>SUMPRODUCT(Exposures!$B$6:$K$6,B1487:K1487)</f>
        <v/>
      </c>
      <c r="N1487" s="5">
        <f>IF(AND($A1487&gt;=DATE(2020,2,1),$A1487&lt;=DATE(2020,5,31)),$M1487,"")</f>
        <v/>
      </c>
      <c r="O1487" s="5">
        <f>IF(AND($A1487&gt;=DATE(2022,1,1),$A1487&lt;=DATE(2022,10,31)),$M1487,"")</f>
        <v/>
      </c>
      <c r="P1487" s="5">
        <f>IF(AND($A1487&gt;=DATE(2018,10,1),$A1487&lt;=DATE(2018,12,31)),$M1487,"")</f>
        <v/>
      </c>
      <c r="Q1487" s="5">
        <f>SUMPRODUCT(Exposures!$B$8:$K$8,B1487:K1487)</f>
        <v/>
      </c>
      <c r="R1487" s="5">
        <f>SUMPRODUCT(Exposures!$B$9:$K$9,B1487:K1487)</f>
        <v/>
      </c>
      <c r="S1487" s="5">
        <f>SUMPRODUCT(Exposures!$B$10:$K$10,B1487:K1487)</f>
        <v/>
      </c>
    </row>
    <row r="1488">
      <c r="A1488" s="1" t="n">
        <v>44616</v>
      </c>
      <c r="B1488" s="5" t="n">
        <v>0.01387856230164474</v>
      </c>
      <c r="C1488" s="5" t="n">
        <v>-0.0001996266245520616</v>
      </c>
      <c r="D1488" s="5" t="n">
        <v>0.01087519429316187</v>
      </c>
      <c r="E1488" s="5" t="n">
        <v>-0.003873215484526861</v>
      </c>
      <c r="F1488" s="5" t="n">
        <v>0.003652220025617259</v>
      </c>
      <c r="G1488" s="5" t="n">
        <v>0.01878650005728541</v>
      </c>
      <c r="H1488" s="5" t="n">
        <v>-0.002935486401130995</v>
      </c>
      <c r="I1488" s="5" t="n">
        <v>0.002161499193364367</v>
      </c>
      <c r="J1488" s="5" t="n">
        <v>0.004292591539185903</v>
      </c>
      <c r="K1488" s="5" t="n">
        <v>-0.008153935388311389</v>
      </c>
      <c r="L1488" s="5" t="n">
        <v>-0.009596496913859175</v>
      </c>
      <c r="M1488" s="5">
        <f>SUMPRODUCT(Exposures!$B$6:$K$6,B1488:K1488)</f>
        <v/>
      </c>
      <c r="N1488" s="5">
        <f>IF(AND($A1488&gt;=DATE(2020,2,1),$A1488&lt;=DATE(2020,5,31)),$M1488,"")</f>
        <v/>
      </c>
      <c r="O1488" s="5">
        <f>IF(AND($A1488&gt;=DATE(2022,1,1),$A1488&lt;=DATE(2022,10,31)),$M1488,"")</f>
        <v/>
      </c>
      <c r="P1488" s="5">
        <f>IF(AND($A1488&gt;=DATE(2018,10,1),$A1488&lt;=DATE(2018,12,31)),$M1488,"")</f>
        <v/>
      </c>
      <c r="Q1488" s="5">
        <f>SUMPRODUCT(Exposures!$B$8:$K$8,B1488:K1488)</f>
        <v/>
      </c>
      <c r="R1488" s="5">
        <f>SUMPRODUCT(Exposures!$B$9:$K$9,B1488:K1488)</f>
        <v/>
      </c>
      <c r="S1488" s="5">
        <f>SUMPRODUCT(Exposures!$B$10:$K$10,B1488:K1488)</f>
        <v/>
      </c>
    </row>
    <row r="1489">
      <c r="A1489" s="1" t="n">
        <v>44617</v>
      </c>
      <c r="B1489" s="5" t="n">
        <v>-0.002473451159340871</v>
      </c>
      <c r="C1489" s="5" t="n">
        <v>0.001397455762190035</v>
      </c>
      <c r="D1489" s="5" t="n">
        <v>-0.002589428192459189</v>
      </c>
      <c r="E1489" s="5" t="n">
        <v>0.001114952902310369</v>
      </c>
      <c r="F1489" s="5" t="n">
        <v>-0.002955265684573474</v>
      </c>
      <c r="G1489" s="5" t="n">
        <v>0.02746717961213133</v>
      </c>
      <c r="H1489" s="5" t="n">
        <v>0.006332489900636366</v>
      </c>
      <c r="I1489" s="5" t="n">
        <v>0.0003501966045704682</v>
      </c>
      <c r="J1489" s="5" t="n">
        <v>0.0007859863519630578</v>
      </c>
      <c r="K1489" s="5" t="n">
        <v>-0.0002642083682611161</v>
      </c>
      <c r="L1489" s="5" t="n">
        <v>0.0008573655476169654</v>
      </c>
      <c r="M1489" s="5">
        <f>SUMPRODUCT(Exposures!$B$6:$K$6,B1489:K1489)</f>
        <v/>
      </c>
      <c r="N1489" s="5">
        <f>IF(AND($A1489&gt;=DATE(2020,2,1),$A1489&lt;=DATE(2020,5,31)),$M1489,"")</f>
        <v/>
      </c>
      <c r="O1489" s="5">
        <f>IF(AND($A1489&gt;=DATE(2022,1,1),$A1489&lt;=DATE(2022,10,31)),$M1489,"")</f>
        <v/>
      </c>
      <c r="P1489" s="5">
        <f>IF(AND($A1489&gt;=DATE(2018,10,1),$A1489&lt;=DATE(2018,12,31)),$M1489,"")</f>
        <v/>
      </c>
      <c r="Q1489" s="5">
        <f>SUMPRODUCT(Exposures!$B$8:$K$8,B1489:K1489)</f>
        <v/>
      </c>
      <c r="R1489" s="5">
        <f>SUMPRODUCT(Exposures!$B$9:$K$9,B1489:K1489)</f>
        <v/>
      </c>
      <c r="S1489" s="5">
        <f>SUMPRODUCT(Exposures!$B$10:$K$10,B1489:K1489)</f>
        <v/>
      </c>
    </row>
    <row r="1490">
      <c r="A1490" s="1" t="n">
        <v>44620</v>
      </c>
      <c r="B1490" s="5" t="n">
        <v>0.002403344736000736</v>
      </c>
      <c r="C1490" s="5" t="n">
        <v>-0.00078858830187395</v>
      </c>
      <c r="D1490" s="5" t="n">
        <v>-0.004686114224764813</v>
      </c>
      <c r="E1490" s="5" t="n">
        <v>-0.003055745391239739</v>
      </c>
      <c r="F1490" s="5" t="n">
        <v>0.00718097294825897</v>
      </c>
      <c r="G1490" s="5" t="n">
        <v>-0.0002274304865541487</v>
      </c>
      <c r="H1490" s="5" t="n">
        <v>-0.002824890110011436</v>
      </c>
      <c r="I1490" s="5" t="n">
        <v>0.002604273831399461</v>
      </c>
      <c r="J1490" s="5" t="n">
        <v>0.0009631400011927611</v>
      </c>
      <c r="K1490" s="5" t="n">
        <v>-0.01058980344154421</v>
      </c>
      <c r="L1490" s="5" t="n">
        <v>-0.005113863812201883</v>
      </c>
      <c r="M1490" s="5">
        <f>SUMPRODUCT(Exposures!$B$6:$K$6,B1490:K1490)</f>
        <v/>
      </c>
      <c r="N1490" s="5">
        <f>IF(AND($A1490&gt;=DATE(2020,2,1),$A1490&lt;=DATE(2020,5,31)),$M1490,"")</f>
        <v/>
      </c>
      <c r="O1490" s="5">
        <f>IF(AND($A1490&gt;=DATE(2022,1,1),$A1490&lt;=DATE(2022,10,31)),$M1490,"")</f>
        <v/>
      </c>
      <c r="P1490" s="5">
        <f>IF(AND($A1490&gt;=DATE(2018,10,1),$A1490&lt;=DATE(2018,12,31)),$M1490,"")</f>
        <v/>
      </c>
      <c r="Q1490" s="5">
        <f>SUMPRODUCT(Exposures!$B$8:$K$8,B1490:K1490)</f>
        <v/>
      </c>
      <c r="R1490" s="5">
        <f>SUMPRODUCT(Exposures!$B$9:$K$9,B1490:K1490)</f>
        <v/>
      </c>
      <c r="S1490" s="5">
        <f>SUMPRODUCT(Exposures!$B$10:$K$10,B1490:K1490)</f>
        <v/>
      </c>
    </row>
    <row r="1491">
      <c r="A1491" s="1" t="n">
        <v>44621</v>
      </c>
      <c r="B1491" s="5" t="n">
        <v>-0.01201217883997943</v>
      </c>
      <c r="C1491" s="5" t="n">
        <v>-0.002477854230734246</v>
      </c>
      <c r="D1491" s="5" t="n">
        <v>0.001232659506086172</v>
      </c>
      <c r="E1491" s="5" t="n">
        <v>-0.004314365554205358</v>
      </c>
      <c r="F1491" s="5" t="n">
        <v>0.0003320970061242989</v>
      </c>
      <c r="G1491" s="5" t="n">
        <v>-0.01586291109481267</v>
      </c>
      <c r="H1491" s="5" t="n">
        <v>0.0003799330986855977</v>
      </c>
      <c r="I1491" s="5" t="n">
        <v>-0.00285056485959018</v>
      </c>
      <c r="J1491" s="5" t="n">
        <v>0.008765158020475495</v>
      </c>
      <c r="K1491" s="5" t="n">
        <v>0.004903608613857115</v>
      </c>
      <c r="L1491" s="5" t="n">
        <v>-0.001295673391139214</v>
      </c>
      <c r="M1491" s="5">
        <f>SUMPRODUCT(Exposures!$B$6:$K$6,B1491:K1491)</f>
        <v/>
      </c>
      <c r="N1491" s="5">
        <f>IF(AND($A1491&gt;=DATE(2020,2,1),$A1491&lt;=DATE(2020,5,31)),$M1491,"")</f>
        <v/>
      </c>
      <c r="O1491" s="5">
        <f>IF(AND($A1491&gt;=DATE(2022,1,1),$A1491&lt;=DATE(2022,10,31)),$M1491,"")</f>
        <v/>
      </c>
      <c r="P1491" s="5">
        <f>IF(AND($A1491&gt;=DATE(2018,10,1),$A1491&lt;=DATE(2018,12,31)),$M1491,"")</f>
        <v/>
      </c>
      <c r="Q1491" s="5">
        <f>SUMPRODUCT(Exposures!$B$8:$K$8,B1491:K1491)</f>
        <v/>
      </c>
      <c r="R1491" s="5">
        <f>SUMPRODUCT(Exposures!$B$9:$K$9,B1491:K1491)</f>
        <v/>
      </c>
      <c r="S1491" s="5">
        <f>SUMPRODUCT(Exposures!$B$10:$K$10,B1491:K1491)</f>
        <v/>
      </c>
    </row>
    <row r="1492">
      <c r="A1492" s="1" t="n">
        <v>44622</v>
      </c>
      <c r="B1492" s="5" t="n">
        <v>0.007811519391050096</v>
      </c>
      <c r="C1492" s="5" t="n">
        <v>-0.003620699225086636</v>
      </c>
      <c r="D1492" s="5" t="n">
        <v>-0.001080291733989619</v>
      </c>
      <c r="E1492" s="5" t="n">
        <v>0.002728253737380629</v>
      </c>
      <c r="F1492" s="5" t="n">
        <v>-0.008199074905714823</v>
      </c>
      <c r="G1492" s="5" t="n">
        <v>0.01899294193621045</v>
      </c>
      <c r="H1492" s="5" t="n">
        <v>0.01145679963663205</v>
      </c>
      <c r="I1492" s="5" t="n">
        <v>-0.001317518400877461</v>
      </c>
      <c r="J1492" s="5" t="n">
        <v>-0.00681257705349888</v>
      </c>
      <c r="K1492" s="5" t="n">
        <v>0.002599838386974506</v>
      </c>
      <c r="L1492" s="5" t="n">
        <v>0.003940212492444859</v>
      </c>
      <c r="M1492" s="5">
        <f>SUMPRODUCT(Exposures!$B$6:$K$6,B1492:K1492)</f>
        <v/>
      </c>
      <c r="N1492" s="5">
        <f>IF(AND($A1492&gt;=DATE(2020,2,1),$A1492&lt;=DATE(2020,5,31)),$M1492,"")</f>
        <v/>
      </c>
      <c r="O1492" s="5">
        <f>IF(AND($A1492&gt;=DATE(2022,1,1),$A1492&lt;=DATE(2022,10,31)),$M1492,"")</f>
        <v/>
      </c>
      <c r="P1492" s="5">
        <f>IF(AND($A1492&gt;=DATE(2018,10,1),$A1492&lt;=DATE(2018,12,31)),$M1492,"")</f>
        <v/>
      </c>
      <c r="Q1492" s="5">
        <f>SUMPRODUCT(Exposures!$B$8:$K$8,B1492:K1492)</f>
        <v/>
      </c>
      <c r="R1492" s="5">
        <f>SUMPRODUCT(Exposures!$B$9:$K$9,B1492:K1492)</f>
        <v/>
      </c>
      <c r="S1492" s="5">
        <f>SUMPRODUCT(Exposures!$B$10:$K$10,B1492:K1492)</f>
        <v/>
      </c>
    </row>
    <row r="1493">
      <c r="A1493" s="1" t="n">
        <v>44623</v>
      </c>
      <c r="B1493" s="5" t="n">
        <v>-0.01073406614659159</v>
      </c>
      <c r="C1493" s="5" t="n">
        <v>0.00219151757478004</v>
      </c>
      <c r="D1493" s="5" t="n">
        <v>-0.002269064048516228</v>
      </c>
      <c r="E1493" s="5" t="n">
        <v>0.0001056381590697089</v>
      </c>
      <c r="F1493" s="5" t="n">
        <v>-0.0008255102953940241</v>
      </c>
      <c r="G1493" s="5" t="n">
        <v>-0.01082229246926221</v>
      </c>
      <c r="H1493" s="5" t="n">
        <v>0.003322481377948182</v>
      </c>
      <c r="I1493" s="5" t="n">
        <v>-0.001236957642177636</v>
      </c>
      <c r="J1493" s="5" t="n">
        <v>-0.008809435462406884</v>
      </c>
      <c r="K1493" s="5" t="n">
        <v>-0.002359824334340164</v>
      </c>
      <c r="L1493" s="5" t="n">
        <v>-0.001479155808505067</v>
      </c>
      <c r="M1493" s="5">
        <f>SUMPRODUCT(Exposures!$B$6:$K$6,B1493:K1493)</f>
        <v/>
      </c>
      <c r="N1493" s="5">
        <f>IF(AND($A1493&gt;=DATE(2020,2,1),$A1493&lt;=DATE(2020,5,31)),$M1493,"")</f>
        <v/>
      </c>
      <c r="O1493" s="5">
        <f>IF(AND($A1493&gt;=DATE(2022,1,1),$A1493&lt;=DATE(2022,10,31)),$M1493,"")</f>
        <v/>
      </c>
      <c r="P1493" s="5">
        <f>IF(AND($A1493&gt;=DATE(2018,10,1),$A1493&lt;=DATE(2018,12,31)),$M1493,"")</f>
        <v/>
      </c>
      <c r="Q1493" s="5">
        <f>SUMPRODUCT(Exposures!$B$8:$K$8,B1493:K1493)</f>
        <v/>
      </c>
      <c r="R1493" s="5">
        <f>SUMPRODUCT(Exposures!$B$9:$K$9,B1493:K1493)</f>
        <v/>
      </c>
      <c r="S1493" s="5">
        <f>SUMPRODUCT(Exposures!$B$10:$K$10,B1493:K1493)</f>
        <v/>
      </c>
    </row>
    <row r="1494">
      <c r="A1494" s="1" t="n">
        <v>44624</v>
      </c>
      <c r="B1494" s="5" t="n">
        <v>-0.01701528291065053</v>
      </c>
      <c r="C1494" s="5" t="n">
        <v>-0.001396310149942013</v>
      </c>
      <c r="D1494" s="5" t="n">
        <v>0.00329425160353899</v>
      </c>
      <c r="E1494" s="5" t="n">
        <v>-0.001975467684391823</v>
      </c>
      <c r="F1494" s="5" t="n">
        <v>0.004521812383046377</v>
      </c>
      <c r="G1494" s="5" t="n">
        <v>-0.0128257545484173</v>
      </c>
      <c r="H1494" s="5" t="n">
        <v>0.006452537462511737</v>
      </c>
      <c r="I1494" s="5" t="n">
        <v>-5.438307585992324e-05</v>
      </c>
      <c r="J1494" s="5" t="n">
        <v>-0.000526002080478336</v>
      </c>
      <c r="K1494" s="5" t="n">
        <v>-0.005062985581185068</v>
      </c>
      <c r="L1494" s="5" t="n">
        <v>-0.003669481334602208</v>
      </c>
      <c r="M1494" s="5">
        <f>SUMPRODUCT(Exposures!$B$6:$K$6,B1494:K1494)</f>
        <v/>
      </c>
      <c r="N1494" s="5">
        <f>IF(AND($A1494&gt;=DATE(2020,2,1),$A1494&lt;=DATE(2020,5,31)),$M1494,"")</f>
        <v/>
      </c>
      <c r="O1494" s="5">
        <f>IF(AND($A1494&gt;=DATE(2022,1,1),$A1494&lt;=DATE(2022,10,31)),$M1494,"")</f>
        <v/>
      </c>
      <c r="P1494" s="5">
        <f>IF(AND($A1494&gt;=DATE(2018,10,1),$A1494&lt;=DATE(2018,12,31)),$M1494,"")</f>
        <v/>
      </c>
      <c r="Q1494" s="5">
        <f>SUMPRODUCT(Exposures!$B$8:$K$8,B1494:K1494)</f>
        <v/>
      </c>
      <c r="R1494" s="5">
        <f>SUMPRODUCT(Exposures!$B$9:$K$9,B1494:K1494)</f>
        <v/>
      </c>
      <c r="S1494" s="5">
        <f>SUMPRODUCT(Exposures!$B$10:$K$10,B1494:K1494)</f>
        <v/>
      </c>
    </row>
    <row r="1495">
      <c r="A1495" s="1" t="n">
        <v>44627</v>
      </c>
      <c r="B1495" s="5" t="n">
        <v>-0.01705096146154449</v>
      </c>
      <c r="C1495" s="5" t="n">
        <v>-0.002955031394413338</v>
      </c>
      <c r="D1495" s="5" t="n">
        <v>-0.002269194705969554</v>
      </c>
      <c r="E1495" s="5" t="n">
        <v>-0.0007723264807860167</v>
      </c>
      <c r="F1495" s="5" t="n">
        <v>-0.007780389340259174</v>
      </c>
      <c r="G1495" s="5" t="n">
        <v>-0.0308032340878124</v>
      </c>
      <c r="H1495" s="5" t="n">
        <v>7.067476703628665e-05</v>
      </c>
      <c r="I1495" s="5" t="n">
        <v>0.004117901412569301</v>
      </c>
      <c r="J1495" s="5" t="n">
        <v>0.004956864457707206</v>
      </c>
      <c r="K1495" s="5" t="n">
        <v>0.004944984053969904</v>
      </c>
      <c r="L1495" s="5" t="n">
        <v>-0.002931965399866275</v>
      </c>
      <c r="M1495" s="5">
        <f>SUMPRODUCT(Exposures!$B$6:$K$6,B1495:K1495)</f>
        <v/>
      </c>
      <c r="N1495" s="5">
        <f>IF(AND($A1495&gt;=DATE(2020,2,1),$A1495&lt;=DATE(2020,5,31)),$M1495,"")</f>
        <v/>
      </c>
      <c r="O1495" s="5">
        <f>IF(AND($A1495&gt;=DATE(2022,1,1),$A1495&lt;=DATE(2022,10,31)),$M1495,"")</f>
        <v/>
      </c>
      <c r="P1495" s="5">
        <f>IF(AND($A1495&gt;=DATE(2018,10,1),$A1495&lt;=DATE(2018,12,31)),$M1495,"")</f>
        <v/>
      </c>
      <c r="Q1495" s="5">
        <f>SUMPRODUCT(Exposures!$B$8:$K$8,B1495:K1495)</f>
        <v/>
      </c>
      <c r="R1495" s="5">
        <f>SUMPRODUCT(Exposures!$B$9:$K$9,B1495:K1495)</f>
        <v/>
      </c>
      <c r="S1495" s="5">
        <f>SUMPRODUCT(Exposures!$B$10:$K$10,B1495:K1495)</f>
        <v/>
      </c>
    </row>
    <row r="1496">
      <c r="A1496" s="1" t="n">
        <v>44628</v>
      </c>
      <c r="B1496" s="5" t="n">
        <v>0.009287986352323268</v>
      </c>
      <c r="C1496" s="5" t="n">
        <v>-0.001039013301809551</v>
      </c>
      <c r="D1496" s="5" t="n">
        <v>-0.002794734299164199</v>
      </c>
      <c r="E1496" s="5" t="n">
        <v>-0.003364003648452229</v>
      </c>
      <c r="F1496" s="5" t="n">
        <v>0.00331251924426233</v>
      </c>
      <c r="G1496" s="5" t="n">
        <v>-0.001997311444627288</v>
      </c>
      <c r="H1496" s="5" t="n">
        <v>0.001675174876711154</v>
      </c>
      <c r="I1496" s="5" t="n">
        <v>0.001122708688391483</v>
      </c>
      <c r="J1496" s="5" t="n">
        <v>0.004583574691631655</v>
      </c>
      <c r="K1496" s="5" t="n">
        <v>-0.004076530674735105</v>
      </c>
      <c r="L1496" s="5" t="n">
        <v>0.003966797672826935</v>
      </c>
      <c r="M1496" s="5">
        <f>SUMPRODUCT(Exposures!$B$6:$K$6,B1496:K1496)</f>
        <v/>
      </c>
      <c r="N1496" s="5">
        <f>IF(AND($A1496&gt;=DATE(2020,2,1),$A1496&lt;=DATE(2020,5,31)),$M1496,"")</f>
        <v/>
      </c>
      <c r="O1496" s="5">
        <f>IF(AND($A1496&gt;=DATE(2022,1,1),$A1496&lt;=DATE(2022,10,31)),$M1496,"")</f>
        <v/>
      </c>
      <c r="P1496" s="5">
        <f>IF(AND($A1496&gt;=DATE(2018,10,1),$A1496&lt;=DATE(2018,12,31)),$M1496,"")</f>
        <v/>
      </c>
      <c r="Q1496" s="5">
        <f>SUMPRODUCT(Exposures!$B$8:$K$8,B1496:K1496)</f>
        <v/>
      </c>
      <c r="R1496" s="5">
        <f>SUMPRODUCT(Exposures!$B$9:$K$9,B1496:K1496)</f>
        <v/>
      </c>
      <c r="S1496" s="5">
        <f>SUMPRODUCT(Exposures!$B$10:$K$10,B1496:K1496)</f>
        <v/>
      </c>
    </row>
    <row r="1497">
      <c r="A1497" s="1" t="n">
        <v>44629</v>
      </c>
      <c r="B1497" s="5" t="n">
        <v>0.01819715928289171</v>
      </c>
      <c r="C1497" s="5" t="n">
        <v>0.001720790060705722</v>
      </c>
      <c r="D1497" s="5" t="n">
        <v>-3.740402371954954e-05</v>
      </c>
      <c r="E1497" s="5" t="n">
        <v>0.00371122167357826</v>
      </c>
      <c r="F1497" s="5" t="n">
        <v>0.004589404041041949</v>
      </c>
      <c r="G1497" s="5" t="n">
        <v>0.02930180766773414</v>
      </c>
      <c r="H1497" s="5" t="n">
        <v>-0.003342716023111693</v>
      </c>
      <c r="I1497" s="5" t="n">
        <v>-0.0007163254299408037</v>
      </c>
      <c r="J1497" s="5" t="n">
        <v>-0.001433627530322638</v>
      </c>
      <c r="K1497" s="5" t="n">
        <v>-0.003523478220739711</v>
      </c>
      <c r="L1497" s="5" t="n">
        <v>0.001305127976438845</v>
      </c>
      <c r="M1497" s="5">
        <f>SUMPRODUCT(Exposures!$B$6:$K$6,B1497:K1497)</f>
        <v/>
      </c>
      <c r="N1497" s="5">
        <f>IF(AND($A1497&gt;=DATE(2020,2,1),$A1497&lt;=DATE(2020,5,31)),$M1497,"")</f>
        <v/>
      </c>
      <c r="O1497" s="5">
        <f>IF(AND($A1497&gt;=DATE(2022,1,1),$A1497&lt;=DATE(2022,10,31)),$M1497,"")</f>
        <v/>
      </c>
      <c r="P1497" s="5">
        <f>IF(AND($A1497&gt;=DATE(2018,10,1),$A1497&lt;=DATE(2018,12,31)),$M1497,"")</f>
        <v/>
      </c>
      <c r="Q1497" s="5">
        <f>SUMPRODUCT(Exposures!$B$8:$K$8,B1497:K1497)</f>
        <v/>
      </c>
      <c r="R1497" s="5">
        <f>SUMPRODUCT(Exposures!$B$9:$K$9,B1497:K1497)</f>
        <v/>
      </c>
      <c r="S1497" s="5">
        <f>SUMPRODUCT(Exposures!$B$10:$K$10,B1497:K1497)</f>
        <v/>
      </c>
    </row>
    <row r="1498">
      <c r="A1498" s="1" t="n">
        <v>44630</v>
      </c>
      <c r="B1498" s="5" t="n">
        <v>-0.003073673898854466</v>
      </c>
      <c r="C1498" s="5" t="n">
        <v>-4.275387933224884e-05</v>
      </c>
      <c r="D1498" s="5" t="n">
        <v>-0.0001324481496364134</v>
      </c>
      <c r="E1498" s="5" t="n">
        <v>0.001052364883198473</v>
      </c>
      <c r="F1498" s="5" t="n">
        <v>0.009523475634843416</v>
      </c>
      <c r="G1498" s="5" t="n">
        <v>-0.005909375810493048</v>
      </c>
      <c r="H1498" s="5" t="n">
        <v>0.007960452457074916</v>
      </c>
      <c r="I1498" s="5" t="n">
        <v>0.003116556839515593</v>
      </c>
      <c r="J1498" s="5" t="n">
        <v>-0.004450711332949305</v>
      </c>
      <c r="K1498" s="5" t="n">
        <v>-0.01843114304402944</v>
      </c>
      <c r="L1498" s="5" t="n">
        <v>-0.002932399852949705</v>
      </c>
      <c r="M1498" s="5">
        <f>SUMPRODUCT(Exposures!$B$6:$K$6,B1498:K1498)</f>
        <v/>
      </c>
      <c r="N1498" s="5">
        <f>IF(AND($A1498&gt;=DATE(2020,2,1),$A1498&lt;=DATE(2020,5,31)),$M1498,"")</f>
        <v/>
      </c>
      <c r="O1498" s="5">
        <f>IF(AND($A1498&gt;=DATE(2022,1,1),$A1498&lt;=DATE(2022,10,31)),$M1498,"")</f>
        <v/>
      </c>
      <c r="P1498" s="5">
        <f>IF(AND($A1498&gt;=DATE(2018,10,1),$A1498&lt;=DATE(2018,12,31)),$M1498,"")</f>
        <v/>
      </c>
      <c r="Q1498" s="5">
        <f>SUMPRODUCT(Exposures!$B$8:$K$8,B1498:K1498)</f>
        <v/>
      </c>
      <c r="R1498" s="5">
        <f>SUMPRODUCT(Exposures!$B$9:$K$9,B1498:K1498)</f>
        <v/>
      </c>
      <c r="S1498" s="5">
        <f>SUMPRODUCT(Exposures!$B$10:$K$10,B1498:K1498)</f>
        <v/>
      </c>
    </row>
    <row r="1499">
      <c r="A1499" s="1" t="n">
        <v>44631</v>
      </c>
      <c r="B1499" s="5" t="n">
        <v>-0.004063225100935835</v>
      </c>
      <c r="C1499" s="5" t="n">
        <v>0.002151552200217893</v>
      </c>
      <c r="D1499" s="5" t="n">
        <v>-0.003134675846324559</v>
      </c>
      <c r="E1499" s="5" t="n">
        <v>0.002158945093459024</v>
      </c>
      <c r="F1499" s="5" t="n">
        <v>-0.001663038269007443</v>
      </c>
      <c r="G1499" s="5" t="n">
        <v>-0.01810457137617598</v>
      </c>
      <c r="H1499" s="5" t="n">
        <v>0.005882962932808261</v>
      </c>
      <c r="I1499" s="5" t="n">
        <v>0.002119549446202175</v>
      </c>
      <c r="J1499" s="5" t="n">
        <v>-0.01144288713471706</v>
      </c>
      <c r="K1499" s="5" t="n">
        <v>-0.005909818407220688</v>
      </c>
      <c r="L1499" s="5" t="n">
        <v>0.001063348452861608</v>
      </c>
      <c r="M1499" s="5">
        <f>SUMPRODUCT(Exposures!$B$6:$K$6,B1499:K1499)</f>
        <v/>
      </c>
      <c r="N1499" s="5">
        <f>IF(AND($A1499&gt;=DATE(2020,2,1),$A1499&lt;=DATE(2020,5,31)),$M1499,"")</f>
        <v/>
      </c>
      <c r="O1499" s="5">
        <f>IF(AND($A1499&gt;=DATE(2022,1,1),$A1499&lt;=DATE(2022,10,31)),$M1499,"")</f>
        <v/>
      </c>
      <c r="P1499" s="5">
        <f>IF(AND($A1499&gt;=DATE(2018,10,1),$A1499&lt;=DATE(2018,12,31)),$M1499,"")</f>
        <v/>
      </c>
      <c r="Q1499" s="5">
        <f>SUMPRODUCT(Exposures!$B$8:$K$8,B1499:K1499)</f>
        <v/>
      </c>
      <c r="R1499" s="5">
        <f>SUMPRODUCT(Exposures!$B$9:$K$9,B1499:K1499)</f>
        <v/>
      </c>
      <c r="S1499" s="5">
        <f>SUMPRODUCT(Exposures!$B$10:$K$10,B1499:K1499)</f>
        <v/>
      </c>
    </row>
    <row r="1500">
      <c r="A1500" s="1" t="n">
        <v>44634</v>
      </c>
      <c r="B1500" s="5" t="n">
        <v>-0.01004930192811646</v>
      </c>
      <c r="C1500" s="5" t="n">
        <v>0.00311590972276907</v>
      </c>
      <c r="D1500" s="5" t="n">
        <v>-0.002407221578446037</v>
      </c>
      <c r="E1500" s="5" t="n">
        <v>0.005052586348441617</v>
      </c>
      <c r="F1500" s="5" t="n">
        <v>0.002144581176273995</v>
      </c>
      <c r="G1500" s="5" t="n">
        <v>-0.01196824127742411</v>
      </c>
      <c r="H1500" s="5" t="n">
        <v>0.006761469638457574</v>
      </c>
      <c r="I1500" s="5" t="n">
        <v>0.002952381495207151</v>
      </c>
      <c r="J1500" s="5" t="n">
        <v>-0.01059972475776248</v>
      </c>
      <c r="K1500" s="5" t="n">
        <v>-0.01177363829009168</v>
      </c>
      <c r="L1500" s="5" t="n">
        <v>-0.0009550918582928022</v>
      </c>
      <c r="M1500" s="5">
        <f>SUMPRODUCT(Exposures!$B$6:$K$6,B1500:K1500)</f>
        <v/>
      </c>
      <c r="N1500" s="5">
        <f>IF(AND($A1500&gt;=DATE(2020,2,1),$A1500&lt;=DATE(2020,5,31)),$M1500,"")</f>
        <v/>
      </c>
      <c r="O1500" s="5">
        <f>IF(AND($A1500&gt;=DATE(2022,1,1),$A1500&lt;=DATE(2022,10,31)),$M1500,"")</f>
        <v/>
      </c>
      <c r="P1500" s="5">
        <f>IF(AND($A1500&gt;=DATE(2018,10,1),$A1500&lt;=DATE(2018,12,31)),$M1500,"")</f>
        <v/>
      </c>
      <c r="Q1500" s="5">
        <f>SUMPRODUCT(Exposures!$B$8:$K$8,B1500:K1500)</f>
        <v/>
      </c>
      <c r="R1500" s="5">
        <f>SUMPRODUCT(Exposures!$B$9:$K$9,B1500:K1500)</f>
        <v/>
      </c>
      <c r="S1500" s="5">
        <f>SUMPRODUCT(Exposures!$B$10:$K$10,B1500:K1500)</f>
        <v/>
      </c>
    </row>
    <row r="1501">
      <c r="A1501" s="1" t="n">
        <v>44635</v>
      </c>
      <c r="B1501" s="5" t="n">
        <v>0.005238116217679958</v>
      </c>
      <c r="C1501" s="5" t="n">
        <v>-0.0007121251052836126</v>
      </c>
      <c r="D1501" s="5" t="n">
        <v>-0.0001743631840112637</v>
      </c>
      <c r="E1501" s="5" t="n">
        <v>-0.001664100563066381</v>
      </c>
      <c r="F1501" s="5" t="n">
        <v>0.01400904490951501</v>
      </c>
      <c r="G1501" s="5" t="n">
        <v>0.0180241032038355</v>
      </c>
      <c r="H1501" s="5" t="n">
        <v>-0.002819247658957092</v>
      </c>
      <c r="I1501" s="5" t="n">
        <v>-0.0004421575900587587</v>
      </c>
      <c r="J1501" s="5" t="n">
        <v>-0.003222187578835982</v>
      </c>
      <c r="K1501" s="5" t="n">
        <v>-0.01307699756292339</v>
      </c>
      <c r="L1501" s="5" t="n">
        <v>-0.003441049614484324</v>
      </c>
      <c r="M1501" s="5">
        <f>SUMPRODUCT(Exposures!$B$6:$K$6,B1501:K1501)</f>
        <v/>
      </c>
      <c r="N1501" s="5">
        <f>IF(AND($A1501&gt;=DATE(2020,2,1),$A1501&lt;=DATE(2020,5,31)),$M1501,"")</f>
        <v/>
      </c>
      <c r="O1501" s="5">
        <f>IF(AND($A1501&gt;=DATE(2022,1,1),$A1501&lt;=DATE(2022,10,31)),$M1501,"")</f>
        <v/>
      </c>
      <c r="P1501" s="5">
        <f>IF(AND($A1501&gt;=DATE(2018,10,1),$A1501&lt;=DATE(2018,12,31)),$M1501,"")</f>
        <v/>
      </c>
      <c r="Q1501" s="5">
        <f>SUMPRODUCT(Exposures!$B$8:$K$8,B1501:K1501)</f>
        <v/>
      </c>
      <c r="R1501" s="5">
        <f>SUMPRODUCT(Exposures!$B$9:$K$9,B1501:K1501)</f>
        <v/>
      </c>
      <c r="S1501" s="5">
        <f>SUMPRODUCT(Exposures!$B$10:$K$10,B1501:K1501)</f>
        <v/>
      </c>
    </row>
    <row r="1502">
      <c r="A1502" s="1" t="n">
        <v>44636</v>
      </c>
      <c r="B1502" s="5" t="n">
        <v>0.01616057160559727</v>
      </c>
      <c r="C1502" s="5" t="n">
        <v>0.01095740429419003</v>
      </c>
      <c r="D1502" s="5" t="n">
        <v>0.007101863281663133</v>
      </c>
      <c r="E1502" s="5" t="n">
        <v>-0.007358437208706143</v>
      </c>
      <c r="F1502" s="5" t="n">
        <v>-0.02425257009596845</v>
      </c>
      <c r="G1502" s="5" t="n">
        <v>0.03445817913185906</v>
      </c>
      <c r="H1502" s="5" t="n">
        <v>-0.02045708876886359</v>
      </c>
      <c r="I1502" s="5" t="n">
        <v>-0.01678960582808552</v>
      </c>
      <c r="J1502" s="5" t="n">
        <v>0.03362178393431898</v>
      </c>
      <c r="K1502" s="5" t="n">
        <v>0.0605763559697124</v>
      </c>
      <c r="L1502" s="5" t="n">
        <v>0.01303496760692837</v>
      </c>
      <c r="M1502" s="5">
        <f>SUMPRODUCT(Exposures!$B$6:$K$6,B1502:K1502)</f>
        <v/>
      </c>
      <c r="N1502" s="5">
        <f>IF(AND($A1502&gt;=DATE(2020,2,1),$A1502&lt;=DATE(2020,5,31)),$M1502,"")</f>
        <v/>
      </c>
      <c r="O1502" s="5">
        <f>IF(AND($A1502&gt;=DATE(2022,1,1),$A1502&lt;=DATE(2022,10,31)),$M1502,"")</f>
        <v/>
      </c>
      <c r="P1502" s="5">
        <f>IF(AND($A1502&gt;=DATE(2018,10,1),$A1502&lt;=DATE(2018,12,31)),$M1502,"")</f>
        <v/>
      </c>
      <c r="Q1502" s="5">
        <f>SUMPRODUCT(Exposures!$B$8:$K$8,B1502:K1502)</f>
        <v/>
      </c>
      <c r="R1502" s="5">
        <f>SUMPRODUCT(Exposures!$B$9:$K$9,B1502:K1502)</f>
        <v/>
      </c>
      <c r="S1502" s="5">
        <f>SUMPRODUCT(Exposures!$B$10:$K$10,B1502:K1502)</f>
        <v/>
      </c>
    </row>
    <row r="1503">
      <c r="A1503" s="1" t="n">
        <v>44637</v>
      </c>
      <c r="B1503" s="5" t="n">
        <v>0.001038797297718495</v>
      </c>
      <c r="C1503" s="5" t="n">
        <v>-0.001546420253898049</v>
      </c>
      <c r="D1503" s="5" t="n">
        <v>0.001530821139185535</v>
      </c>
      <c r="E1503" s="5" t="n">
        <v>0.002247335453833945</v>
      </c>
      <c r="F1503" s="5" t="n">
        <v>0.00359137668413562</v>
      </c>
      <c r="G1503" s="5" t="n">
        <v>0.01523691971608867</v>
      </c>
      <c r="H1503" s="5" t="n">
        <v>0.007078607517388059</v>
      </c>
      <c r="I1503" s="5" t="n">
        <v>0.002560310216112006</v>
      </c>
      <c r="J1503" s="5" t="n">
        <v>0.006972282638298109</v>
      </c>
      <c r="K1503" s="5" t="n">
        <v>-0.008620918031099167</v>
      </c>
      <c r="L1503" s="5" t="n">
        <v>-0.004927745647910691</v>
      </c>
      <c r="M1503" s="5">
        <f>SUMPRODUCT(Exposures!$B$6:$K$6,B1503:K1503)</f>
        <v/>
      </c>
      <c r="N1503" s="5">
        <f>IF(AND($A1503&gt;=DATE(2020,2,1),$A1503&lt;=DATE(2020,5,31)),$M1503,"")</f>
        <v/>
      </c>
      <c r="O1503" s="5">
        <f>IF(AND($A1503&gt;=DATE(2022,1,1),$A1503&lt;=DATE(2022,10,31)),$M1503,"")</f>
        <v/>
      </c>
      <c r="P1503" s="5">
        <f>IF(AND($A1503&gt;=DATE(2018,10,1),$A1503&lt;=DATE(2018,12,31)),$M1503,"")</f>
        <v/>
      </c>
      <c r="Q1503" s="5">
        <f>SUMPRODUCT(Exposures!$B$8:$K$8,B1503:K1503)</f>
        <v/>
      </c>
      <c r="R1503" s="5">
        <f>SUMPRODUCT(Exposures!$B$9:$K$9,B1503:K1503)</f>
        <v/>
      </c>
      <c r="S1503" s="5">
        <f>SUMPRODUCT(Exposures!$B$10:$K$10,B1503:K1503)</f>
        <v/>
      </c>
    </row>
    <row r="1504">
      <c r="A1504" s="1" t="n">
        <v>44638</v>
      </c>
      <c r="B1504" s="5" t="n">
        <v>0.005329865181028012</v>
      </c>
      <c r="C1504" s="5" t="n">
        <v>0.0004604376310716002</v>
      </c>
      <c r="D1504" s="5" t="n">
        <v>0.0005022799630297068</v>
      </c>
      <c r="E1504" s="5" t="n">
        <v>-0.001699305286316334</v>
      </c>
      <c r="F1504" s="5" t="n">
        <v>0.001442121635480285</v>
      </c>
      <c r="G1504" s="5" t="n">
        <v>0.01233941848872745</v>
      </c>
      <c r="H1504" s="5" t="n">
        <v>-0.007234225833785617</v>
      </c>
      <c r="I1504" s="5" t="n">
        <v>-0.003376436638360099</v>
      </c>
      <c r="J1504" s="5" t="n">
        <v>0.008015812560386385</v>
      </c>
      <c r="K1504" s="5" t="n">
        <v>0.007190131960767865</v>
      </c>
      <c r="L1504" s="5" t="n">
        <v>6.755409159873006e-05</v>
      </c>
      <c r="M1504" s="5">
        <f>SUMPRODUCT(Exposures!$B$6:$K$6,B1504:K1504)</f>
        <v/>
      </c>
      <c r="N1504" s="5">
        <f>IF(AND($A1504&gt;=DATE(2020,2,1),$A1504&lt;=DATE(2020,5,31)),$M1504,"")</f>
        <v/>
      </c>
      <c r="O1504" s="5">
        <f>IF(AND($A1504&gt;=DATE(2022,1,1),$A1504&lt;=DATE(2022,10,31)),$M1504,"")</f>
        <v/>
      </c>
      <c r="P1504" s="5">
        <f>IF(AND($A1504&gt;=DATE(2018,10,1),$A1504&lt;=DATE(2018,12,31)),$M1504,"")</f>
        <v/>
      </c>
      <c r="Q1504" s="5">
        <f>SUMPRODUCT(Exposures!$B$8:$K$8,B1504:K1504)</f>
        <v/>
      </c>
      <c r="R1504" s="5">
        <f>SUMPRODUCT(Exposures!$B$9:$K$9,B1504:K1504)</f>
        <v/>
      </c>
      <c r="S1504" s="5">
        <f>SUMPRODUCT(Exposures!$B$10:$K$10,B1504:K1504)</f>
        <v/>
      </c>
    </row>
    <row r="1505">
      <c r="A1505" s="1" t="n">
        <v>44641</v>
      </c>
      <c r="B1505" s="5" t="n">
        <v>-0.006357895861292666</v>
      </c>
      <c r="C1505" s="5" t="n">
        <v>-0.001870938920205135</v>
      </c>
      <c r="D1505" s="5" t="n">
        <v>-0.001083948730981725</v>
      </c>
      <c r="E1505" s="5" t="n">
        <v>-0.001348074339710885</v>
      </c>
      <c r="F1505" s="5" t="n">
        <v>0.006927396642936286</v>
      </c>
      <c r="G1505" s="5" t="n">
        <v>-0.005269383636215185</v>
      </c>
      <c r="H1505" s="5" t="n">
        <v>0.005997869607421802</v>
      </c>
      <c r="I1505" s="5" t="n">
        <v>0.002961917444909982</v>
      </c>
      <c r="J1505" s="5" t="n">
        <v>-0.0005533910652645447</v>
      </c>
      <c r="K1505" s="5" t="n">
        <v>-0.008951842002180362</v>
      </c>
      <c r="L1505" s="5" t="n">
        <v>-0.001164741880487836</v>
      </c>
      <c r="M1505" s="5">
        <f>SUMPRODUCT(Exposures!$B$6:$K$6,B1505:K1505)</f>
        <v/>
      </c>
      <c r="N1505" s="5">
        <f>IF(AND($A1505&gt;=DATE(2020,2,1),$A1505&lt;=DATE(2020,5,31)),$M1505,"")</f>
        <v/>
      </c>
      <c r="O1505" s="5">
        <f>IF(AND($A1505&gt;=DATE(2022,1,1),$A1505&lt;=DATE(2022,10,31)),$M1505,"")</f>
        <v/>
      </c>
      <c r="P1505" s="5">
        <f>IF(AND($A1505&gt;=DATE(2018,10,1),$A1505&lt;=DATE(2018,12,31)),$M1505,"")</f>
        <v/>
      </c>
      <c r="Q1505" s="5">
        <f>SUMPRODUCT(Exposures!$B$8:$K$8,B1505:K1505)</f>
        <v/>
      </c>
      <c r="R1505" s="5">
        <f>SUMPRODUCT(Exposures!$B$9:$K$9,B1505:K1505)</f>
        <v/>
      </c>
      <c r="S1505" s="5">
        <f>SUMPRODUCT(Exposures!$B$10:$K$10,B1505:K1505)</f>
        <v/>
      </c>
    </row>
    <row r="1506">
      <c r="A1506" s="1" t="n">
        <v>44642</v>
      </c>
      <c r="B1506" s="5" t="n">
        <v>0.005241489845546544</v>
      </c>
      <c r="C1506" s="5" t="n">
        <v>0.002369493557798156</v>
      </c>
      <c r="D1506" s="5" t="n">
        <v>0.001346164045157071</v>
      </c>
      <c r="E1506" s="5" t="n">
        <v>0.001068736963785956</v>
      </c>
      <c r="F1506" s="5" t="n">
        <v>-0.004125631359396961</v>
      </c>
      <c r="G1506" s="5" t="n">
        <v>0.01238648358328551</v>
      </c>
      <c r="H1506" s="5" t="n">
        <v>-0.008038234191446947</v>
      </c>
      <c r="I1506" s="5" t="n">
        <v>-0.005352924965772147</v>
      </c>
      <c r="J1506" s="5" t="n">
        <v>0.01079294581827828</v>
      </c>
      <c r="K1506" s="5" t="n">
        <v>0.01725728346663723</v>
      </c>
      <c r="L1506" s="5" t="n">
        <v>0.005039559955282964</v>
      </c>
      <c r="M1506" s="5">
        <f>SUMPRODUCT(Exposures!$B$6:$K$6,B1506:K1506)</f>
        <v/>
      </c>
      <c r="N1506" s="5">
        <f>IF(AND($A1506&gt;=DATE(2020,2,1),$A1506&lt;=DATE(2020,5,31)),$M1506,"")</f>
        <v/>
      </c>
      <c r="O1506" s="5">
        <f>IF(AND($A1506&gt;=DATE(2022,1,1),$A1506&lt;=DATE(2022,10,31)),$M1506,"")</f>
        <v/>
      </c>
      <c r="P1506" s="5">
        <f>IF(AND($A1506&gt;=DATE(2018,10,1),$A1506&lt;=DATE(2018,12,31)),$M1506,"")</f>
        <v/>
      </c>
      <c r="Q1506" s="5">
        <f>SUMPRODUCT(Exposures!$B$8:$K$8,B1506:K1506)</f>
        <v/>
      </c>
      <c r="R1506" s="5">
        <f>SUMPRODUCT(Exposures!$B$9:$K$9,B1506:K1506)</f>
        <v/>
      </c>
      <c r="S1506" s="5">
        <f>SUMPRODUCT(Exposures!$B$10:$K$10,B1506:K1506)</f>
        <v/>
      </c>
    </row>
    <row r="1507">
      <c r="A1507" s="1" t="n">
        <v>44643</v>
      </c>
      <c r="B1507" s="5" t="n">
        <v>-0.009329227623324153</v>
      </c>
      <c r="C1507" s="5" t="n">
        <v>-0.002379860985327743</v>
      </c>
      <c r="D1507" s="5" t="n">
        <v>-0.003541695290712072</v>
      </c>
      <c r="E1507" s="5" t="n">
        <v>-0.002989744620737082</v>
      </c>
      <c r="F1507" s="5" t="n">
        <v>0.006329133656388456</v>
      </c>
      <c r="G1507" s="5" t="n">
        <v>-0.01399896246445468</v>
      </c>
      <c r="H1507" s="5" t="n">
        <v>0.003309748750284194</v>
      </c>
      <c r="I1507" s="5" t="n">
        <v>-0.003705133460422838</v>
      </c>
      <c r="J1507" s="5" t="n">
        <v>0.008921198347218072</v>
      </c>
      <c r="K1507" s="5" t="n">
        <v>-0.001270129113283237</v>
      </c>
      <c r="L1507" s="5" t="n">
        <v>0.002881803366652586</v>
      </c>
      <c r="M1507" s="5">
        <f>SUMPRODUCT(Exposures!$B$6:$K$6,B1507:K1507)</f>
        <v/>
      </c>
      <c r="N1507" s="5">
        <f>IF(AND($A1507&gt;=DATE(2020,2,1),$A1507&lt;=DATE(2020,5,31)),$M1507,"")</f>
        <v/>
      </c>
      <c r="O1507" s="5">
        <f>IF(AND($A1507&gt;=DATE(2022,1,1),$A1507&lt;=DATE(2022,10,31)),$M1507,"")</f>
        <v/>
      </c>
      <c r="P1507" s="5">
        <f>IF(AND($A1507&gt;=DATE(2018,10,1),$A1507&lt;=DATE(2018,12,31)),$M1507,"")</f>
        <v/>
      </c>
      <c r="Q1507" s="5">
        <f>SUMPRODUCT(Exposures!$B$8:$K$8,B1507:K1507)</f>
        <v/>
      </c>
      <c r="R1507" s="5">
        <f>SUMPRODUCT(Exposures!$B$9:$K$9,B1507:K1507)</f>
        <v/>
      </c>
      <c r="S1507" s="5">
        <f>SUMPRODUCT(Exposures!$B$10:$K$10,B1507:K1507)</f>
        <v/>
      </c>
    </row>
    <row r="1508">
      <c r="A1508" s="1" t="n">
        <v>44644</v>
      </c>
      <c r="B1508" s="5" t="n">
        <v>0.005403636411794003</v>
      </c>
      <c r="C1508" s="5" t="n">
        <v>-0.002156651247355595</v>
      </c>
      <c r="D1508" s="5" t="n">
        <v>-0.004771074113810412</v>
      </c>
      <c r="E1508" s="5" t="n">
        <v>-0.002555186916527578</v>
      </c>
      <c r="F1508" s="5" t="n">
        <v>0.002519597280446522</v>
      </c>
      <c r="G1508" s="5" t="n">
        <v>0.01347095883104187</v>
      </c>
      <c r="H1508" s="5" t="n">
        <v>0.0006277465422849389</v>
      </c>
      <c r="I1508" s="5" t="n">
        <v>0.002521941712967867</v>
      </c>
      <c r="J1508" s="5" t="n">
        <v>-0.002226045045639331</v>
      </c>
      <c r="K1508" s="5" t="n">
        <v>-0.003690780887614273</v>
      </c>
      <c r="L1508" s="5" t="n">
        <v>0.0003593230784333912</v>
      </c>
      <c r="M1508" s="5">
        <f>SUMPRODUCT(Exposures!$B$6:$K$6,B1508:K1508)</f>
        <v/>
      </c>
      <c r="N1508" s="5">
        <f>IF(AND($A1508&gt;=DATE(2020,2,1),$A1508&lt;=DATE(2020,5,31)),$M1508,"")</f>
        <v/>
      </c>
      <c r="O1508" s="5">
        <f>IF(AND($A1508&gt;=DATE(2022,1,1),$A1508&lt;=DATE(2022,10,31)),$M1508,"")</f>
        <v/>
      </c>
      <c r="P1508" s="5">
        <f>IF(AND($A1508&gt;=DATE(2018,10,1),$A1508&lt;=DATE(2018,12,31)),$M1508,"")</f>
        <v/>
      </c>
      <c r="Q1508" s="5">
        <f>SUMPRODUCT(Exposures!$B$8:$K$8,B1508:K1508)</f>
        <v/>
      </c>
      <c r="R1508" s="5">
        <f>SUMPRODUCT(Exposures!$B$9:$K$9,B1508:K1508)</f>
        <v/>
      </c>
      <c r="S1508" s="5">
        <f>SUMPRODUCT(Exposures!$B$10:$K$10,B1508:K1508)</f>
        <v/>
      </c>
    </row>
    <row r="1509">
      <c r="A1509" s="1" t="n">
        <v>44645</v>
      </c>
      <c r="B1509" s="5" t="n">
        <v>-0.003949425209628565</v>
      </c>
      <c r="C1509" s="5" t="n">
        <v>-6.994832918414925e-05</v>
      </c>
      <c r="D1509" s="5" t="n">
        <v>-0.0009264317894235079</v>
      </c>
      <c r="E1509" s="5" t="n">
        <v>-0.0004490652768186878</v>
      </c>
      <c r="F1509" s="5" t="n">
        <v>-1.740820128904533e-05</v>
      </c>
      <c r="G1509" s="5" t="n">
        <v>0.0009114168513459401</v>
      </c>
      <c r="H1509" s="5" t="n">
        <v>0.0004923087813597725</v>
      </c>
      <c r="I1509" s="5" t="n">
        <v>-0.0001533735381329521</v>
      </c>
      <c r="J1509" s="5" t="n">
        <v>-0.01182968515561035</v>
      </c>
      <c r="K1509" s="5" t="n">
        <v>-0.002924093397037881</v>
      </c>
      <c r="L1509" s="5" t="n">
        <v>0.001854639083190603</v>
      </c>
      <c r="M1509" s="5">
        <f>SUMPRODUCT(Exposures!$B$6:$K$6,B1509:K1509)</f>
        <v/>
      </c>
      <c r="N1509" s="5">
        <f>IF(AND($A1509&gt;=DATE(2020,2,1),$A1509&lt;=DATE(2020,5,31)),$M1509,"")</f>
        <v/>
      </c>
      <c r="O1509" s="5">
        <f>IF(AND($A1509&gt;=DATE(2022,1,1),$A1509&lt;=DATE(2022,10,31)),$M1509,"")</f>
        <v/>
      </c>
      <c r="P1509" s="5">
        <f>IF(AND($A1509&gt;=DATE(2018,10,1),$A1509&lt;=DATE(2018,12,31)),$M1509,"")</f>
        <v/>
      </c>
      <c r="Q1509" s="5">
        <f>SUMPRODUCT(Exposures!$B$8:$K$8,B1509:K1509)</f>
        <v/>
      </c>
      <c r="R1509" s="5">
        <f>SUMPRODUCT(Exposures!$B$9:$K$9,B1509:K1509)</f>
        <v/>
      </c>
      <c r="S1509" s="5">
        <f>SUMPRODUCT(Exposures!$B$10:$K$10,B1509:K1509)</f>
        <v/>
      </c>
    </row>
    <row r="1510">
      <c r="A1510" s="1" t="n">
        <v>44648</v>
      </c>
      <c r="B1510" s="5" t="n">
        <v>0.003114019201267642</v>
      </c>
      <c r="C1510" s="5" t="n">
        <v>-0.0008570767857456937</v>
      </c>
      <c r="D1510" s="5" t="n">
        <v>0.001523695650625888</v>
      </c>
      <c r="E1510" s="5" t="n">
        <v>0.002125334009303766</v>
      </c>
      <c r="F1510" s="5" t="n">
        <v>0.002781002369256368</v>
      </c>
      <c r="G1510" s="5" t="n">
        <v>-0.000779274366526641</v>
      </c>
      <c r="H1510" s="5" t="n">
        <v>-0.002958926659111538</v>
      </c>
      <c r="I1510" s="5" t="n">
        <v>-0.001089111016369367</v>
      </c>
      <c r="J1510" s="5" t="n">
        <v>-0.001436220778151746</v>
      </c>
      <c r="K1510" s="5" t="n">
        <v>0.002058031739617079</v>
      </c>
      <c r="L1510" s="5" t="n">
        <v>-0.001839315151922092</v>
      </c>
      <c r="M1510" s="5">
        <f>SUMPRODUCT(Exposures!$B$6:$K$6,B1510:K1510)</f>
        <v/>
      </c>
      <c r="N1510" s="5">
        <f>IF(AND($A1510&gt;=DATE(2020,2,1),$A1510&lt;=DATE(2020,5,31)),$M1510,"")</f>
        <v/>
      </c>
      <c r="O1510" s="5">
        <f>IF(AND($A1510&gt;=DATE(2022,1,1),$A1510&lt;=DATE(2022,10,31)),$M1510,"")</f>
        <v/>
      </c>
      <c r="P1510" s="5">
        <f>IF(AND($A1510&gt;=DATE(2018,10,1),$A1510&lt;=DATE(2018,12,31)),$M1510,"")</f>
        <v/>
      </c>
      <c r="Q1510" s="5">
        <f>SUMPRODUCT(Exposures!$B$8:$K$8,B1510:K1510)</f>
        <v/>
      </c>
      <c r="R1510" s="5">
        <f>SUMPRODUCT(Exposures!$B$9:$K$9,B1510:K1510)</f>
        <v/>
      </c>
      <c r="S1510" s="5">
        <f>SUMPRODUCT(Exposures!$B$10:$K$10,B1510:K1510)</f>
        <v/>
      </c>
    </row>
    <row r="1511">
      <c r="A1511" s="1" t="n">
        <v>44649</v>
      </c>
      <c r="B1511" s="5" t="n">
        <v>0.01100549649018033</v>
      </c>
      <c r="C1511" s="5" t="n">
        <v>0.0003331826990025388</v>
      </c>
      <c r="D1511" s="5" t="n">
        <v>0.0003737927122587866</v>
      </c>
      <c r="E1511" s="5" t="n">
        <v>-0.0009852860490321903</v>
      </c>
      <c r="F1511" s="5" t="n">
        <v>-0.002079140822775533</v>
      </c>
      <c r="G1511" s="5" t="n">
        <v>0.02165210956073085</v>
      </c>
      <c r="H1511" s="5" t="n">
        <v>-0.00348269435736882</v>
      </c>
      <c r="I1511" s="5" t="n">
        <v>-0.001785910238456825</v>
      </c>
      <c r="J1511" s="5" t="n">
        <v>-0.0006832766048915674</v>
      </c>
      <c r="K1511" s="5" t="n">
        <v>-0.00209152319560731</v>
      </c>
      <c r="L1511" s="5" t="n">
        <v>-0.004156308514427463</v>
      </c>
      <c r="M1511" s="5">
        <f>SUMPRODUCT(Exposures!$B$6:$K$6,B1511:K1511)</f>
        <v/>
      </c>
      <c r="N1511" s="5">
        <f>IF(AND($A1511&gt;=DATE(2020,2,1),$A1511&lt;=DATE(2020,5,31)),$M1511,"")</f>
        <v/>
      </c>
      <c r="O1511" s="5">
        <f>IF(AND($A1511&gt;=DATE(2022,1,1),$A1511&lt;=DATE(2022,10,31)),$M1511,"")</f>
        <v/>
      </c>
      <c r="P1511" s="5">
        <f>IF(AND($A1511&gt;=DATE(2018,10,1),$A1511&lt;=DATE(2018,12,31)),$M1511,"")</f>
        <v/>
      </c>
      <c r="Q1511" s="5">
        <f>SUMPRODUCT(Exposures!$B$8:$K$8,B1511:K1511)</f>
        <v/>
      </c>
      <c r="R1511" s="5">
        <f>SUMPRODUCT(Exposures!$B$9:$K$9,B1511:K1511)</f>
        <v/>
      </c>
      <c r="S1511" s="5">
        <f>SUMPRODUCT(Exposures!$B$10:$K$10,B1511:K1511)</f>
        <v/>
      </c>
    </row>
    <row r="1512">
      <c r="A1512" s="1" t="n">
        <v>44650</v>
      </c>
      <c r="B1512" s="5" t="n">
        <v>-0.00940374462939853</v>
      </c>
      <c r="C1512" s="5" t="n">
        <v>-0.002036697460019431</v>
      </c>
      <c r="D1512" s="5" t="n">
        <v>0.001449667177489522</v>
      </c>
      <c r="E1512" s="5" t="n">
        <v>-0.001287694382506904</v>
      </c>
      <c r="F1512" s="5" t="n">
        <v>0.00191671146602078</v>
      </c>
      <c r="G1512" s="5" t="n">
        <v>-0.0120285943894181</v>
      </c>
      <c r="H1512" s="5" t="n">
        <v>0.000970254134414923</v>
      </c>
      <c r="I1512" s="5" t="n">
        <v>0.0006511195987579026</v>
      </c>
      <c r="J1512" s="5" t="n">
        <v>-0.002377818641833353</v>
      </c>
      <c r="K1512" s="5" t="n">
        <v>0.0007355197152022026</v>
      </c>
      <c r="L1512" s="5" t="n">
        <v>-0.0013228589292801</v>
      </c>
      <c r="M1512" s="5">
        <f>SUMPRODUCT(Exposures!$B$6:$K$6,B1512:K1512)</f>
        <v/>
      </c>
      <c r="N1512" s="5">
        <f>IF(AND($A1512&gt;=DATE(2020,2,1),$A1512&lt;=DATE(2020,5,31)),$M1512,"")</f>
        <v/>
      </c>
      <c r="O1512" s="5">
        <f>IF(AND($A1512&gt;=DATE(2022,1,1),$A1512&lt;=DATE(2022,10,31)),$M1512,"")</f>
        <v/>
      </c>
      <c r="P1512" s="5">
        <f>IF(AND($A1512&gt;=DATE(2018,10,1),$A1512&lt;=DATE(2018,12,31)),$M1512,"")</f>
        <v/>
      </c>
      <c r="Q1512" s="5">
        <f>SUMPRODUCT(Exposures!$B$8:$K$8,B1512:K1512)</f>
        <v/>
      </c>
      <c r="R1512" s="5">
        <f>SUMPRODUCT(Exposures!$B$9:$K$9,B1512:K1512)</f>
        <v/>
      </c>
      <c r="S1512" s="5">
        <f>SUMPRODUCT(Exposures!$B$10:$K$10,B1512:K1512)</f>
        <v/>
      </c>
    </row>
    <row r="1513">
      <c r="A1513" s="1" t="n">
        <v>44651</v>
      </c>
      <c r="B1513" s="5" t="n">
        <v>-0.002976379360693421</v>
      </c>
      <c r="C1513" s="5" t="n">
        <v>-0.002054007730959461</v>
      </c>
      <c r="D1513" s="5" t="n">
        <v>0.0007344241248456864</v>
      </c>
      <c r="E1513" s="5" t="n">
        <v>-0.0009867461206198927</v>
      </c>
      <c r="F1513" s="5" t="n">
        <v>0.001803515212745372</v>
      </c>
      <c r="G1513" s="5" t="n">
        <v>-0.0130782283056105</v>
      </c>
      <c r="H1513" s="5" t="n">
        <v>0.00200040803072417</v>
      </c>
      <c r="I1513" s="5" t="n">
        <v>0.002023012042829299</v>
      </c>
      <c r="J1513" s="5" t="n">
        <v>-0.005178567796535225</v>
      </c>
      <c r="K1513" s="5" t="n">
        <v>-0.01125043249339509</v>
      </c>
      <c r="L1513" s="5" t="n">
        <v>-0.003359936366111538</v>
      </c>
      <c r="M1513" s="5">
        <f>SUMPRODUCT(Exposures!$B$6:$K$6,B1513:K1513)</f>
        <v/>
      </c>
      <c r="N1513" s="5">
        <f>IF(AND($A1513&gt;=DATE(2020,2,1),$A1513&lt;=DATE(2020,5,31)),$M1513,"")</f>
        <v/>
      </c>
      <c r="O1513" s="5">
        <f>IF(AND($A1513&gt;=DATE(2022,1,1),$A1513&lt;=DATE(2022,10,31)),$M1513,"")</f>
        <v/>
      </c>
      <c r="P1513" s="5">
        <f>IF(AND($A1513&gt;=DATE(2018,10,1),$A1513&lt;=DATE(2018,12,31)),$M1513,"")</f>
        <v/>
      </c>
      <c r="Q1513" s="5">
        <f>SUMPRODUCT(Exposures!$B$8:$K$8,B1513:K1513)</f>
        <v/>
      </c>
      <c r="R1513" s="5">
        <f>SUMPRODUCT(Exposures!$B$9:$K$9,B1513:K1513)</f>
        <v/>
      </c>
      <c r="S1513" s="5">
        <f>SUMPRODUCT(Exposures!$B$10:$K$10,B1513:K1513)</f>
        <v/>
      </c>
    </row>
    <row r="1514">
      <c r="A1514" s="1" t="n">
        <v>44652</v>
      </c>
      <c r="B1514" s="5" t="n">
        <v>-0.004726376537938343</v>
      </c>
      <c r="C1514" s="5" t="n">
        <v>-0.002148021623140509</v>
      </c>
      <c r="D1514" s="5" t="n">
        <v>-0.001631008141393451</v>
      </c>
      <c r="E1514" s="5" t="n">
        <v>0.0002460021097927219</v>
      </c>
      <c r="F1514" s="5" t="n">
        <v>-0.01137846737051788</v>
      </c>
      <c r="G1514" s="5" t="n">
        <v>0.008440868443045523</v>
      </c>
      <c r="H1514" s="5" t="n">
        <v>-0.0008389491693862276</v>
      </c>
      <c r="I1514" s="5" t="n">
        <v>-0.00150088630263789</v>
      </c>
      <c r="J1514" s="5" t="n">
        <v>0.005767571717297535</v>
      </c>
      <c r="K1514" s="5" t="n">
        <v>0.01098031117682955</v>
      </c>
      <c r="L1514" s="5" t="n">
        <v>0.002002837523403581</v>
      </c>
      <c r="M1514" s="5">
        <f>SUMPRODUCT(Exposures!$B$6:$K$6,B1514:K1514)</f>
        <v/>
      </c>
      <c r="N1514" s="5">
        <f>IF(AND($A1514&gt;=DATE(2020,2,1),$A1514&lt;=DATE(2020,5,31)),$M1514,"")</f>
        <v/>
      </c>
      <c r="O1514" s="5">
        <f>IF(AND($A1514&gt;=DATE(2022,1,1),$A1514&lt;=DATE(2022,10,31)),$M1514,"")</f>
        <v/>
      </c>
      <c r="P1514" s="5">
        <f>IF(AND($A1514&gt;=DATE(2018,10,1),$A1514&lt;=DATE(2018,12,31)),$M1514,"")</f>
        <v/>
      </c>
      <c r="Q1514" s="5">
        <f>SUMPRODUCT(Exposures!$B$8:$K$8,B1514:K1514)</f>
        <v/>
      </c>
      <c r="R1514" s="5">
        <f>SUMPRODUCT(Exposures!$B$9:$K$9,B1514:K1514)</f>
        <v/>
      </c>
      <c r="S1514" s="5">
        <f>SUMPRODUCT(Exposures!$B$10:$K$10,B1514:K1514)</f>
        <v/>
      </c>
    </row>
    <row r="1515">
      <c r="A1515" s="1" t="n">
        <v>44655</v>
      </c>
      <c r="B1515" s="5" t="n">
        <v>0.005470268075449647</v>
      </c>
      <c r="C1515" s="5" t="n">
        <v>0.001867176623138828</v>
      </c>
      <c r="D1515" s="5" t="n">
        <v>-0.002564460118419366</v>
      </c>
      <c r="E1515" s="5" t="n">
        <v>-0.0009650392702103823</v>
      </c>
      <c r="F1515" s="5" t="n">
        <v>0.00634424623121444</v>
      </c>
      <c r="G1515" s="5" t="n">
        <v>0.003670265433247682</v>
      </c>
      <c r="H1515" s="5" t="n">
        <v>-0.002695534301701127</v>
      </c>
      <c r="I1515" s="5" t="n">
        <v>-6.659497054209407e-05</v>
      </c>
      <c r="J1515" s="5" t="n">
        <v>0.009738202735187261</v>
      </c>
      <c r="K1515" s="5" t="n">
        <v>0.001636119089965591</v>
      </c>
      <c r="L1515" s="5" t="n">
        <v>-0.002591715185112671</v>
      </c>
      <c r="M1515" s="5">
        <f>SUMPRODUCT(Exposures!$B$6:$K$6,B1515:K1515)</f>
        <v/>
      </c>
      <c r="N1515" s="5">
        <f>IF(AND($A1515&gt;=DATE(2020,2,1),$A1515&lt;=DATE(2020,5,31)),$M1515,"")</f>
        <v/>
      </c>
      <c r="O1515" s="5">
        <f>IF(AND($A1515&gt;=DATE(2022,1,1),$A1515&lt;=DATE(2022,10,31)),$M1515,"")</f>
        <v/>
      </c>
      <c r="P1515" s="5">
        <f>IF(AND($A1515&gt;=DATE(2018,10,1),$A1515&lt;=DATE(2018,12,31)),$M1515,"")</f>
        <v/>
      </c>
      <c r="Q1515" s="5">
        <f>SUMPRODUCT(Exposures!$B$8:$K$8,B1515:K1515)</f>
        <v/>
      </c>
      <c r="R1515" s="5">
        <f>SUMPRODUCT(Exposures!$B$9:$K$9,B1515:K1515)</f>
        <v/>
      </c>
      <c r="S1515" s="5">
        <f>SUMPRODUCT(Exposures!$B$10:$K$10,B1515:K1515)</f>
        <v/>
      </c>
    </row>
    <row r="1516">
      <c r="A1516" s="1" t="n">
        <v>44656</v>
      </c>
      <c r="B1516" s="5" t="n">
        <v>-0.01029614973483611</v>
      </c>
      <c r="C1516" s="5" t="n">
        <v>0.0004737680276155956</v>
      </c>
      <c r="D1516" s="5" t="n">
        <v>0.00255924270034177</v>
      </c>
      <c r="E1516" s="5" t="n">
        <v>0.000349429277888198</v>
      </c>
      <c r="F1516" s="5" t="n">
        <v>-0.002067051979653343</v>
      </c>
      <c r="G1516" s="5" t="n">
        <v>-0.01629071292527163</v>
      </c>
      <c r="H1516" s="5" t="n">
        <v>0.003519715927875004</v>
      </c>
      <c r="I1516" s="5" t="n">
        <v>6.729881489938401e-05</v>
      </c>
      <c r="J1516" s="5" t="n">
        <v>-0.006725731493926791</v>
      </c>
      <c r="K1516" s="5" t="n">
        <v>-0.001183621421719533</v>
      </c>
      <c r="L1516" s="5" t="n">
        <v>-0.002298833073560739</v>
      </c>
      <c r="M1516" s="5">
        <f>SUMPRODUCT(Exposures!$B$6:$K$6,B1516:K1516)</f>
        <v/>
      </c>
      <c r="N1516" s="5">
        <f>IF(AND($A1516&gt;=DATE(2020,2,1),$A1516&lt;=DATE(2020,5,31)),$M1516,"")</f>
        <v/>
      </c>
      <c r="O1516" s="5">
        <f>IF(AND($A1516&gt;=DATE(2022,1,1),$A1516&lt;=DATE(2022,10,31)),$M1516,"")</f>
        <v/>
      </c>
      <c r="P1516" s="5">
        <f>IF(AND($A1516&gt;=DATE(2018,10,1),$A1516&lt;=DATE(2018,12,31)),$M1516,"")</f>
        <v/>
      </c>
      <c r="Q1516" s="5">
        <f>SUMPRODUCT(Exposures!$B$8:$K$8,B1516:K1516)</f>
        <v/>
      </c>
      <c r="R1516" s="5">
        <f>SUMPRODUCT(Exposures!$B$9:$K$9,B1516:K1516)</f>
        <v/>
      </c>
      <c r="S1516" s="5">
        <f>SUMPRODUCT(Exposures!$B$10:$K$10,B1516:K1516)</f>
        <v/>
      </c>
    </row>
    <row r="1517">
      <c r="A1517" s="1" t="n">
        <v>44657</v>
      </c>
      <c r="B1517" s="5" t="n">
        <v>-0.01925969673314882</v>
      </c>
      <c r="C1517" s="5" t="n">
        <v>0.0003807381544900898</v>
      </c>
      <c r="D1517" s="5" t="n">
        <v>-0.002214303493886955</v>
      </c>
      <c r="E1517" s="5" t="n">
        <v>-0.0008876013530249205</v>
      </c>
      <c r="F1517" s="5" t="n">
        <v>-0.001399239375951281</v>
      </c>
      <c r="G1517" s="5" t="n">
        <v>-0.01044721562328748</v>
      </c>
      <c r="H1517" s="5" t="n">
        <v>0.0007087412022669128</v>
      </c>
      <c r="I1517" s="5" t="n">
        <v>0.002530477941783756</v>
      </c>
      <c r="J1517" s="5" t="n">
        <v>-0.001570445521693187</v>
      </c>
      <c r="K1517" s="5" t="n">
        <v>-0.0004270023700160171</v>
      </c>
      <c r="L1517" s="5" t="n">
        <v>-0.001355438160573303</v>
      </c>
      <c r="M1517" s="5">
        <f>SUMPRODUCT(Exposures!$B$6:$K$6,B1517:K1517)</f>
        <v/>
      </c>
      <c r="N1517" s="5">
        <f>IF(AND($A1517&gt;=DATE(2020,2,1),$A1517&lt;=DATE(2020,5,31)),$M1517,"")</f>
        <v/>
      </c>
      <c r="O1517" s="5">
        <f>IF(AND($A1517&gt;=DATE(2022,1,1),$A1517&lt;=DATE(2022,10,31)),$M1517,"")</f>
        <v/>
      </c>
      <c r="P1517" s="5">
        <f>IF(AND($A1517&gt;=DATE(2018,10,1),$A1517&lt;=DATE(2018,12,31)),$M1517,"")</f>
        <v/>
      </c>
      <c r="Q1517" s="5">
        <f>SUMPRODUCT(Exposures!$B$8:$K$8,B1517:K1517)</f>
        <v/>
      </c>
      <c r="R1517" s="5">
        <f>SUMPRODUCT(Exposures!$B$9:$K$9,B1517:K1517)</f>
        <v/>
      </c>
      <c r="S1517" s="5">
        <f>SUMPRODUCT(Exposures!$B$10:$K$10,B1517:K1517)</f>
        <v/>
      </c>
    </row>
    <row r="1518">
      <c r="A1518" s="1" t="n">
        <v>44658</v>
      </c>
      <c r="B1518" s="5" t="n">
        <v>-0.004805149472390061</v>
      </c>
      <c r="C1518" s="5" t="n">
        <v>0.0005458188300735601</v>
      </c>
      <c r="D1518" s="5" t="n">
        <v>0.0016891172707556</v>
      </c>
      <c r="E1518" s="5" t="n">
        <v>-0.001919535283695706</v>
      </c>
      <c r="F1518" s="5" t="n">
        <v>0.004726154172047859</v>
      </c>
      <c r="G1518" s="5" t="n">
        <v>-0.00152636090993368</v>
      </c>
      <c r="H1518" s="5" t="n">
        <v>0.005213456867907416</v>
      </c>
      <c r="I1518" s="5" t="n">
        <v>0.0008054655345284587</v>
      </c>
      <c r="J1518" s="5" t="n">
        <v>-0.003679282850511291</v>
      </c>
      <c r="K1518" s="5" t="n">
        <v>-0.005178751010345695</v>
      </c>
      <c r="L1518" s="5" t="n">
        <v>-0.003735778459188557</v>
      </c>
      <c r="M1518" s="5">
        <f>SUMPRODUCT(Exposures!$B$6:$K$6,B1518:K1518)</f>
        <v/>
      </c>
      <c r="N1518" s="5">
        <f>IF(AND($A1518&gt;=DATE(2020,2,1),$A1518&lt;=DATE(2020,5,31)),$M1518,"")</f>
        <v/>
      </c>
      <c r="O1518" s="5">
        <f>IF(AND($A1518&gt;=DATE(2022,1,1),$A1518&lt;=DATE(2022,10,31)),$M1518,"")</f>
        <v/>
      </c>
      <c r="P1518" s="5">
        <f>IF(AND($A1518&gt;=DATE(2018,10,1),$A1518&lt;=DATE(2018,12,31)),$M1518,"")</f>
        <v/>
      </c>
      <c r="Q1518" s="5">
        <f>SUMPRODUCT(Exposures!$B$8:$K$8,B1518:K1518)</f>
        <v/>
      </c>
      <c r="R1518" s="5">
        <f>SUMPRODUCT(Exposures!$B$9:$K$9,B1518:K1518)</f>
        <v/>
      </c>
      <c r="S1518" s="5">
        <f>SUMPRODUCT(Exposures!$B$10:$K$10,B1518:K1518)</f>
        <v/>
      </c>
    </row>
    <row r="1519">
      <c r="A1519" s="1" t="n">
        <v>44659</v>
      </c>
      <c r="B1519" s="5" t="n">
        <v>-0.005831130973903096</v>
      </c>
      <c r="C1519" s="5" t="n">
        <v>0.003106566225030032</v>
      </c>
      <c r="D1519" s="5" t="n">
        <v>-0.002439229540469448</v>
      </c>
      <c r="E1519" s="5" t="n">
        <v>-0.0002506640278858623</v>
      </c>
      <c r="F1519" s="5" t="n">
        <v>-0.005493436363257908</v>
      </c>
      <c r="G1519" s="5" t="n">
        <v>-0.006017219518353243</v>
      </c>
      <c r="H1519" s="5" t="n">
        <v>-0.0006031605868142663</v>
      </c>
      <c r="I1519" s="5" t="n">
        <v>-0.00143094333502797</v>
      </c>
      <c r="J1519" s="5" t="n">
        <v>-0.00652618659386809</v>
      </c>
      <c r="K1519" s="5" t="n">
        <v>0.0065283044798423</v>
      </c>
      <c r="L1519" s="5" t="n">
        <v>0.004254818180533198</v>
      </c>
      <c r="M1519" s="5">
        <f>SUMPRODUCT(Exposures!$B$6:$K$6,B1519:K1519)</f>
        <v/>
      </c>
      <c r="N1519" s="5">
        <f>IF(AND($A1519&gt;=DATE(2020,2,1),$A1519&lt;=DATE(2020,5,31)),$M1519,"")</f>
        <v/>
      </c>
      <c r="O1519" s="5">
        <f>IF(AND($A1519&gt;=DATE(2022,1,1),$A1519&lt;=DATE(2022,10,31)),$M1519,"")</f>
        <v/>
      </c>
      <c r="P1519" s="5">
        <f>IF(AND($A1519&gt;=DATE(2018,10,1),$A1519&lt;=DATE(2018,12,31)),$M1519,"")</f>
        <v/>
      </c>
      <c r="Q1519" s="5">
        <f>SUMPRODUCT(Exposures!$B$8:$K$8,B1519:K1519)</f>
        <v/>
      </c>
      <c r="R1519" s="5">
        <f>SUMPRODUCT(Exposures!$B$9:$K$9,B1519:K1519)</f>
        <v/>
      </c>
      <c r="S1519" s="5">
        <f>SUMPRODUCT(Exposures!$B$10:$K$10,B1519:K1519)</f>
        <v/>
      </c>
    </row>
    <row r="1520">
      <c r="A1520" s="1" t="n">
        <v>44662</v>
      </c>
      <c r="B1520" s="5" t="n">
        <v>0.0005090972012907684</v>
      </c>
      <c r="C1520" s="5" t="n">
        <v>0.0008405384659258739</v>
      </c>
      <c r="D1520" s="5" t="n">
        <v>2.761542497081123e-05</v>
      </c>
      <c r="E1520" s="5" t="n">
        <v>0.002045352680919989</v>
      </c>
      <c r="F1520" s="5" t="n">
        <v>0.002258617811518459</v>
      </c>
      <c r="G1520" s="5" t="n">
        <v>-0.009246711223823723</v>
      </c>
      <c r="H1520" s="5" t="n">
        <v>-0.001983486258295004</v>
      </c>
      <c r="I1520" s="5" t="n">
        <v>-0.003134321110099558</v>
      </c>
      <c r="J1520" s="5" t="n">
        <v>-0.001356959241526129</v>
      </c>
      <c r="K1520" s="5" t="n">
        <v>-0.005647629412895132</v>
      </c>
      <c r="L1520" s="5" t="n">
        <v>-0.0001848469263711447</v>
      </c>
      <c r="M1520" s="5">
        <f>SUMPRODUCT(Exposures!$B$6:$K$6,B1520:K1520)</f>
        <v/>
      </c>
      <c r="N1520" s="5">
        <f>IF(AND($A1520&gt;=DATE(2020,2,1),$A1520&lt;=DATE(2020,5,31)),$M1520,"")</f>
        <v/>
      </c>
      <c r="O1520" s="5">
        <f>IF(AND($A1520&gt;=DATE(2022,1,1),$A1520&lt;=DATE(2022,10,31)),$M1520,"")</f>
        <v/>
      </c>
      <c r="P1520" s="5">
        <f>IF(AND($A1520&gt;=DATE(2018,10,1),$A1520&lt;=DATE(2018,12,31)),$M1520,"")</f>
        <v/>
      </c>
      <c r="Q1520" s="5">
        <f>SUMPRODUCT(Exposures!$B$8:$K$8,B1520:K1520)</f>
        <v/>
      </c>
      <c r="R1520" s="5">
        <f>SUMPRODUCT(Exposures!$B$9:$K$9,B1520:K1520)</f>
        <v/>
      </c>
      <c r="S1520" s="5">
        <f>SUMPRODUCT(Exposures!$B$10:$K$10,B1520:K1520)</f>
        <v/>
      </c>
    </row>
    <row r="1521">
      <c r="A1521" s="1" t="n">
        <v>44663</v>
      </c>
      <c r="B1521" s="5" t="n">
        <v>-0.0001584292124788135</v>
      </c>
      <c r="C1521" s="5" t="n">
        <v>-0.002633051735278742</v>
      </c>
      <c r="D1521" s="5" t="n">
        <v>0.0007378548773047699</v>
      </c>
      <c r="E1521" s="5" t="n">
        <v>-0.002043245289945197</v>
      </c>
      <c r="F1521" s="5" t="n">
        <v>0.003880311238139469</v>
      </c>
      <c r="G1521" s="5" t="n">
        <v>-0.00351080196663796</v>
      </c>
      <c r="H1521" s="5" t="n">
        <v>0.002034140481010034</v>
      </c>
      <c r="I1521" s="5" t="n">
        <v>-0.0004253156768703176</v>
      </c>
      <c r="J1521" s="5" t="n">
        <v>-0.001350800609699584</v>
      </c>
      <c r="K1521" s="5" t="n">
        <v>-0.004288186102702473</v>
      </c>
      <c r="L1521" s="5" t="n">
        <v>0.002074973101795244</v>
      </c>
      <c r="M1521" s="5">
        <f>SUMPRODUCT(Exposures!$B$6:$K$6,B1521:K1521)</f>
        <v/>
      </c>
      <c r="N1521" s="5">
        <f>IF(AND($A1521&gt;=DATE(2020,2,1),$A1521&lt;=DATE(2020,5,31)),$M1521,"")</f>
        <v/>
      </c>
      <c r="O1521" s="5">
        <f>IF(AND($A1521&gt;=DATE(2022,1,1),$A1521&lt;=DATE(2022,10,31)),$M1521,"")</f>
        <v/>
      </c>
      <c r="P1521" s="5">
        <f>IF(AND($A1521&gt;=DATE(2018,10,1),$A1521&lt;=DATE(2018,12,31)),$M1521,"")</f>
        <v/>
      </c>
      <c r="Q1521" s="5">
        <f>SUMPRODUCT(Exposures!$B$8:$K$8,B1521:K1521)</f>
        <v/>
      </c>
      <c r="R1521" s="5">
        <f>SUMPRODUCT(Exposures!$B$9:$K$9,B1521:K1521)</f>
        <v/>
      </c>
      <c r="S1521" s="5">
        <f>SUMPRODUCT(Exposures!$B$10:$K$10,B1521:K1521)</f>
        <v/>
      </c>
    </row>
    <row r="1522">
      <c r="A1522" s="1" t="n">
        <v>44664</v>
      </c>
      <c r="B1522" s="5" t="n">
        <v>0.004704708548968492</v>
      </c>
      <c r="C1522" s="5" t="n">
        <v>-0.00290464778782131</v>
      </c>
      <c r="D1522" s="5" t="n">
        <v>-0.007157055248011576</v>
      </c>
      <c r="E1522" s="5" t="n">
        <v>0.0005074372612047388</v>
      </c>
      <c r="F1522" s="5" t="n">
        <v>0.01337869922868867</v>
      </c>
      <c r="G1522" s="5" t="n">
        <v>0.01680970060433567</v>
      </c>
      <c r="H1522" s="5" t="n">
        <v>0.001101102557151103</v>
      </c>
      <c r="I1522" s="5" t="n">
        <v>-0.001207942239454015</v>
      </c>
      <c r="J1522" s="5" t="n">
        <v>0.005205813614688137</v>
      </c>
      <c r="K1522" s="5" t="n">
        <v>-0.01315526725425716</v>
      </c>
      <c r="L1522" s="5" t="n">
        <v>-0.002403209860971627</v>
      </c>
      <c r="M1522" s="5">
        <f>SUMPRODUCT(Exposures!$B$6:$K$6,B1522:K1522)</f>
        <v/>
      </c>
      <c r="N1522" s="5">
        <f>IF(AND($A1522&gt;=DATE(2020,2,1),$A1522&lt;=DATE(2020,5,31)),$M1522,"")</f>
        <v/>
      </c>
      <c r="O1522" s="5">
        <f>IF(AND($A1522&gt;=DATE(2022,1,1),$A1522&lt;=DATE(2022,10,31)),$M1522,"")</f>
        <v/>
      </c>
      <c r="P1522" s="5">
        <f>IF(AND($A1522&gt;=DATE(2018,10,1),$A1522&lt;=DATE(2018,12,31)),$M1522,"")</f>
        <v/>
      </c>
      <c r="Q1522" s="5">
        <f>SUMPRODUCT(Exposures!$B$8:$K$8,B1522:K1522)</f>
        <v/>
      </c>
      <c r="R1522" s="5">
        <f>SUMPRODUCT(Exposures!$B$9:$K$9,B1522:K1522)</f>
        <v/>
      </c>
      <c r="S1522" s="5">
        <f>SUMPRODUCT(Exposures!$B$10:$K$10,B1522:K1522)</f>
        <v/>
      </c>
    </row>
    <row r="1523">
      <c r="A1523" s="1" t="n">
        <v>44665</v>
      </c>
      <c r="B1523" s="5" t="n">
        <v>-0.0074793506603493</v>
      </c>
      <c r="C1523" s="5" t="n">
        <v>-0.0006057636607396827</v>
      </c>
      <c r="D1523" s="5" t="n">
        <v>0.005164867061937049</v>
      </c>
      <c r="E1523" s="5" t="n">
        <v>-0.0005724169287398557</v>
      </c>
      <c r="F1523" s="5" t="n">
        <v>0.0006880145263836357</v>
      </c>
      <c r="G1523" s="5" t="n">
        <v>-0.009887038667219792</v>
      </c>
      <c r="H1523" s="5" t="n">
        <v>0.003083770667515237</v>
      </c>
      <c r="I1523" s="5" t="n">
        <v>0.002768362169636486</v>
      </c>
      <c r="J1523" s="5" t="n">
        <v>-0.004639203381101167</v>
      </c>
      <c r="K1523" s="5" t="n">
        <v>-0.008446391388458221</v>
      </c>
      <c r="L1523" s="5" t="n">
        <v>-0.0001488432910188702</v>
      </c>
      <c r="M1523" s="5">
        <f>SUMPRODUCT(Exposures!$B$6:$K$6,B1523:K1523)</f>
        <v/>
      </c>
      <c r="N1523" s="5">
        <f>IF(AND($A1523&gt;=DATE(2020,2,1),$A1523&lt;=DATE(2020,5,31)),$M1523,"")</f>
        <v/>
      </c>
      <c r="O1523" s="5">
        <f>IF(AND($A1523&gt;=DATE(2022,1,1),$A1523&lt;=DATE(2022,10,31)),$M1523,"")</f>
        <v/>
      </c>
      <c r="P1523" s="5">
        <f>IF(AND($A1523&gt;=DATE(2018,10,1),$A1523&lt;=DATE(2018,12,31)),$M1523,"")</f>
        <v/>
      </c>
      <c r="Q1523" s="5">
        <f>SUMPRODUCT(Exposures!$B$8:$K$8,B1523:K1523)</f>
        <v/>
      </c>
      <c r="R1523" s="5">
        <f>SUMPRODUCT(Exposures!$B$9:$K$9,B1523:K1523)</f>
        <v/>
      </c>
      <c r="S1523" s="5">
        <f>SUMPRODUCT(Exposures!$B$10:$K$10,B1523:K1523)</f>
        <v/>
      </c>
    </row>
    <row r="1524">
      <c r="A1524" s="1" t="n">
        <v>44669</v>
      </c>
      <c r="B1524" s="5" t="n">
        <v>0.004919580447616671</v>
      </c>
      <c r="C1524" s="5" t="n">
        <v>0.002843292575817908</v>
      </c>
      <c r="D1524" s="5" t="n">
        <v>-0.00251216031909066</v>
      </c>
      <c r="E1524" s="5" t="n">
        <v>0.0002749907302589583</v>
      </c>
      <c r="F1524" s="5" t="n">
        <v>0.004230754737474574</v>
      </c>
      <c r="G1524" s="5" t="n">
        <v>-0.006271613608494107</v>
      </c>
      <c r="H1524" s="5" t="n">
        <v>0.002883540058747548</v>
      </c>
      <c r="I1524" s="5" t="n">
        <v>0.001000335928223924</v>
      </c>
      <c r="J1524" s="5" t="n">
        <v>-0.005266901670609179</v>
      </c>
      <c r="K1524" s="5" t="n">
        <v>-0.003081286935149631</v>
      </c>
      <c r="L1524" s="5" t="n">
        <v>0.0038521361187817</v>
      </c>
      <c r="M1524" s="5">
        <f>SUMPRODUCT(Exposures!$B$6:$K$6,B1524:K1524)</f>
        <v/>
      </c>
      <c r="N1524" s="5">
        <f>IF(AND($A1524&gt;=DATE(2020,2,1),$A1524&lt;=DATE(2020,5,31)),$M1524,"")</f>
        <v/>
      </c>
      <c r="O1524" s="5">
        <f>IF(AND($A1524&gt;=DATE(2022,1,1),$A1524&lt;=DATE(2022,10,31)),$M1524,"")</f>
        <v/>
      </c>
      <c r="P1524" s="5">
        <f>IF(AND($A1524&gt;=DATE(2018,10,1),$A1524&lt;=DATE(2018,12,31)),$M1524,"")</f>
        <v/>
      </c>
      <c r="Q1524" s="5">
        <f>SUMPRODUCT(Exposures!$B$8:$K$8,B1524:K1524)</f>
        <v/>
      </c>
      <c r="R1524" s="5">
        <f>SUMPRODUCT(Exposures!$B$9:$K$9,B1524:K1524)</f>
        <v/>
      </c>
      <c r="S1524" s="5">
        <f>SUMPRODUCT(Exposures!$B$10:$K$10,B1524:K1524)</f>
        <v/>
      </c>
    </row>
    <row r="1525">
      <c r="A1525" s="1" t="n">
        <v>44670</v>
      </c>
      <c r="B1525" s="5" t="n">
        <v>0.01208801900445439</v>
      </c>
      <c r="C1525" s="5" t="n">
        <v>0.002691441902438116</v>
      </c>
      <c r="D1525" s="5" t="n">
        <v>-0.006340643603274394</v>
      </c>
      <c r="E1525" s="5" t="n">
        <v>0.001608021092428967</v>
      </c>
      <c r="F1525" s="5" t="n">
        <v>-0.0001572325604536195</v>
      </c>
      <c r="G1525" s="5" t="n">
        <v>0.02032270298987164</v>
      </c>
      <c r="H1525" s="5" t="n">
        <v>-0.002609309917743858</v>
      </c>
      <c r="I1525" s="5" t="n">
        <v>0.000726849748124439</v>
      </c>
      <c r="J1525" s="5" t="n">
        <v>-0.004919192833091873</v>
      </c>
      <c r="K1525" s="5" t="n">
        <v>-0.005405429388804098</v>
      </c>
      <c r="L1525" s="5" t="n">
        <v>-0.005784550501121144</v>
      </c>
      <c r="M1525" s="5">
        <f>SUMPRODUCT(Exposures!$B$6:$K$6,B1525:K1525)</f>
        <v/>
      </c>
      <c r="N1525" s="5">
        <f>IF(AND($A1525&gt;=DATE(2020,2,1),$A1525&lt;=DATE(2020,5,31)),$M1525,"")</f>
        <v/>
      </c>
      <c r="O1525" s="5">
        <f>IF(AND($A1525&gt;=DATE(2022,1,1),$A1525&lt;=DATE(2022,10,31)),$M1525,"")</f>
        <v/>
      </c>
      <c r="P1525" s="5">
        <f>IF(AND($A1525&gt;=DATE(2018,10,1),$A1525&lt;=DATE(2018,12,31)),$M1525,"")</f>
        <v/>
      </c>
      <c r="Q1525" s="5">
        <f>SUMPRODUCT(Exposures!$B$8:$K$8,B1525:K1525)</f>
        <v/>
      </c>
      <c r="R1525" s="5">
        <f>SUMPRODUCT(Exposures!$B$9:$K$9,B1525:K1525)</f>
        <v/>
      </c>
      <c r="S1525" s="5">
        <f>SUMPRODUCT(Exposures!$B$10:$K$10,B1525:K1525)</f>
        <v/>
      </c>
    </row>
    <row r="1526">
      <c r="A1526" s="1" t="n">
        <v>44671</v>
      </c>
      <c r="B1526" s="5" t="n">
        <v>-0.001039407459915065</v>
      </c>
      <c r="C1526" s="5" t="n">
        <v>0.0004992575549374293</v>
      </c>
      <c r="D1526" s="5" t="n">
        <v>-0.000205136852111501</v>
      </c>
      <c r="E1526" s="5" t="n">
        <v>-0.001667924845620962</v>
      </c>
      <c r="F1526" s="5" t="n">
        <v>-0.01134994568936074</v>
      </c>
      <c r="G1526" s="5" t="n">
        <v>0.005188666474018284</v>
      </c>
      <c r="H1526" s="5" t="n">
        <v>0.008071450742790453</v>
      </c>
      <c r="I1526" s="5" t="n">
        <v>-0.0008250945525456772</v>
      </c>
      <c r="J1526" s="5" t="n">
        <v>-0.008430735019681106</v>
      </c>
      <c r="K1526" s="5" t="n">
        <v>0.004184478562871196</v>
      </c>
      <c r="L1526" s="5" t="n">
        <v>-0.000648508222037965</v>
      </c>
      <c r="M1526" s="5">
        <f>SUMPRODUCT(Exposures!$B$6:$K$6,B1526:K1526)</f>
        <v/>
      </c>
      <c r="N1526" s="5">
        <f>IF(AND($A1526&gt;=DATE(2020,2,1),$A1526&lt;=DATE(2020,5,31)),$M1526,"")</f>
        <v/>
      </c>
      <c r="O1526" s="5">
        <f>IF(AND($A1526&gt;=DATE(2022,1,1),$A1526&lt;=DATE(2022,10,31)),$M1526,"")</f>
        <v/>
      </c>
      <c r="P1526" s="5">
        <f>IF(AND($A1526&gt;=DATE(2018,10,1),$A1526&lt;=DATE(2018,12,31)),$M1526,"")</f>
        <v/>
      </c>
      <c r="Q1526" s="5">
        <f>SUMPRODUCT(Exposures!$B$8:$K$8,B1526:K1526)</f>
        <v/>
      </c>
      <c r="R1526" s="5">
        <f>SUMPRODUCT(Exposures!$B$9:$K$9,B1526:K1526)</f>
        <v/>
      </c>
      <c r="S1526" s="5">
        <f>SUMPRODUCT(Exposures!$B$10:$K$10,B1526:K1526)</f>
        <v/>
      </c>
    </row>
    <row r="1527">
      <c r="A1527" s="1" t="n">
        <v>44672</v>
      </c>
      <c r="B1527" s="5" t="n">
        <v>-0.005448565721422382</v>
      </c>
      <c r="C1527" s="5" t="n">
        <v>-0.0006849197832958275</v>
      </c>
      <c r="D1527" s="5" t="n">
        <v>0.002117879787020742</v>
      </c>
      <c r="E1527" s="5" t="n">
        <v>-0.001901550752457225</v>
      </c>
      <c r="F1527" s="5" t="n">
        <v>-0.004227413879431039</v>
      </c>
      <c r="G1527" s="5" t="n">
        <v>-0.02272592399911764</v>
      </c>
      <c r="H1527" s="5" t="n">
        <v>-0.006367881313332348</v>
      </c>
      <c r="I1527" s="5" t="n">
        <v>-0.001249313298421591</v>
      </c>
      <c r="J1527" s="5" t="n">
        <v>-0.01432333210565179</v>
      </c>
      <c r="K1527" s="5" t="n">
        <v>0.003949577711707918</v>
      </c>
      <c r="L1527" s="5" t="n">
        <v>-0.001467846720917042</v>
      </c>
      <c r="M1527" s="5">
        <f>SUMPRODUCT(Exposures!$B$6:$K$6,B1527:K1527)</f>
        <v/>
      </c>
      <c r="N1527" s="5">
        <f>IF(AND($A1527&gt;=DATE(2020,2,1),$A1527&lt;=DATE(2020,5,31)),$M1527,"")</f>
        <v/>
      </c>
      <c r="O1527" s="5">
        <f>IF(AND($A1527&gt;=DATE(2022,1,1),$A1527&lt;=DATE(2022,10,31)),$M1527,"")</f>
        <v/>
      </c>
      <c r="P1527" s="5">
        <f>IF(AND($A1527&gt;=DATE(2018,10,1),$A1527&lt;=DATE(2018,12,31)),$M1527,"")</f>
        <v/>
      </c>
      <c r="Q1527" s="5">
        <f>SUMPRODUCT(Exposures!$B$8:$K$8,B1527:K1527)</f>
        <v/>
      </c>
      <c r="R1527" s="5">
        <f>SUMPRODUCT(Exposures!$B$9:$K$9,B1527:K1527)</f>
        <v/>
      </c>
      <c r="S1527" s="5">
        <f>SUMPRODUCT(Exposures!$B$10:$K$10,B1527:K1527)</f>
        <v/>
      </c>
    </row>
    <row r="1528">
      <c r="A1528" s="1" t="n">
        <v>44673</v>
      </c>
      <c r="B1528" s="5" t="n">
        <v>-0.003297000599098964</v>
      </c>
      <c r="C1528" s="5" t="n">
        <v>-0.0009372516833767978</v>
      </c>
      <c r="D1528" s="5" t="n">
        <v>0.0007582649283442763</v>
      </c>
      <c r="E1528" s="5" t="n">
        <v>-0.001076522155818183</v>
      </c>
      <c r="F1528" s="5" t="n">
        <v>-0.002088155685179986</v>
      </c>
      <c r="G1528" s="5" t="n">
        <v>-0.02561230546486175</v>
      </c>
      <c r="H1528" s="5" t="n">
        <v>-0.002545351987318928</v>
      </c>
      <c r="I1528" s="5" t="n">
        <v>-0.0005605015150244049</v>
      </c>
      <c r="J1528" s="5" t="n">
        <v>0.002227043512498583</v>
      </c>
      <c r="K1528" s="5" t="n">
        <v>0.00335939722374103</v>
      </c>
      <c r="L1528" s="5" t="n">
        <v>-0.0002473052284878277</v>
      </c>
      <c r="M1528" s="5">
        <f>SUMPRODUCT(Exposures!$B$6:$K$6,B1528:K1528)</f>
        <v/>
      </c>
      <c r="N1528" s="5">
        <f>IF(AND($A1528&gt;=DATE(2020,2,1),$A1528&lt;=DATE(2020,5,31)),$M1528,"")</f>
        <v/>
      </c>
      <c r="O1528" s="5">
        <f>IF(AND($A1528&gt;=DATE(2022,1,1),$A1528&lt;=DATE(2022,10,31)),$M1528,"")</f>
        <v/>
      </c>
      <c r="P1528" s="5">
        <f>IF(AND($A1528&gt;=DATE(2018,10,1),$A1528&lt;=DATE(2018,12,31)),$M1528,"")</f>
        <v/>
      </c>
      <c r="Q1528" s="5">
        <f>SUMPRODUCT(Exposures!$B$8:$K$8,B1528:K1528)</f>
        <v/>
      </c>
      <c r="R1528" s="5">
        <f>SUMPRODUCT(Exposures!$B$9:$K$9,B1528:K1528)</f>
        <v/>
      </c>
      <c r="S1528" s="5">
        <f>SUMPRODUCT(Exposures!$B$10:$K$10,B1528:K1528)</f>
        <v/>
      </c>
    </row>
    <row r="1529">
      <c r="A1529" s="1" t="n">
        <v>44676</v>
      </c>
      <c r="B1529" s="5" t="n">
        <v>0.009031256905233816</v>
      </c>
      <c r="C1529" s="5" t="n">
        <v>0.001476623886375228</v>
      </c>
      <c r="D1529" s="5" t="n">
        <v>0.0005956756334687066</v>
      </c>
      <c r="E1529" s="5" t="n">
        <v>0.001256270550771106</v>
      </c>
      <c r="F1529" s="5" t="n">
        <v>-0.0001092652934799737</v>
      </c>
      <c r="G1529" s="5" t="n">
        <v>0.008410938065030555</v>
      </c>
      <c r="H1529" s="5" t="n">
        <v>0.001125078299260815</v>
      </c>
      <c r="I1529" s="5" t="n">
        <v>0.003199516253301179</v>
      </c>
      <c r="J1529" s="5" t="n">
        <v>0.0005779727509070721</v>
      </c>
      <c r="K1529" s="5" t="n">
        <v>-0.004405427167991695</v>
      </c>
      <c r="L1529" s="5" t="n">
        <v>-0.002628786193203914</v>
      </c>
      <c r="M1529" s="5">
        <f>SUMPRODUCT(Exposures!$B$6:$K$6,B1529:K1529)</f>
        <v/>
      </c>
      <c r="N1529" s="5">
        <f>IF(AND($A1529&gt;=DATE(2020,2,1),$A1529&lt;=DATE(2020,5,31)),$M1529,"")</f>
        <v/>
      </c>
      <c r="O1529" s="5">
        <f>IF(AND($A1529&gt;=DATE(2022,1,1),$A1529&lt;=DATE(2022,10,31)),$M1529,"")</f>
        <v/>
      </c>
      <c r="P1529" s="5">
        <f>IF(AND($A1529&gt;=DATE(2018,10,1),$A1529&lt;=DATE(2018,12,31)),$M1529,"")</f>
        <v/>
      </c>
      <c r="Q1529" s="5">
        <f>SUMPRODUCT(Exposures!$B$8:$K$8,B1529:K1529)</f>
        <v/>
      </c>
      <c r="R1529" s="5">
        <f>SUMPRODUCT(Exposures!$B$9:$K$9,B1529:K1529)</f>
        <v/>
      </c>
      <c r="S1529" s="5">
        <f>SUMPRODUCT(Exposures!$B$10:$K$10,B1529:K1529)</f>
        <v/>
      </c>
    </row>
    <row r="1530">
      <c r="A1530" s="1" t="n">
        <v>44677</v>
      </c>
      <c r="B1530" s="5" t="n">
        <v>-0.009470511976024002</v>
      </c>
      <c r="C1530" s="5" t="n">
        <v>0.002499029286126699</v>
      </c>
      <c r="D1530" s="5" t="n">
        <v>0.0003068459438442966</v>
      </c>
      <c r="E1530" s="5" t="n">
        <v>-0.002721577550394931</v>
      </c>
      <c r="F1530" s="5" t="n">
        <v>-0.003877632008090494</v>
      </c>
      <c r="G1530" s="5" t="n">
        <v>-0.03151593349602811</v>
      </c>
      <c r="H1530" s="5" t="n">
        <v>0.003146743437927323</v>
      </c>
      <c r="I1530" s="5" t="n">
        <v>0.001349785428644226</v>
      </c>
      <c r="J1530" s="5" t="n">
        <v>-0.003730789769062563</v>
      </c>
      <c r="K1530" s="5" t="n">
        <v>0.003692252915725959</v>
      </c>
      <c r="L1530" s="5" t="n">
        <v>7.507995596227465e-05</v>
      </c>
      <c r="M1530" s="5">
        <f>SUMPRODUCT(Exposures!$B$6:$K$6,B1530:K1530)</f>
        <v/>
      </c>
      <c r="N1530" s="5">
        <f>IF(AND($A1530&gt;=DATE(2020,2,1),$A1530&lt;=DATE(2020,5,31)),$M1530,"")</f>
        <v/>
      </c>
      <c r="O1530" s="5">
        <f>IF(AND($A1530&gt;=DATE(2022,1,1),$A1530&lt;=DATE(2022,10,31)),$M1530,"")</f>
        <v/>
      </c>
      <c r="P1530" s="5">
        <f>IF(AND($A1530&gt;=DATE(2018,10,1),$A1530&lt;=DATE(2018,12,31)),$M1530,"")</f>
        <v/>
      </c>
      <c r="Q1530" s="5">
        <f>SUMPRODUCT(Exposures!$B$8:$K$8,B1530:K1530)</f>
        <v/>
      </c>
      <c r="R1530" s="5">
        <f>SUMPRODUCT(Exposures!$B$9:$K$9,B1530:K1530)</f>
        <v/>
      </c>
      <c r="S1530" s="5">
        <f>SUMPRODUCT(Exposures!$B$10:$K$10,B1530:K1530)</f>
        <v/>
      </c>
    </row>
    <row r="1531">
      <c r="A1531" s="1" t="n">
        <v>44678</v>
      </c>
      <c r="B1531" s="5" t="n">
        <v>-0.00186820168240516</v>
      </c>
      <c r="C1531" s="5" t="n">
        <v>7.277256753281461e-05</v>
      </c>
      <c r="D1531" s="5" t="n">
        <v>0.004629574160689186</v>
      </c>
      <c r="E1531" s="5" t="n">
        <v>0.0005939979388135001</v>
      </c>
      <c r="F1531" s="5" t="n">
        <v>-0.004119638900043834</v>
      </c>
      <c r="G1531" s="5" t="n">
        <v>-0.001100987839366157</v>
      </c>
      <c r="H1531" s="5" t="n">
        <v>0.002788557616326387</v>
      </c>
      <c r="I1531" s="5" t="n">
        <v>-0.007321479007656125</v>
      </c>
      <c r="J1531" s="5" t="n">
        <v>0.00655179168097427</v>
      </c>
      <c r="K1531" s="5" t="n">
        <v>0.01086976297582824</v>
      </c>
      <c r="L1531" s="5" t="n">
        <v>0.002249957353065833</v>
      </c>
      <c r="M1531" s="5">
        <f>SUMPRODUCT(Exposures!$B$6:$K$6,B1531:K1531)</f>
        <v/>
      </c>
      <c r="N1531" s="5">
        <f>IF(AND($A1531&gt;=DATE(2020,2,1),$A1531&lt;=DATE(2020,5,31)),$M1531,"")</f>
        <v/>
      </c>
      <c r="O1531" s="5">
        <f>IF(AND($A1531&gt;=DATE(2022,1,1),$A1531&lt;=DATE(2022,10,31)),$M1531,"")</f>
        <v/>
      </c>
      <c r="P1531" s="5">
        <f>IF(AND($A1531&gt;=DATE(2018,10,1),$A1531&lt;=DATE(2018,12,31)),$M1531,"")</f>
        <v/>
      </c>
      <c r="Q1531" s="5">
        <f>SUMPRODUCT(Exposures!$B$8:$K$8,B1531:K1531)</f>
        <v/>
      </c>
      <c r="R1531" s="5">
        <f>SUMPRODUCT(Exposures!$B$9:$K$9,B1531:K1531)</f>
        <v/>
      </c>
      <c r="S1531" s="5">
        <f>SUMPRODUCT(Exposures!$B$10:$K$10,B1531:K1531)</f>
        <v/>
      </c>
    </row>
    <row r="1532">
      <c r="A1532" s="1" t="n">
        <v>44679</v>
      </c>
      <c r="B1532" s="5" t="n">
        <v>0.01076404605587751</v>
      </c>
      <c r="C1532" s="5" t="n">
        <v>-0.001029973932745617</v>
      </c>
      <c r="D1532" s="5" t="n">
        <v>-0.007090323227607139</v>
      </c>
      <c r="E1532" s="5" t="n">
        <v>-0.001720347427337202</v>
      </c>
      <c r="F1532" s="5" t="n">
        <v>0.0003238614406395109</v>
      </c>
      <c r="G1532" s="5" t="n">
        <v>0.01717049792382502</v>
      </c>
      <c r="H1532" s="5" t="n">
        <v>0.0002691090171769441</v>
      </c>
      <c r="I1532" s="5" t="n">
        <v>0.001163163325427146</v>
      </c>
      <c r="J1532" s="5" t="n">
        <v>-0.001358335546169303</v>
      </c>
      <c r="K1532" s="5" t="n">
        <v>0.0009072116391169909</v>
      </c>
      <c r="L1532" s="5" t="n">
        <v>0.006038957624119758</v>
      </c>
      <c r="M1532" s="5">
        <f>SUMPRODUCT(Exposures!$B$6:$K$6,B1532:K1532)</f>
        <v/>
      </c>
      <c r="N1532" s="5">
        <f>IF(AND($A1532&gt;=DATE(2020,2,1),$A1532&lt;=DATE(2020,5,31)),$M1532,"")</f>
        <v/>
      </c>
      <c r="O1532" s="5">
        <f>IF(AND($A1532&gt;=DATE(2022,1,1),$A1532&lt;=DATE(2022,10,31)),$M1532,"")</f>
        <v/>
      </c>
      <c r="P1532" s="5">
        <f>IF(AND($A1532&gt;=DATE(2018,10,1),$A1532&lt;=DATE(2018,12,31)),$M1532,"")</f>
        <v/>
      </c>
      <c r="Q1532" s="5">
        <f>SUMPRODUCT(Exposures!$B$8:$K$8,B1532:K1532)</f>
        <v/>
      </c>
      <c r="R1532" s="5">
        <f>SUMPRODUCT(Exposures!$B$9:$K$9,B1532:K1532)</f>
        <v/>
      </c>
      <c r="S1532" s="5">
        <f>SUMPRODUCT(Exposures!$B$10:$K$10,B1532:K1532)</f>
        <v/>
      </c>
    </row>
    <row r="1533">
      <c r="A1533" s="1" t="n">
        <v>44680</v>
      </c>
      <c r="B1533" s="5" t="n">
        <v>-0.002258989644909671</v>
      </c>
      <c r="C1533" s="5" t="n">
        <v>0.0003267358657308499</v>
      </c>
      <c r="D1533" s="5" t="n">
        <v>-0.002257188473614597</v>
      </c>
      <c r="E1533" s="5" t="n">
        <v>-0.005340184291542688</v>
      </c>
      <c r="F1533" s="5" t="n">
        <v>-0.01509505914036411</v>
      </c>
      <c r="G1533" s="5" t="n">
        <v>-0.02901417707211593</v>
      </c>
      <c r="H1533" s="5" t="n">
        <v>-0.004485486746056833</v>
      </c>
      <c r="I1533" s="5" t="n">
        <v>-0.00715738812826383</v>
      </c>
      <c r="J1533" s="5" t="n">
        <v>0.007462587828486585</v>
      </c>
      <c r="K1533" s="5" t="n">
        <v>0.02330806972146439</v>
      </c>
      <c r="L1533" s="5" t="n">
        <v>0.006127788991247486</v>
      </c>
      <c r="M1533" s="5">
        <f>SUMPRODUCT(Exposures!$B$6:$K$6,B1533:K1533)</f>
        <v/>
      </c>
      <c r="N1533" s="5">
        <f>IF(AND($A1533&gt;=DATE(2020,2,1),$A1533&lt;=DATE(2020,5,31)),$M1533,"")</f>
        <v/>
      </c>
      <c r="O1533" s="5">
        <f>IF(AND($A1533&gt;=DATE(2022,1,1),$A1533&lt;=DATE(2022,10,31)),$M1533,"")</f>
        <v/>
      </c>
      <c r="P1533" s="5">
        <f>IF(AND($A1533&gt;=DATE(2018,10,1),$A1533&lt;=DATE(2018,12,31)),$M1533,"")</f>
        <v/>
      </c>
      <c r="Q1533" s="5">
        <f>SUMPRODUCT(Exposures!$B$8:$K$8,B1533:K1533)</f>
        <v/>
      </c>
      <c r="R1533" s="5">
        <f>SUMPRODUCT(Exposures!$B$9:$K$9,B1533:K1533)</f>
        <v/>
      </c>
      <c r="S1533" s="5">
        <f>SUMPRODUCT(Exposures!$B$10:$K$10,B1533:K1533)</f>
        <v/>
      </c>
    </row>
    <row r="1534">
      <c r="A1534" s="1" t="n">
        <v>44683</v>
      </c>
      <c r="B1534" s="5" t="n">
        <v>0.007134589997015661</v>
      </c>
      <c r="C1534" s="5" t="n">
        <v>0.001702527953349097</v>
      </c>
      <c r="D1534" s="5" t="n">
        <v>-0.004592818471541521</v>
      </c>
      <c r="E1534" s="5" t="n">
        <v>0.0008385477886886852</v>
      </c>
      <c r="F1534" s="5" t="n">
        <v>0.006969396835482805</v>
      </c>
      <c r="G1534" s="5" t="n">
        <v>0.009333563910623935</v>
      </c>
      <c r="H1534" s="5" t="n">
        <v>-0.004036233511480009</v>
      </c>
      <c r="I1534" s="5" t="n">
        <v>0.002239563204737729</v>
      </c>
      <c r="J1534" s="5" t="n">
        <v>0.00795362450196628</v>
      </c>
      <c r="K1534" s="5" t="n">
        <v>-0.004994450908280619</v>
      </c>
      <c r="L1534" s="5" t="n">
        <v>-0.0009657724611659249</v>
      </c>
      <c r="M1534" s="5">
        <f>SUMPRODUCT(Exposures!$B$6:$K$6,B1534:K1534)</f>
        <v/>
      </c>
      <c r="N1534" s="5">
        <f>IF(AND($A1534&gt;=DATE(2020,2,1),$A1534&lt;=DATE(2020,5,31)),$M1534,"")</f>
        <v/>
      </c>
      <c r="O1534" s="5">
        <f>IF(AND($A1534&gt;=DATE(2022,1,1),$A1534&lt;=DATE(2022,10,31)),$M1534,"")</f>
        <v/>
      </c>
      <c r="P1534" s="5">
        <f>IF(AND($A1534&gt;=DATE(2018,10,1),$A1534&lt;=DATE(2018,12,31)),$M1534,"")</f>
        <v/>
      </c>
      <c r="Q1534" s="5">
        <f>SUMPRODUCT(Exposures!$B$8:$K$8,B1534:K1534)</f>
        <v/>
      </c>
      <c r="R1534" s="5">
        <f>SUMPRODUCT(Exposures!$B$9:$K$9,B1534:K1534)</f>
        <v/>
      </c>
      <c r="S1534" s="5">
        <f>SUMPRODUCT(Exposures!$B$10:$K$10,B1534:K1534)</f>
        <v/>
      </c>
    </row>
    <row r="1535">
      <c r="A1535" s="1" t="n">
        <v>44684</v>
      </c>
      <c r="B1535" s="5" t="n">
        <v>-0.0008048918073622107</v>
      </c>
      <c r="C1535" s="5" t="n">
        <v>-0.001727557167754956</v>
      </c>
      <c r="D1535" s="5" t="n">
        <v>0.001011100036857516</v>
      </c>
      <c r="E1535" s="5" t="n">
        <v>0.002040846643405972</v>
      </c>
      <c r="F1535" s="5" t="n">
        <v>0.007103947622384275</v>
      </c>
      <c r="G1535" s="5" t="n">
        <v>0.008151160239716321</v>
      </c>
      <c r="H1535" s="5" t="n">
        <v>0.0002345497785452655</v>
      </c>
      <c r="I1535" s="5" t="n">
        <v>0.0009856638418978224</v>
      </c>
      <c r="J1535" s="5" t="n">
        <v>-0.0007310242665346911</v>
      </c>
      <c r="K1535" s="5" t="n">
        <v>-0.008822241341697399</v>
      </c>
      <c r="L1535" s="5" t="n">
        <v>-0.002019152588656067</v>
      </c>
      <c r="M1535" s="5">
        <f>SUMPRODUCT(Exposures!$B$6:$K$6,B1535:K1535)</f>
        <v/>
      </c>
      <c r="N1535" s="5">
        <f>IF(AND($A1535&gt;=DATE(2020,2,1),$A1535&lt;=DATE(2020,5,31)),$M1535,"")</f>
        <v/>
      </c>
      <c r="O1535" s="5">
        <f>IF(AND($A1535&gt;=DATE(2022,1,1),$A1535&lt;=DATE(2022,10,31)),$M1535,"")</f>
        <v/>
      </c>
      <c r="P1535" s="5">
        <f>IF(AND($A1535&gt;=DATE(2018,10,1),$A1535&lt;=DATE(2018,12,31)),$M1535,"")</f>
        <v/>
      </c>
      <c r="Q1535" s="5">
        <f>SUMPRODUCT(Exposures!$B$8:$K$8,B1535:K1535)</f>
        <v/>
      </c>
      <c r="R1535" s="5">
        <f>SUMPRODUCT(Exposures!$B$9:$K$9,B1535:K1535)</f>
        <v/>
      </c>
      <c r="S1535" s="5">
        <f>SUMPRODUCT(Exposures!$B$10:$K$10,B1535:K1535)</f>
        <v/>
      </c>
    </row>
    <row r="1536">
      <c r="A1536" s="1" t="n">
        <v>44685</v>
      </c>
      <c r="B1536" s="5" t="n">
        <v>0.007908952449006216</v>
      </c>
      <c r="C1536" s="5" t="n">
        <v>-0.0009935717143869983</v>
      </c>
      <c r="D1536" s="5" t="n">
        <v>-0.004080743441777802</v>
      </c>
      <c r="E1536" s="5" t="n">
        <v>0.001920384502744285</v>
      </c>
      <c r="F1536" s="5" t="n">
        <v>0.0001414464189811366</v>
      </c>
      <c r="G1536" s="5" t="n">
        <v>0.02724652612048731</v>
      </c>
      <c r="H1536" s="5" t="n">
        <v>0.00345502477653515</v>
      </c>
      <c r="I1536" s="5" t="n">
        <v>0.001412093079647574</v>
      </c>
      <c r="J1536" s="5" t="n">
        <v>-0.002011660392234505</v>
      </c>
      <c r="K1536" s="5" t="n">
        <v>0.00184685864621798</v>
      </c>
      <c r="L1536" s="5" t="n">
        <v>0.00202349764712145</v>
      </c>
      <c r="M1536" s="5">
        <f>SUMPRODUCT(Exposures!$B$6:$K$6,B1536:K1536)</f>
        <v/>
      </c>
      <c r="N1536" s="5">
        <f>IF(AND($A1536&gt;=DATE(2020,2,1),$A1536&lt;=DATE(2020,5,31)),$M1536,"")</f>
        <v/>
      </c>
      <c r="O1536" s="5">
        <f>IF(AND($A1536&gt;=DATE(2022,1,1),$A1536&lt;=DATE(2022,10,31)),$M1536,"")</f>
        <v/>
      </c>
      <c r="P1536" s="5">
        <f>IF(AND($A1536&gt;=DATE(2018,10,1),$A1536&lt;=DATE(2018,12,31)),$M1536,"")</f>
        <v/>
      </c>
      <c r="Q1536" s="5">
        <f>SUMPRODUCT(Exposures!$B$8:$K$8,B1536:K1536)</f>
        <v/>
      </c>
      <c r="R1536" s="5">
        <f>SUMPRODUCT(Exposures!$B$9:$K$9,B1536:K1536)</f>
        <v/>
      </c>
      <c r="S1536" s="5">
        <f>SUMPRODUCT(Exposures!$B$10:$K$10,B1536:K1536)</f>
        <v/>
      </c>
    </row>
    <row r="1537">
      <c r="A1537" s="1" t="n">
        <v>44686</v>
      </c>
      <c r="B1537" s="5" t="n">
        <v>-0.01133911561068431</v>
      </c>
      <c r="C1537" s="5" t="n">
        <v>8.730812922986436e-05</v>
      </c>
      <c r="D1537" s="5" t="n">
        <v>0.0004250497746868965</v>
      </c>
      <c r="E1537" s="5" t="n">
        <v>0.001258792378713595</v>
      </c>
      <c r="F1537" s="5" t="n">
        <v>-0.001478369243918963</v>
      </c>
      <c r="G1537" s="5" t="n">
        <v>-0.03525247553245092</v>
      </c>
      <c r="H1537" s="5" t="n">
        <v>0.001705392432608421</v>
      </c>
      <c r="I1537" s="5" t="n">
        <v>0.002174043590378716</v>
      </c>
      <c r="J1537" s="5" t="n">
        <v>-0.006902242389238156</v>
      </c>
      <c r="K1537" s="5" t="n">
        <v>-0.002379846147194706</v>
      </c>
      <c r="L1537" s="5" t="n">
        <v>0.0007184017839683531</v>
      </c>
      <c r="M1537" s="5">
        <f>SUMPRODUCT(Exposures!$B$6:$K$6,B1537:K1537)</f>
        <v/>
      </c>
      <c r="N1537" s="5">
        <f>IF(AND($A1537&gt;=DATE(2020,2,1),$A1537&lt;=DATE(2020,5,31)),$M1537,"")</f>
        <v/>
      </c>
      <c r="O1537" s="5">
        <f>IF(AND($A1537&gt;=DATE(2022,1,1),$A1537&lt;=DATE(2022,10,31)),$M1537,"")</f>
        <v/>
      </c>
      <c r="P1537" s="5">
        <f>IF(AND($A1537&gt;=DATE(2018,10,1),$A1537&lt;=DATE(2018,12,31)),$M1537,"")</f>
        <v/>
      </c>
      <c r="Q1537" s="5">
        <f>SUMPRODUCT(Exposures!$B$8:$K$8,B1537:K1537)</f>
        <v/>
      </c>
      <c r="R1537" s="5">
        <f>SUMPRODUCT(Exposures!$B$9:$K$9,B1537:K1537)</f>
        <v/>
      </c>
      <c r="S1537" s="5">
        <f>SUMPRODUCT(Exposures!$B$10:$K$10,B1537:K1537)</f>
        <v/>
      </c>
    </row>
    <row r="1538">
      <c r="A1538" s="1" t="n">
        <v>44687</v>
      </c>
      <c r="B1538" s="5" t="n">
        <v>-0.00824101396391214</v>
      </c>
      <c r="C1538" s="5" t="n">
        <v>-0.003300339656415836</v>
      </c>
      <c r="D1538" s="5" t="n">
        <v>-0.000707486870196606</v>
      </c>
      <c r="E1538" s="5" t="n">
        <v>-0.002795804406374095</v>
      </c>
      <c r="F1538" s="5" t="n">
        <v>0.00337044803507375</v>
      </c>
      <c r="G1538" s="5" t="n">
        <v>-0.01232079021458776</v>
      </c>
      <c r="H1538" s="5" t="n">
        <v>0.001202376228947355</v>
      </c>
      <c r="I1538" s="5" t="n">
        <v>0.005863521958622931</v>
      </c>
      <c r="J1538" s="5" t="n">
        <v>-0.01056394289323719</v>
      </c>
      <c r="K1538" s="5" t="n">
        <v>-0.006937043999306676</v>
      </c>
      <c r="L1538" s="5" t="n">
        <v>0.001664825017271465</v>
      </c>
      <c r="M1538" s="5">
        <f>SUMPRODUCT(Exposures!$B$6:$K$6,B1538:K1538)</f>
        <v/>
      </c>
      <c r="N1538" s="5">
        <f>IF(AND($A1538&gt;=DATE(2020,2,1),$A1538&lt;=DATE(2020,5,31)),$M1538,"")</f>
        <v/>
      </c>
      <c r="O1538" s="5">
        <f>IF(AND($A1538&gt;=DATE(2022,1,1),$A1538&lt;=DATE(2022,10,31)),$M1538,"")</f>
        <v/>
      </c>
      <c r="P1538" s="5">
        <f>IF(AND($A1538&gt;=DATE(2018,10,1),$A1538&lt;=DATE(2018,12,31)),$M1538,"")</f>
        <v/>
      </c>
      <c r="Q1538" s="5">
        <f>SUMPRODUCT(Exposures!$B$8:$K$8,B1538:K1538)</f>
        <v/>
      </c>
      <c r="R1538" s="5">
        <f>SUMPRODUCT(Exposures!$B$9:$K$9,B1538:K1538)</f>
        <v/>
      </c>
      <c r="S1538" s="5">
        <f>SUMPRODUCT(Exposures!$B$10:$K$10,B1538:K1538)</f>
        <v/>
      </c>
    </row>
    <row r="1539">
      <c r="A1539" s="1" t="n">
        <v>44690</v>
      </c>
      <c r="B1539" s="5" t="n">
        <v>-0.01128507321729704</v>
      </c>
      <c r="C1539" s="5" t="n">
        <v>0.005327735994240987</v>
      </c>
      <c r="D1539" s="5" t="n">
        <v>-0.003177956269424517</v>
      </c>
      <c r="E1539" s="5" t="n">
        <v>0.00663803879437937</v>
      </c>
      <c r="F1539" s="5" t="n">
        <v>-0.009196237915481079</v>
      </c>
      <c r="G1539" s="5" t="n">
        <v>-0.04029911962622143</v>
      </c>
      <c r="H1539" s="5" t="n">
        <v>-0.006225462068165229</v>
      </c>
      <c r="I1539" s="5" t="n">
        <v>-0.0006830556714034017</v>
      </c>
      <c r="J1539" s="5" t="n">
        <v>-0.01451538864880485</v>
      </c>
      <c r="K1539" s="5" t="n">
        <v>0.005050016936605868</v>
      </c>
      <c r="L1539" s="5" t="n">
        <v>0.0003438920754711939</v>
      </c>
      <c r="M1539" s="5">
        <f>SUMPRODUCT(Exposures!$B$6:$K$6,B1539:K1539)</f>
        <v/>
      </c>
      <c r="N1539" s="5">
        <f>IF(AND($A1539&gt;=DATE(2020,2,1),$A1539&lt;=DATE(2020,5,31)),$M1539,"")</f>
        <v/>
      </c>
      <c r="O1539" s="5">
        <f>IF(AND($A1539&gt;=DATE(2022,1,1),$A1539&lt;=DATE(2022,10,31)),$M1539,"")</f>
        <v/>
      </c>
      <c r="P1539" s="5">
        <f>IF(AND($A1539&gt;=DATE(2018,10,1),$A1539&lt;=DATE(2018,12,31)),$M1539,"")</f>
        <v/>
      </c>
      <c r="Q1539" s="5">
        <f>SUMPRODUCT(Exposures!$B$8:$K$8,B1539:K1539)</f>
        <v/>
      </c>
      <c r="R1539" s="5">
        <f>SUMPRODUCT(Exposures!$B$9:$K$9,B1539:K1539)</f>
        <v/>
      </c>
      <c r="S1539" s="5">
        <f>SUMPRODUCT(Exposures!$B$10:$K$10,B1539:K1539)</f>
        <v/>
      </c>
    </row>
    <row r="1540">
      <c r="A1540" s="1" t="n">
        <v>44691</v>
      </c>
      <c r="B1540" s="5" t="n">
        <v>0.001051321385554356</v>
      </c>
      <c r="C1540" s="5" t="n">
        <v>0.001812840835117024</v>
      </c>
      <c r="D1540" s="5" t="n">
        <v>-0.0022821244379834</v>
      </c>
      <c r="E1540" s="5" t="n">
        <v>-0.003155635950264829</v>
      </c>
      <c r="F1540" s="5" t="n">
        <v>0.007843466473237368</v>
      </c>
      <c r="G1540" s="5" t="n">
        <v>-0.004291139746246269</v>
      </c>
      <c r="H1540" s="5" t="n">
        <v>0.00509955601751868</v>
      </c>
      <c r="I1540" s="5" t="n">
        <v>-0.001285219687838501</v>
      </c>
      <c r="J1540" s="5" t="n">
        <v>-0.001501559192836535</v>
      </c>
      <c r="K1540" s="5" t="n">
        <v>-0.003247999181176989</v>
      </c>
      <c r="L1540" s="5" t="n">
        <v>-0.00196034582767844</v>
      </c>
      <c r="M1540" s="5">
        <f>SUMPRODUCT(Exposures!$B$6:$K$6,B1540:K1540)</f>
        <v/>
      </c>
      <c r="N1540" s="5">
        <f>IF(AND($A1540&gt;=DATE(2020,2,1),$A1540&lt;=DATE(2020,5,31)),$M1540,"")</f>
        <v/>
      </c>
      <c r="O1540" s="5">
        <f>IF(AND($A1540&gt;=DATE(2022,1,1),$A1540&lt;=DATE(2022,10,31)),$M1540,"")</f>
        <v/>
      </c>
      <c r="P1540" s="5">
        <f>IF(AND($A1540&gt;=DATE(2018,10,1),$A1540&lt;=DATE(2018,12,31)),$M1540,"")</f>
        <v/>
      </c>
      <c r="Q1540" s="5">
        <f>SUMPRODUCT(Exposures!$B$8:$K$8,B1540:K1540)</f>
        <v/>
      </c>
      <c r="R1540" s="5">
        <f>SUMPRODUCT(Exposures!$B$9:$K$9,B1540:K1540)</f>
        <v/>
      </c>
      <c r="S1540" s="5">
        <f>SUMPRODUCT(Exposures!$B$10:$K$10,B1540:K1540)</f>
        <v/>
      </c>
    </row>
    <row r="1541">
      <c r="A1541" s="1" t="n">
        <v>44692</v>
      </c>
      <c r="B1541" s="5" t="n">
        <v>-0.01044374973362544</v>
      </c>
      <c r="C1541" s="5" t="n">
        <v>0.002619306434770474</v>
      </c>
      <c r="D1541" s="5" t="n">
        <v>0.005960104094225308</v>
      </c>
      <c r="E1541" s="5" t="n">
        <v>-0.00276088776985594</v>
      </c>
      <c r="F1541" s="5" t="n">
        <v>-0.003105829511371342</v>
      </c>
      <c r="G1541" s="5" t="n">
        <v>-0.02059199415112271</v>
      </c>
      <c r="H1541" s="5" t="n">
        <v>0.006318310387130022</v>
      </c>
      <c r="I1541" s="5" t="n">
        <v>0.00194966344540861</v>
      </c>
      <c r="J1541" s="5" t="n">
        <v>-0.008654596272189632</v>
      </c>
      <c r="K1541" s="5" t="n">
        <v>-0.0003716850686905438</v>
      </c>
      <c r="L1541" s="5" t="n">
        <v>0.002556478637818288</v>
      </c>
      <c r="M1541" s="5">
        <f>SUMPRODUCT(Exposures!$B$6:$K$6,B1541:K1541)</f>
        <v/>
      </c>
      <c r="N1541" s="5">
        <f>IF(AND($A1541&gt;=DATE(2020,2,1),$A1541&lt;=DATE(2020,5,31)),$M1541,"")</f>
        <v/>
      </c>
      <c r="O1541" s="5">
        <f>IF(AND($A1541&gt;=DATE(2022,1,1),$A1541&lt;=DATE(2022,10,31)),$M1541,"")</f>
        <v/>
      </c>
      <c r="P1541" s="5">
        <f>IF(AND($A1541&gt;=DATE(2018,10,1),$A1541&lt;=DATE(2018,12,31)),$M1541,"")</f>
        <v/>
      </c>
      <c r="Q1541" s="5">
        <f>SUMPRODUCT(Exposures!$B$8:$K$8,B1541:K1541)</f>
        <v/>
      </c>
      <c r="R1541" s="5">
        <f>SUMPRODUCT(Exposures!$B$9:$K$9,B1541:K1541)</f>
        <v/>
      </c>
      <c r="S1541" s="5">
        <f>SUMPRODUCT(Exposures!$B$10:$K$10,B1541:K1541)</f>
        <v/>
      </c>
    </row>
    <row r="1542">
      <c r="A1542" s="1" t="n">
        <v>44693</v>
      </c>
      <c r="B1542" s="5" t="n">
        <v>0.000390713682019427</v>
      </c>
      <c r="C1542" s="5" t="n">
        <v>0.001089719353521876</v>
      </c>
      <c r="D1542" s="5" t="n">
        <v>0.0002257839209155873</v>
      </c>
      <c r="E1542" s="5" t="n">
        <v>-0.003754221872533565</v>
      </c>
      <c r="F1542" s="5" t="n">
        <v>-0.002160524459505805</v>
      </c>
      <c r="G1542" s="5" t="n">
        <v>0.009071871402332531</v>
      </c>
      <c r="H1542" s="5" t="n">
        <v>-0.00292860983296942</v>
      </c>
      <c r="I1542" s="5" t="n">
        <v>0.001343384275457498</v>
      </c>
      <c r="J1542" s="5" t="n">
        <v>0.001217348661096464</v>
      </c>
      <c r="K1542" s="5" t="n">
        <v>-0.005133010689439875</v>
      </c>
      <c r="L1542" s="5" t="n">
        <v>-0.004908806326172022</v>
      </c>
      <c r="M1542" s="5">
        <f>SUMPRODUCT(Exposures!$B$6:$K$6,B1542:K1542)</f>
        <v/>
      </c>
      <c r="N1542" s="5">
        <f>IF(AND($A1542&gt;=DATE(2020,2,1),$A1542&lt;=DATE(2020,5,31)),$M1542,"")</f>
        <v/>
      </c>
      <c r="O1542" s="5">
        <f>IF(AND($A1542&gt;=DATE(2022,1,1),$A1542&lt;=DATE(2022,10,31)),$M1542,"")</f>
        <v/>
      </c>
      <c r="P1542" s="5">
        <f>IF(AND($A1542&gt;=DATE(2018,10,1),$A1542&lt;=DATE(2018,12,31)),$M1542,"")</f>
        <v/>
      </c>
      <c r="Q1542" s="5">
        <f>SUMPRODUCT(Exposures!$B$8:$K$8,B1542:K1542)</f>
        <v/>
      </c>
      <c r="R1542" s="5">
        <f>SUMPRODUCT(Exposures!$B$9:$K$9,B1542:K1542)</f>
        <v/>
      </c>
      <c r="S1542" s="5">
        <f>SUMPRODUCT(Exposures!$B$10:$K$10,B1542:K1542)</f>
        <v/>
      </c>
    </row>
    <row r="1543">
      <c r="A1543" s="1" t="n">
        <v>44694</v>
      </c>
      <c r="B1543" s="5" t="n">
        <v>0.01596587862569621</v>
      </c>
      <c r="C1543" s="5" t="n">
        <v>-0.005117781106050906</v>
      </c>
      <c r="D1543" s="5" t="n">
        <v>0.001775044862203048</v>
      </c>
      <c r="E1543" s="5" t="n">
        <v>-0.0003328796045101703</v>
      </c>
      <c r="F1543" s="5" t="n">
        <v>0.003833497374843833</v>
      </c>
      <c r="G1543" s="5" t="n">
        <v>0.03446192268209278</v>
      </c>
      <c r="H1543" s="5" t="n">
        <v>-0.00351116981005597</v>
      </c>
      <c r="I1543" s="5" t="n">
        <v>-0.001935751572128247</v>
      </c>
      <c r="J1543" s="5" t="n">
        <v>0.01193407920438029</v>
      </c>
      <c r="K1543" s="5" t="n">
        <v>0.001957594463236415</v>
      </c>
      <c r="L1543" s="5" t="n">
        <v>-0.002344281830475579</v>
      </c>
      <c r="M1543" s="5">
        <f>SUMPRODUCT(Exposures!$B$6:$K$6,B1543:K1543)</f>
        <v/>
      </c>
      <c r="N1543" s="5">
        <f>IF(AND($A1543&gt;=DATE(2020,2,1),$A1543&lt;=DATE(2020,5,31)),$M1543,"")</f>
        <v/>
      </c>
      <c r="O1543" s="5">
        <f>IF(AND($A1543&gt;=DATE(2022,1,1),$A1543&lt;=DATE(2022,10,31)),$M1543,"")</f>
        <v/>
      </c>
      <c r="P1543" s="5">
        <f>IF(AND($A1543&gt;=DATE(2018,10,1),$A1543&lt;=DATE(2018,12,31)),$M1543,"")</f>
        <v/>
      </c>
      <c r="Q1543" s="5">
        <f>SUMPRODUCT(Exposures!$B$8:$K$8,B1543:K1543)</f>
        <v/>
      </c>
      <c r="R1543" s="5">
        <f>SUMPRODUCT(Exposures!$B$9:$K$9,B1543:K1543)</f>
        <v/>
      </c>
      <c r="S1543" s="5">
        <f>SUMPRODUCT(Exposures!$B$10:$K$10,B1543:K1543)</f>
        <v/>
      </c>
    </row>
    <row r="1544">
      <c r="A1544" s="1" t="n">
        <v>44697</v>
      </c>
      <c r="B1544" s="5" t="n">
        <v>-0.009852997408819395</v>
      </c>
      <c r="C1544" s="5" t="n">
        <v>0.0005808738370594137</v>
      </c>
      <c r="D1544" s="5" t="n">
        <v>0.00118469699901687</v>
      </c>
      <c r="E1544" s="5" t="n">
        <v>-0.001603382197406916</v>
      </c>
      <c r="F1544" s="5" t="n">
        <v>-0.001500220433069552</v>
      </c>
      <c r="G1544" s="5" t="n">
        <v>-0.004597210536785256</v>
      </c>
      <c r="H1544" s="5" t="n">
        <v>0.005684025869546161</v>
      </c>
      <c r="I1544" s="5" t="n">
        <v>0.001508170167413603</v>
      </c>
      <c r="J1544" s="5" t="n">
        <v>0.003303550468702112</v>
      </c>
      <c r="K1544" s="5" t="n">
        <v>-3.894272221575089e-06</v>
      </c>
      <c r="L1544" s="5" t="n">
        <v>0.001701989951566659</v>
      </c>
      <c r="M1544" s="5">
        <f>SUMPRODUCT(Exposures!$B$6:$K$6,B1544:K1544)</f>
        <v/>
      </c>
      <c r="N1544" s="5">
        <f>IF(AND($A1544&gt;=DATE(2020,2,1),$A1544&lt;=DATE(2020,5,31)),$M1544,"")</f>
        <v/>
      </c>
      <c r="O1544" s="5">
        <f>IF(AND($A1544&gt;=DATE(2022,1,1),$A1544&lt;=DATE(2022,10,31)),$M1544,"")</f>
        <v/>
      </c>
      <c r="P1544" s="5">
        <f>IF(AND($A1544&gt;=DATE(2018,10,1),$A1544&lt;=DATE(2018,12,31)),$M1544,"")</f>
        <v/>
      </c>
      <c r="Q1544" s="5">
        <f>SUMPRODUCT(Exposures!$B$8:$K$8,B1544:K1544)</f>
        <v/>
      </c>
      <c r="R1544" s="5">
        <f>SUMPRODUCT(Exposures!$B$9:$K$9,B1544:K1544)</f>
        <v/>
      </c>
      <c r="S1544" s="5">
        <f>SUMPRODUCT(Exposures!$B$10:$K$10,B1544:K1544)</f>
        <v/>
      </c>
    </row>
    <row r="1545">
      <c r="A1545" s="1" t="n">
        <v>44698</v>
      </c>
      <c r="B1545" s="5" t="n">
        <v>0.008899417665868013</v>
      </c>
      <c r="C1545" s="5" t="n">
        <v>-0.0009690342589320881</v>
      </c>
      <c r="D1545" s="5" t="n">
        <v>-0.001583034551685743</v>
      </c>
      <c r="E1545" s="5" t="n">
        <v>-0.000884822915751276</v>
      </c>
      <c r="F1545" s="5" t="n">
        <v>0.005685942479806671</v>
      </c>
      <c r="G1545" s="5" t="n">
        <v>0.02984022550916399</v>
      </c>
      <c r="H1545" s="5" t="n">
        <v>-0.007175520306959295</v>
      </c>
      <c r="I1545" s="5" t="n">
        <v>0.002468930928479386</v>
      </c>
      <c r="J1545" s="5" t="n">
        <v>0.005522528444472259</v>
      </c>
      <c r="K1545" s="5" t="n">
        <v>-0.004170764900453124</v>
      </c>
      <c r="L1545" s="5" t="n">
        <v>0.002263229878913514</v>
      </c>
      <c r="M1545" s="5">
        <f>SUMPRODUCT(Exposures!$B$6:$K$6,B1545:K1545)</f>
        <v/>
      </c>
      <c r="N1545" s="5">
        <f>IF(AND($A1545&gt;=DATE(2020,2,1),$A1545&lt;=DATE(2020,5,31)),$M1545,"")</f>
        <v/>
      </c>
      <c r="O1545" s="5">
        <f>IF(AND($A1545&gt;=DATE(2022,1,1),$A1545&lt;=DATE(2022,10,31)),$M1545,"")</f>
        <v/>
      </c>
      <c r="P1545" s="5">
        <f>IF(AND($A1545&gt;=DATE(2018,10,1),$A1545&lt;=DATE(2018,12,31)),$M1545,"")</f>
        <v/>
      </c>
      <c r="Q1545" s="5">
        <f>SUMPRODUCT(Exposures!$B$8:$K$8,B1545:K1545)</f>
        <v/>
      </c>
      <c r="R1545" s="5">
        <f>SUMPRODUCT(Exposures!$B$9:$K$9,B1545:K1545)</f>
        <v/>
      </c>
      <c r="S1545" s="5">
        <f>SUMPRODUCT(Exposures!$B$10:$K$10,B1545:K1545)</f>
        <v/>
      </c>
    </row>
    <row r="1546">
      <c r="A1546" s="1" t="n">
        <v>44699</v>
      </c>
      <c r="B1546" s="5" t="n">
        <v>-0.003181414989006067</v>
      </c>
      <c r="C1546" s="5" t="n">
        <v>-0.002981882100805828</v>
      </c>
      <c r="D1546" s="5" t="n">
        <v>0.002202542701034298</v>
      </c>
      <c r="E1546" s="5" t="n">
        <v>0.00194836290158903</v>
      </c>
      <c r="F1546" s="5" t="n">
        <v>-0.009151505492514969</v>
      </c>
      <c r="G1546" s="5" t="n">
        <v>-0.03655674065026478</v>
      </c>
      <c r="H1546" s="5" t="n">
        <v>-0.006062357954419657</v>
      </c>
      <c r="I1546" s="5" t="n">
        <v>0.005455868629516304</v>
      </c>
      <c r="J1546" s="5" t="n">
        <v>-0.00462283085032134</v>
      </c>
      <c r="K1546" s="5" t="n">
        <v>0.002503363316429644</v>
      </c>
      <c r="L1546" s="5" t="n">
        <v>0.001730064942083303</v>
      </c>
      <c r="M1546" s="5">
        <f>SUMPRODUCT(Exposures!$B$6:$K$6,B1546:K1546)</f>
        <v/>
      </c>
      <c r="N1546" s="5">
        <f>IF(AND($A1546&gt;=DATE(2020,2,1),$A1546&lt;=DATE(2020,5,31)),$M1546,"")</f>
        <v/>
      </c>
      <c r="O1546" s="5">
        <f>IF(AND($A1546&gt;=DATE(2022,1,1),$A1546&lt;=DATE(2022,10,31)),$M1546,"")</f>
        <v/>
      </c>
      <c r="P1546" s="5">
        <f>IF(AND($A1546&gt;=DATE(2018,10,1),$A1546&lt;=DATE(2018,12,31)),$M1546,"")</f>
        <v/>
      </c>
      <c r="Q1546" s="5">
        <f>SUMPRODUCT(Exposures!$B$8:$K$8,B1546:K1546)</f>
        <v/>
      </c>
      <c r="R1546" s="5">
        <f>SUMPRODUCT(Exposures!$B$9:$K$9,B1546:K1546)</f>
        <v/>
      </c>
      <c r="S1546" s="5">
        <f>SUMPRODUCT(Exposures!$B$10:$K$10,B1546:K1546)</f>
        <v/>
      </c>
    </row>
    <row r="1547">
      <c r="A1547" s="1" t="n">
        <v>44700</v>
      </c>
      <c r="B1547" s="5" t="n">
        <v>0.003984303631883116</v>
      </c>
      <c r="C1547" s="5" t="n">
        <v>-0.003816403656124646</v>
      </c>
      <c r="D1547" s="5" t="n">
        <v>0.01003608956610322</v>
      </c>
      <c r="E1547" s="5" t="n">
        <v>0.000474360646607659</v>
      </c>
      <c r="F1547" s="5" t="n">
        <v>-0.0004193695254712951</v>
      </c>
      <c r="G1547" s="5" t="n">
        <v>0.003444763644621989</v>
      </c>
      <c r="H1547" s="5" t="n">
        <v>-0.001513345710616951</v>
      </c>
      <c r="I1547" s="5" t="n">
        <v>-0.002018199132976818</v>
      </c>
      <c r="J1547" s="5" t="n">
        <v>0.007772960662168486</v>
      </c>
      <c r="K1547" s="5" t="n">
        <v>-0.001044215494552612</v>
      </c>
      <c r="L1547" s="5" t="n">
        <v>-0.002837550397679737</v>
      </c>
      <c r="M1547" s="5">
        <f>SUMPRODUCT(Exposures!$B$6:$K$6,B1547:K1547)</f>
        <v/>
      </c>
      <c r="N1547" s="5">
        <f>IF(AND($A1547&gt;=DATE(2020,2,1),$A1547&lt;=DATE(2020,5,31)),$M1547,"")</f>
        <v/>
      </c>
      <c r="O1547" s="5">
        <f>IF(AND($A1547&gt;=DATE(2022,1,1),$A1547&lt;=DATE(2022,10,31)),$M1547,"")</f>
        <v/>
      </c>
      <c r="P1547" s="5">
        <f>IF(AND($A1547&gt;=DATE(2018,10,1),$A1547&lt;=DATE(2018,12,31)),$M1547,"")</f>
        <v/>
      </c>
      <c r="Q1547" s="5">
        <f>SUMPRODUCT(Exposures!$B$8:$K$8,B1547:K1547)</f>
        <v/>
      </c>
      <c r="R1547" s="5">
        <f>SUMPRODUCT(Exposures!$B$9:$K$9,B1547:K1547)</f>
        <v/>
      </c>
      <c r="S1547" s="5">
        <f>SUMPRODUCT(Exposures!$B$10:$K$10,B1547:K1547)</f>
        <v/>
      </c>
    </row>
    <row r="1548">
      <c r="A1548" s="1" t="n">
        <v>44701</v>
      </c>
      <c r="B1548" s="5" t="n">
        <v>0.001095570549281413</v>
      </c>
      <c r="C1548" s="5" t="n">
        <v>0.002005803992039741</v>
      </c>
      <c r="D1548" s="5" t="n">
        <v>0.003469696072539488</v>
      </c>
      <c r="E1548" s="5" t="n">
        <v>0.005419780483366346</v>
      </c>
      <c r="F1548" s="5" t="n">
        <v>-0.00830984388555848</v>
      </c>
      <c r="G1548" s="5" t="n">
        <v>-0.00258142894030178</v>
      </c>
      <c r="H1548" s="5" t="n">
        <v>-0.001413970222371007</v>
      </c>
      <c r="I1548" s="5" t="n">
        <v>0.003056788020565762</v>
      </c>
      <c r="J1548" s="5" t="n">
        <v>-0.003969025072171528</v>
      </c>
      <c r="K1548" s="5" t="n">
        <v>0.005084414783172275</v>
      </c>
      <c r="L1548" s="5" t="n">
        <v>-0.003616768480716153</v>
      </c>
      <c r="M1548" s="5">
        <f>SUMPRODUCT(Exposures!$B$6:$K$6,B1548:K1548)</f>
        <v/>
      </c>
      <c r="N1548" s="5">
        <f>IF(AND($A1548&gt;=DATE(2020,2,1),$A1548&lt;=DATE(2020,5,31)),$M1548,"")</f>
        <v/>
      </c>
      <c r="O1548" s="5">
        <f>IF(AND($A1548&gt;=DATE(2022,1,1),$A1548&lt;=DATE(2022,10,31)),$M1548,"")</f>
        <v/>
      </c>
      <c r="P1548" s="5">
        <f>IF(AND($A1548&gt;=DATE(2018,10,1),$A1548&lt;=DATE(2018,12,31)),$M1548,"")</f>
        <v/>
      </c>
      <c r="Q1548" s="5">
        <f>SUMPRODUCT(Exposures!$B$8:$K$8,B1548:K1548)</f>
        <v/>
      </c>
      <c r="R1548" s="5">
        <f>SUMPRODUCT(Exposures!$B$9:$K$9,B1548:K1548)</f>
        <v/>
      </c>
      <c r="S1548" s="5">
        <f>SUMPRODUCT(Exposures!$B$10:$K$10,B1548:K1548)</f>
        <v/>
      </c>
    </row>
    <row r="1549">
      <c r="A1549" s="1" t="n">
        <v>44704</v>
      </c>
      <c r="B1549" s="5" t="n">
        <v>-0.0003453862918861308</v>
      </c>
      <c r="C1549" s="5" t="n">
        <v>0.0002491692627958374</v>
      </c>
      <c r="D1549" s="5" t="n">
        <v>-0.0008745944286216177</v>
      </c>
      <c r="E1549" s="5" t="n">
        <v>0.0008489145505617208</v>
      </c>
      <c r="F1549" s="5" t="n">
        <v>-0.004982836016563676</v>
      </c>
      <c r="G1549" s="5" t="n">
        <v>0.009893787232473156</v>
      </c>
      <c r="H1549" s="5" t="n">
        <v>0.004273310011362361</v>
      </c>
      <c r="I1549" s="5" t="n">
        <v>8.688790843469716e-05</v>
      </c>
      <c r="J1549" s="5" t="n">
        <v>-0.001052193894172583</v>
      </c>
      <c r="K1549" s="5" t="n">
        <v>0.008244809525837346</v>
      </c>
      <c r="L1549" s="5" t="n">
        <v>0.003324924798628269</v>
      </c>
      <c r="M1549" s="5">
        <f>SUMPRODUCT(Exposures!$B$6:$K$6,B1549:K1549)</f>
        <v/>
      </c>
      <c r="N1549" s="5">
        <f>IF(AND($A1549&gt;=DATE(2020,2,1),$A1549&lt;=DATE(2020,5,31)),$M1549,"")</f>
        <v/>
      </c>
      <c r="O1549" s="5">
        <f>IF(AND($A1549&gt;=DATE(2022,1,1),$A1549&lt;=DATE(2022,10,31)),$M1549,"")</f>
        <v/>
      </c>
      <c r="P1549" s="5">
        <f>IF(AND($A1549&gt;=DATE(2018,10,1),$A1549&lt;=DATE(2018,12,31)),$M1549,"")</f>
        <v/>
      </c>
      <c r="Q1549" s="5">
        <f>SUMPRODUCT(Exposures!$B$8:$K$8,B1549:K1549)</f>
        <v/>
      </c>
      <c r="R1549" s="5">
        <f>SUMPRODUCT(Exposures!$B$9:$K$9,B1549:K1549)</f>
        <v/>
      </c>
      <c r="S1549" s="5">
        <f>SUMPRODUCT(Exposures!$B$10:$K$10,B1549:K1549)</f>
        <v/>
      </c>
    </row>
    <row r="1550">
      <c r="A1550" s="1" t="n">
        <v>44705</v>
      </c>
      <c r="B1550" s="5" t="n">
        <v>-0.01464138603376956</v>
      </c>
      <c r="C1550" s="5" t="n">
        <v>0.003172750460038579</v>
      </c>
      <c r="D1550" s="5" t="n">
        <v>0.004064181317260601</v>
      </c>
      <c r="E1550" s="5" t="n">
        <v>0.001717255699596105</v>
      </c>
      <c r="F1550" s="5" t="n">
        <v>-0.008694852574151682</v>
      </c>
      <c r="G1550" s="5" t="n">
        <v>-0.01475792543784044</v>
      </c>
      <c r="H1550" s="5" t="n">
        <v>0.002920250109819581</v>
      </c>
      <c r="I1550" s="5" t="n">
        <v>0.002335372566502461</v>
      </c>
      <c r="J1550" s="5" t="n">
        <v>-0.0111092399563423</v>
      </c>
      <c r="K1550" s="5" t="n">
        <v>0.002241774085981424</v>
      </c>
      <c r="L1550" s="5" t="n">
        <v>-0.001824761208476649</v>
      </c>
      <c r="M1550" s="5">
        <f>SUMPRODUCT(Exposures!$B$6:$K$6,B1550:K1550)</f>
        <v/>
      </c>
      <c r="N1550" s="5">
        <f>IF(AND($A1550&gt;=DATE(2020,2,1),$A1550&lt;=DATE(2020,5,31)),$M1550,"")</f>
        <v/>
      </c>
      <c r="O1550" s="5">
        <f>IF(AND($A1550&gt;=DATE(2022,1,1),$A1550&lt;=DATE(2022,10,31)),$M1550,"")</f>
        <v/>
      </c>
      <c r="P1550" s="5">
        <f>IF(AND($A1550&gt;=DATE(2018,10,1),$A1550&lt;=DATE(2018,12,31)),$M1550,"")</f>
        <v/>
      </c>
      <c r="Q1550" s="5">
        <f>SUMPRODUCT(Exposures!$B$8:$K$8,B1550:K1550)</f>
        <v/>
      </c>
      <c r="R1550" s="5">
        <f>SUMPRODUCT(Exposures!$B$9:$K$9,B1550:K1550)</f>
        <v/>
      </c>
      <c r="S1550" s="5">
        <f>SUMPRODUCT(Exposures!$B$10:$K$10,B1550:K1550)</f>
        <v/>
      </c>
    </row>
    <row r="1551">
      <c r="A1551" s="1" t="n">
        <v>44706</v>
      </c>
      <c r="B1551" s="5" t="n">
        <v>0.00533099819901114</v>
      </c>
      <c r="C1551" s="5" t="n">
        <v>0.004827326254766152</v>
      </c>
      <c r="D1551" s="5" t="n">
        <v>-0.004203629630506183</v>
      </c>
      <c r="E1551" s="5" t="n">
        <v>0.002401837986241529</v>
      </c>
      <c r="F1551" s="5" t="n">
        <v>0.005436197848979179</v>
      </c>
      <c r="G1551" s="5" t="n">
        <v>0.01891911613566158</v>
      </c>
      <c r="H1551" s="5" t="n">
        <v>-0.003755960663073878</v>
      </c>
      <c r="I1551" s="5" t="n">
        <v>-0.0001130118306792902</v>
      </c>
      <c r="J1551" s="5" t="n">
        <v>0.006304994525104989</v>
      </c>
      <c r="K1551" s="5" t="n">
        <v>-0.0104189752126151</v>
      </c>
      <c r="L1551" s="5" t="n">
        <v>-0.004374071437992748</v>
      </c>
      <c r="M1551" s="5">
        <f>SUMPRODUCT(Exposures!$B$6:$K$6,B1551:K1551)</f>
        <v/>
      </c>
      <c r="N1551" s="5">
        <f>IF(AND($A1551&gt;=DATE(2020,2,1),$A1551&lt;=DATE(2020,5,31)),$M1551,"")</f>
        <v/>
      </c>
      <c r="O1551" s="5">
        <f>IF(AND($A1551&gt;=DATE(2022,1,1),$A1551&lt;=DATE(2022,10,31)),$M1551,"")</f>
        <v/>
      </c>
      <c r="P1551" s="5">
        <f>IF(AND($A1551&gt;=DATE(2018,10,1),$A1551&lt;=DATE(2018,12,31)),$M1551,"")</f>
        <v/>
      </c>
      <c r="Q1551" s="5">
        <f>SUMPRODUCT(Exposures!$B$8:$K$8,B1551:K1551)</f>
        <v/>
      </c>
      <c r="R1551" s="5">
        <f>SUMPRODUCT(Exposures!$B$9:$K$9,B1551:K1551)</f>
        <v/>
      </c>
      <c r="S1551" s="5">
        <f>SUMPRODUCT(Exposures!$B$10:$K$10,B1551:K1551)</f>
        <v/>
      </c>
    </row>
    <row r="1552">
      <c r="A1552" s="1" t="n">
        <v>44707</v>
      </c>
      <c r="B1552" s="5" t="n">
        <v>0.0116057273796359</v>
      </c>
      <c r="C1552" s="5" t="n">
        <v>0.001742268539089843</v>
      </c>
      <c r="D1552" s="5" t="n">
        <v>0.0004176640885755277</v>
      </c>
      <c r="E1552" s="5" t="n">
        <v>-0.002129251264152465</v>
      </c>
      <c r="F1552" s="5" t="n">
        <v>-5.987133751579349e-05</v>
      </c>
      <c r="G1552" s="5" t="n">
        <v>0.02543082503749153</v>
      </c>
      <c r="H1552" s="5" t="n">
        <v>-0.007693209112346375</v>
      </c>
      <c r="I1552" s="5" t="n">
        <v>-0.004249430807569381</v>
      </c>
      <c r="J1552" s="5" t="n">
        <v>0.01166211950462123</v>
      </c>
      <c r="K1552" s="5" t="n">
        <v>0.01294655169618203</v>
      </c>
      <c r="L1552" s="5" t="n">
        <v>0.000688336622494638</v>
      </c>
      <c r="M1552" s="5">
        <f>SUMPRODUCT(Exposures!$B$6:$K$6,B1552:K1552)</f>
        <v/>
      </c>
      <c r="N1552" s="5">
        <f>IF(AND($A1552&gt;=DATE(2020,2,1),$A1552&lt;=DATE(2020,5,31)),$M1552,"")</f>
        <v/>
      </c>
      <c r="O1552" s="5">
        <f>IF(AND($A1552&gt;=DATE(2022,1,1),$A1552&lt;=DATE(2022,10,31)),$M1552,"")</f>
        <v/>
      </c>
      <c r="P1552" s="5">
        <f>IF(AND($A1552&gt;=DATE(2018,10,1),$A1552&lt;=DATE(2018,12,31)),$M1552,"")</f>
        <v/>
      </c>
      <c r="Q1552" s="5">
        <f>SUMPRODUCT(Exposures!$B$8:$K$8,B1552:K1552)</f>
        <v/>
      </c>
      <c r="R1552" s="5">
        <f>SUMPRODUCT(Exposures!$B$9:$K$9,B1552:K1552)</f>
        <v/>
      </c>
      <c r="S1552" s="5">
        <f>SUMPRODUCT(Exposures!$B$10:$K$10,B1552:K1552)</f>
        <v/>
      </c>
    </row>
    <row r="1553">
      <c r="A1553" s="1" t="n">
        <v>44708</v>
      </c>
      <c r="B1553" s="5" t="n">
        <v>0.01293599651675763</v>
      </c>
      <c r="C1553" s="5" t="n">
        <v>-0.003175580911699211</v>
      </c>
      <c r="D1553" s="5" t="n">
        <v>0.0002976921180253309</v>
      </c>
      <c r="E1553" s="5" t="n">
        <v>-0.003546297738136139</v>
      </c>
      <c r="F1553" s="5" t="n">
        <v>0.002434564314549504</v>
      </c>
      <c r="G1553" s="5" t="n">
        <v>0.02449475459269675</v>
      </c>
      <c r="H1553" s="5" t="n">
        <v>0.001648562517390779</v>
      </c>
      <c r="I1553" s="5" t="n">
        <v>-0.002305659271046032</v>
      </c>
      <c r="J1553" s="5" t="n">
        <v>-0.003708700114333799</v>
      </c>
      <c r="K1553" s="5" t="n">
        <v>-0.002144716565999228</v>
      </c>
      <c r="L1553" s="5" t="n">
        <v>-0.0006757211459912764</v>
      </c>
      <c r="M1553" s="5">
        <f>SUMPRODUCT(Exposures!$B$6:$K$6,B1553:K1553)</f>
        <v/>
      </c>
      <c r="N1553" s="5">
        <f>IF(AND($A1553&gt;=DATE(2020,2,1),$A1553&lt;=DATE(2020,5,31)),$M1553,"")</f>
        <v/>
      </c>
      <c r="O1553" s="5">
        <f>IF(AND($A1553&gt;=DATE(2022,1,1),$A1553&lt;=DATE(2022,10,31)),$M1553,"")</f>
        <v/>
      </c>
      <c r="P1553" s="5">
        <f>IF(AND($A1553&gt;=DATE(2018,10,1),$A1553&lt;=DATE(2018,12,31)),$M1553,"")</f>
        <v/>
      </c>
      <c r="Q1553" s="5">
        <f>SUMPRODUCT(Exposures!$B$8:$K$8,B1553:K1553)</f>
        <v/>
      </c>
      <c r="R1553" s="5">
        <f>SUMPRODUCT(Exposures!$B$9:$K$9,B1553:K1553)</f>
        <v/>
      </c>
      <c r="S1553" s="5">
        <f>SUMPRODUCT(Exposures!$B$10:$K$10,B1553:K1553)</f>
        <v/>
      </c>
    </row>
    <row r="1554">
      <c r="A1554" s="1" t="n">
        <v>44712</v>
      </c>
      <c r="B1554" s="5" t="n">
        <v>-0.001972326101878169</v>
      </c>
      <c r="C1554" s="5" t="n">
        <v>0.00250266903784881</v>
      </c>
      <c r="D1554" s="5" t="n">
        <v>0.0004647064165224285</v>
      </c>
      <c r="E1554" s="5" t="n">
        <v>-0.00177738192400787</v>
      </c>
      <c r="F1554" s="5" t="n">
        <v>-0.005229815194724214</v>
      </c>
      <c r="G1554" s="5" t="n">
        <v>-0.01072596491735917</v>
      </c>
      <c r="H1554" s="5" t="n">
        <v>-0.003857908936951155</v>
      </c>
      <c r="I1554" s="5" t="n">
        <v>0.001226346378058753</v>
      </c>
      <c r="J1554" s="5" t="n">
        <v>0.001658477031609959</v>
      </c>
      <c r="K1554" s="5" t="n">
        <v>0.008487941909865992</v>
      </c>
      <c r="L1554" s="5" t="n">
        <v>0.007855700119059934</v>
      </c>
      <c r="M1554" s="5">
        <f>SUMPRODUCT(Exposures!$B$6:$K$6,B1554:K1554)</f>
        <v/>
      </c>
      <c r="N1554" s="5">
        <f>IF(AND($A1554&gt;=DATE(2020,2,1),$A1554&lt;=DATE(2020,5,31)),$M1554,"")</f>
        <v/>
      </c>
      <c r="O1554" s="5">
        <f>IF(AND($A1554&gt;=DATE(2022,1,1),$A1554&lt;=DATE(2022,10,31)),$M1554,"")</f>
        <v/>
      </c>
      <c r="P1554" s="5">
        <f>IF(AND($A1554&gt;=DATE(2018,10,1),$A1554&lt;=DATE(2018,12,31)),$M1554,"")</f>
        <v/>
      </c>
      <c r="Q1554" s="5">
        <f>SUMPRODUCT(Exposures!$B$8:$K$8,B1554:K1554)</f>
        <v/>
      </c>
      <c r="R1554" s="5">
        <f>SUMPRODUCT(Exposures!$B$9:$K$9,B1554:K1554)</f>
        <v/>
      </c>
      <c r="S1554" s="5">
        <f>SUMPRODUCT(Exposures!$B$10:$K$10,B1554:K1554)</f>
        <v/>
      </c>
    </row>
    <row r="1555">
      <c r="A1555" s="1" t="n">
        <v>44713</v>
      </c>
      <c r="B1555" s="5" t="n">
        <v>-0.003044813237040902</v>
      </c>
      <c r="C1555" s="5" t="n">
        <v>0.0003079625919493908</v>
      </c>
      <c r="D1555" s="5" t="n">
        <v>-0.003742299399969444</v>
      </c>
      <c r="E1555" s="5" t="n">
        <v>-0.002761231740325049</v>
      </c>
      <c r="F1555" s="5" t="n">
        <v>0.002030139911431918</v>
      </c>
      <c r="G1555" s="5" t="n">
        <v>-0.01122655179440949</v>
      </c>
      <c r="H1555" s="5" t="n">
        <v>0.003723349511151114</v>
      </c>
      <c r="I1555" s="5" t="n">
        <v>0.0005511335715776915</v>
      </c>
      <c r="J1555" s="5" t="n">
        <v>-0.00202938892022776</v>
      </c>
      <c r="K1555" s="5" t="n">
        <v>-0.003062210857480056</v>
      </c>
      <c r="L1555" s="5" t="n">
        <v>0.002172695193620436</v>
      </c>
      <c r="M1555" s="5">
        <f>SUMPRODUCT(Exposures!$B$6:$K$6,B1555:K1555)</f>
        <v/>
      </c>
      <c r="N1555" s="5">
        <f>IF(AND($A1555&gt;=DATE(2020,2,1),$A1555&lt;=DATE(2020,5,31)),$M1555,"")</f>
        <v/>
      </c>
      <c r="O1555" s="5">
        <f>IF(AND($A1555&gt;=DATE(2022,1,1),$A1555&lt;=DATE(2022,10,31)),$M1555,"")</f>
        <v/>
      </c>
      <c r="P1555" s="5">
        <f>IF(AND($A1555&gt;=DATE(2018,10,1),$A1555&lt;=DATE(2018,12,31)),$M1555,"")</f>
        <v/>
      </c>
      <c r="Q1555" s="5">
        <f>SUMPRODUCT(Exposures!$B$8:$K$8,B1555:K1555)</f>
        <v/>
      </c>
      <c r="R1555" s="5">
        <f>SUMPRODUCT(Exposures!$B$9:$K$9,B1555:K1555)</f>
        <v/>
      </c>
      <c r="S1555" s="5">
        <f>SUMPRODUCT(Exposures!$B$10:$K$10,B1555:K1555)</f>
        <v/>
      </c>
    </row>
    <row r="1556">
      <c r="A1556" s="1" t="n">
        <v>44714</v>
      </c>
      <c r="B1556" s="5" t="n">
        <v>0.01429090604930134</v>
      </c>
      <c r="C1556" s="5" t="n">
        <v>-0.0005600476472117097</v>
      </c>
      <c r="D1556" s="5" t="n">
        <v>0.002797291268076306</v>
      </c>
      <c r="E1556" s="5" t="n">
        <v>-0.001975456988271422</v>
      </c>
      <c r="F1556" s="5" t="n">
        <v>0.001828699149446935</v>
      </c>
      <c r="G1556" s="5" t="n">
        <v>0.02506676195940208</v>
      </c>
      <c r="H1556" s="5" t="n">
        <v>-0.001631082491879595</v>
      </c>
      <c r="I1556" s="5" t="n">
        <v>0.0004064194506396539</v>
      </c>
      <c r="J1556" s="5" t="n">
        <v>0.0003575070247414484</v>
      </c>
      <c r="K1556" s="5" t="n">
        <v>-0.002794232761853365</v>
      </c>
      <c r="L1556" s="5" t="n">
        <v>-0.004795243941766748</v>
      </c>
      <c r="M1556" s="5">
        <f>SUMPRODUCT(Exposures!$B$6:$K$6,B1556:K1556)</f>
        <v/>
      </c>
      <c r="N1556" s="5">
        <f>IF(AND($A1556&gt;=DATE(2020,2,1),$A1556&lt;=DATE(2020,5,31)),$M1556,"")</f>
        <v/>
      </c>
      <c r="O1556" s="5">
        <f>IF(AND($A1556&gt;=DATE(2022,1,1),$A1556&lt;=DATE(2022,10,31)),$M1556,"")</f>
        <v/>
      </c>
      <c r="P1556" s="5">
        <f>IF(AND($A1556&gt;=DATE(2018,10,1),$A1556&lt;=DATE(2018,12,31)),$M1556,"")</f>
        <v/>
      </c>
      <c r="Q1556" s="5">
        <f>SUMPRODUCT(Exposures!$B$8:$K$8,B1556:K1556)</f>
        <v/>
      </c>
      <c r="R1556" s="5">
        <f>SUMPRODUCT(Exposures!$B$9:$K$9,B1556:K1556)</f>
        <v/>
      </c>
      <c r="S1556" s="5">
        <f>SUMPRODUCT(Exposures!$B$10:$K$10,B1556:K1556)</f>
        <v/>
      </c>
    </row>
    <row r="1557">
      <c r="A1557" s="1" t="n">
        <v>44715</v>
      </c>
      <c r="B1557" s="5" t="n">
        <v>-0.006950617432756438</v>
      </c>
      <c r="C1557" s="5" t="n">
        <v>-0.00237698423718</v>
      </c>
      <c r="D1557" s="5" t="n">
        <v>0.003762332827734188</v>
      </c>
      <c r="E1557" s="5" t="n">
        <v>0.002490887077488799</v>
      </c>
      <c r="F1557" s="5" t="n">
        <v>0.004488044426528327</v>
      </c>
      <c r="G1557" s="5" t="n">
        <v>-0.01107703705854865</v>
      </c>
      <c r="H1557" s="5" t="n">
        <v>0.003621414085712309</v>
      </c>
      <c r="I1557" s="5" t="n">
        <v>0.001302619907243925</v>
      </c>
      <c r="J1557" s="5" t="n">
        <v>0.001649648390129802</v>
      </c>
      <c r="K1557" s="5" t="n">
        <v>-0.009376102766774363</v>
      </c>
      <c r="L1557" s="5" t="n">
        <v>-0.001928738663678569</v>
      </c>
      <c r="M1557" s="5">
        <f>SUMPRODUCT(Exposures!$B$6:$K$6,B1557:K1557)</f>
        <v/>
      </c>
      <c r="N1557" s="5">
        <f>IF(AND($A1557&gt;=DATE(2020,2,1),$A1557&lt;=DATE(2020,5,31)),$M1557,"")</f>
        <v/>
      </c>
      <c r="O1557" s="5">
        <f>IF(AND($A1557&gt;=DATE(2022,1,1),$A1557&lt;=DATE(2022,10,31)),$M1557,"")</f>
        <v/>
      </c>
      <c r="P1557" s="5">
        <f>IF(AND($A1557&gt;=DATE(2018,10,1),$A1557&lt;=DATE(2018,12,31)),$M1557,"")</f>
        <v/>
      </c>
      <c r="Q1557" s="5">
        <f>SUMPRODUCT(Exposures!$B$8:$K$8,B1557:K1557)</f>
        <v/>
      </c>
      <c r="R1557" s="5">
        <f>SUMPRODUCT(Exposures!$B$9:$K$9,B1557:K1557)</f>
        <v/>
      </c>
      <c r="S1557" s="5">
        <f>SUMPRODUCT(Exposures!$B$10:$K$10,B1557:K1557)</f>
        <v/>
      </c>
    </row>
    <row r="1558">
      <c r="A1558" s="1" t="n">
        <v>44718</v>
      </c>
      <c r="B1558" s="5" t="n">
        <v>0.004123864917586624</v>
      </c>
      <c r="C1558" s="5" t="n">
        <v>0.003298558401969236</v>
      </c>
      <c r="D1558" s="5" t="n">
        <v>-0.003050074123993618</v>
      </c>
      <c r="E1558" s="5" t="n">
        <v>0.001485275679224271</v>
      </c>
      <c r="F1558" s="5" t="n">
        <v>-0.003339510432141391</v>
      </c>
      <c r="G1558" s="5" t="n">
        <v>0.002584483265453795</v>
      </c>
      <c r="H1558" s="5" t="n">
        <v>0.000167970553983672</v>
      </c>
      <c r="I1558" s="5" t="n">
        <v>-0.004106300874419382</v>
      </c>
      <c r="J1558" s="5" t="n">
        <v>0.002841155959248005</v>
      </c>
      <c r="K1558" s="5" t="n">
        <v>0.009914560175052496</v>
      </c>
      <c r="L1558" s="5" t="n">
        <v>0.003688991710752371</v>
      </c>
      <c r="M1558" s="5">
        <f>SUMPRODUCT(Exposures!$B$6:$K$6,B1558:K1558)</f>
        <v/>
      </c>
      <c r="N1558" s="5">
        <f>IF(AND($A1558&gt;=DATE(2020,2,1),$A1558&lt;=DATE(2020,5,31)),$M1558,"")</f>
        <v/>
      </c>
      <c r="O1558" s="5">
        <f>IF(AND($A1558&gt;=DATE(2022,1,1),$A1558&lt;=DATE(2022,10,31)),$M1558,"")</f>
        <v/>
      </c>
      <c r="P1558" s="5">
        <f>IF(AND($A1558&gt;=DATE(2018,10,1),$A1558&lt;=DATE(2018,12,31)),$M1558,"")</f>
        <v/>
      </c>
      <c r="Q1558" s="5">
        <f>SUMPRODUCT(Exposures!$B$8:$K$8,B1558:K1558)</f>
        <v/>
      </c>
      <c r="R1558" s="5">
        <f>SUMPRODUCT(Exposures!$B$9:$K$9,B1558:K1558)</f>
        <v/>
      </c>
      <c r="S1558" s="5">
        <f>SUMPRODUCT(Exposures!$B$10:$K$10,B1558:K1558)</f>
        <v/>
      </c>
    </row>
    <row r="1559">
      <c r="A1559" s="1" t="n">
        <v>44719</v>
      </c>
      <c r="B1559" s="5" t="n">
        <v>-0.0009096276704634722</v>
      </c>
      <c r="C1559" s="5" t="n">
        <v>-0.002777997425612365</v>
      </c>
      <c r="D1559" s="5" t="n">
        <v>0.0007901875532897885</v>
      </c>
      <c r="E1559" s="5" t="n">
        <v>-0.00306953361329736</v>
      </c>
      <c r="F1559" s="5" t="n">
        <v>-0.0106668391217201</v>
      </c>
      <c r="G1559" s="5" t="n">
        <v>0.01431208317627414</v>
      </c>
      <c r="H1559" s="5" t="n">
        <v>0.001120604788874375</v>
      </c>
      <c r="I1559" s="5" t="n">
        <v>0.001192691457570044</v>
      </c>
      <c r="J1559" s="5" t="n">
        <v>0.01109427410877396</v>
      </c>
      <c r="K1559" s="5" t="n">
        <v>0.01153297154491461</v>
      </c>
      <c r="L1559" s="5" t="n">
        <v>0.002170112656679476</v>
      </c>
      <c r="M1559" s="5">
        <f>SUMPRODUCT(Exposures!$B$6:$K$6,B1559:K1559)</f>
        <v/>
      </c>
      <c r="N1559" s="5">
        <f>IF(AND($A1559&gt;=DATE(2020,2,1),$A1559&lt;=DATE(2020,5,31)),$M1559,"")</f>
        <v/>
      </c>
      <c r="O1559" s="5">
        <f>IF(AND($A1559&gt;=DATE(2022,1,1),$A1559&lt;=DATE(2022,10,31)),$M1559,"")</f>
        <v/>
      </c>
      <c r="P1559" s="5">
        <f>IF(AND($A1559&gt;=DATE(2018,10,1),$A1559&lt;=DATE(2018,12,31)),$M1559,"")</f>
        <v/>
      </c>
      <c r="Q1559" s="5">
        <f>SUMPRODUCT(Exposures!$B$8:$K$8,B1559:K1559)</f>
        <v/>
      </c>
      <c r="R1559" s="5">
        <f>SUMPRODUCT(Exposures!$B$9:$K$9,B1559:K1559)</f>
        <v/>
      </c>
      <c r="S1559" s="5">
        <f>SUMPRODUCT(Exposures!$B$10:$K$10,B1559:K1559)</f>
        <v/>
      </c>
    </row>
    <row r="1560">
      <c r="A1560" s="1" t="n">
        <v>44720</v>
      </c>
      <c r="B1560" s="5" t="n">
        <v>-0.005978306662105739</v>
      </c>
      <c r="C1560" s="5" t="n">
        <v>0.002069040798198135</v>
      </c>
      <c r="D1560" s="5" t="n">
        <v>0.007540147579887259</v>
      </c>
      <c r="E1560" s="5" t="n">
        <v>-0.004317808922206469</v>
      </c>
      <c r="F1560" s="5" t="n">
        <v>-0.008649000935708806</v>
      </c>
      <c r="G1560" s="5" t="n">
        <v>-0.01135461007677583</v>
      </c>
      <c r="H1560" s="5" t="n">
        <v>-0.00730659979022262</v>
      </c>
      <c r="I1560" s="5" t="n">
        <v>0.002086055171701256</v>
      </c>
      <c r="J1560" s="5" t="n">
        <v>0.0176554364859077</v>
      </c>
      <c r="K1560" s="5" t="n">
        <v>0.02031981802828671</v>
      </c>
      <c r="L1560" s="5" t="n">
        <v>0.004770088934475327</v>
      </c>
      <c r="M1560" s="5">
        <f>SUMPRODUCT(Exposures!$B$6:$K$6,B1560:K1560)</f>
        <v/>
      </c>
      <c r="N1560" s="5">
        <f>IF(AND($A1560&gt;=DATE(2020,2,1),$A1560&lt;=DATE(2020,5,31)),$M1560,"")</f>
        <v/>
      </c>
      <c r="O1560" s="5">
        <f>IF(AND($A1560&gt;=DATE(2022,1,1),$A1560&lt;=DATE(2022,10,31)),$M1560,"")</f>
        <v/>
      </c>
      <c r="P1560" s="5">
        <f>IF(AND($A1560&gt;=DATE(2018,10,1),$A1560&lt;=DATE(2018,12,31)),$M1560,"")</f>
        <v/>
      </c>
      <c r="Q1560" s="5">
        <f>SUMPRODUCT(Exposures!$B$8:$K$8,B1560:K1560)</f>
        <v/>
      </c>
      <c r="R1560" s="5">
        <f>SUMPRODUCT(Exposures!$B$9:$K$9,B1560:K1560)</f>
        <v/>
      </c>
      <c r="S1560" s="5">
        <f>SUMPRODUCT(Exposures!$B$10:$K$10,B1560:K1560)</f>
        <v/>
      </c>
    </row>
    <row r="1561">
      <c r="A1561" s="1" t="n">
        <v>44721</v>
      </c>
      <c r="B1561" s="5" t="n">
        <v>-0.004682408815788058</v>
      </c>
      <c r="C1561" s="5" t="n">
        <v>0.001099909861335154</v>
      </c>
      <c r="D1561" s="5" t="n">
        <v>-0.002770531865060951</v>
      </c>
      <c r="E1561" s="5" t="n">
        <v>0.001808959043048216</v>
      </c>
      <c r="F1561" s="5" t="n">
        <v>0.0007820453112672289</v>
      </c>
      <c r="G1561" s="5" t="n">
        <v>-0.02648061955312522</v>
      </c>
      <c r="H1561" s="5" t="n">
        <v>0.0001055452980406891</v>
      </c>
      <c r="I1561" s="5" t="n">
        <v>0.001548576252194626</v>
      </c>
      <c r="J1561" s="5" t="n">
        <v>-0.01028088861524868</v>
      </c>
      <c r="K1561" s="5" t="n">
        <v>-0.008055691143441171</v>
      </c>
      <c r="L1561" s="5" t="n">
        <v>-0.004732701284754676</v>
      </c>
      <c r="M1561" s="5">
        <f>SUMPRODUCT(Exposures!$B$6:$K$6,B1561:K1561)</f>
        <v/>
      </c>
      <c r="N1561" s="5">
        <f>IF(AND($A1561&gt;=DATE(2020,2,1),$A1561&lt;=DATE(2020,5,31)),$M1561,"")</f>
        <v/>
      </c>
      <c r="O1561" s="5">
        <f>IF(AND($A1561&gt;=DATE(2022,1,1),$A1561&lt;=DATE(2022,10,31)),$M1561,"")</f>
        <v/>
      </c>
      <c r="P1561" s="5">
        <f>IF(AND($A1561&gt;=DATE(2018,10,1),$A1561&lt;=DATE(2018,12,31)),$M1561,"")</f>
        <v/>
      </c>
      <c r="Q1561" s="5">
        <f>SUMPRODUCT(Exposures!$B$8:$K$8,B1561:K1561)</f>
        <v/>
      </c>
      <c r="R1561" s="5">
        <f>SUMPRODUCT(Exposures!$B$9:$K$9,B1561:K1561)</f>
        <v/>
      </c>
      <c r="S1561" s="5">
        <f>SUMPRODUCT(Exposures!$B$10:$K$10,B1561:K1561)</f>
        <v/>
      </c>
    </row>
    <row r="1562">
      <c r="A1562" s="1" t="n">
        <v>44722</v>
      </c>
      <c r="B1562" s="5" t="n">
        <v>-0.01769724394061256</v>
      </c>
      <c r="C1562" s="5" t="n">
        <v>0.001882581701631841</v>
      </c>
      <c r="D1562" s="5" t="n">
        <v>-0.0002548838351496776</v>
      </c>
      <c r="E1562" s="5" t="n">
        <v>-0.00245842257055971</v>
      </c>
      <c r="F1562" s="5" t="n">
        <v>-0.0007222578927555279</v>
      </c>
      <c r="G1562" s="5" t="n">
        <v>-0.02965957481966379</v>
      </c>
      <c r="H1562" s="5" t="n">
        <v>0.002317119385638211</v>
      </c>
      <c r="I1562" s="5" t="n">
        <v>-5.079151904997976e-06</v>
      </c>
      <c r="J1562" s="5" t="n">
        <v>0.006067365537071628</v>
      </c>
      <c r="K1562" s="5" t="n">
        <v>0.002451692105846537</v>
      </c>
      <c r="L1562" s="5" t="n">
        <v>-0.002670997692343143</v>
      </c>
      <c r="M1562" s="5">
        <f>SUMPRODUCT(Exposures!$B$6:$K$6,B1562:K1562)</f>
        <v/>
      </c>
      <c r="N1562" s="5">
        <f>IF(AND($A1562&gt;=DATE(2020,2,1),$A1562&lt;=DATE(2020,5,31)),$M1562,"")</f>
        <v/>
      </c>
      <c r="O1562" s="5">
        <f>IF(AND($A1562&gt;=DATE(2022,1,1),$A1562&lt;=DATE(2022,10,31)),$M1562,"")</f>
        <v/>
      </c>
      <c r="P1562" s="5">
        <f>IF(AND($A1562&gt;=DATE(2018,10,1),$A1562&lt;=DATE(2018,12,31)),$M1562,"")</f>
        <v/>
      </c>
      <c r="Q1562" s="5">
        <f>SUMPRODUCT(Exposures!$B$8:$K$8,B1562:K1562)</f>
        <v/>
      </c>
      <c r="R1562" s="5">
        <f>SUMPRODUCT(Exposures!$B$9:$K$9,B1562:K1562)</f>
        <v/>
      </c>
      <c r="S1562" s="5">
        <f>SUMPRODUCT(Exposures!$B$10:$K$10,B1562:K1562)</f>
        <v/>
      </c>
    </row>
    <row r="1563">
      <c r="A1563" s="1" t="n">
        <v>44725</v>
      </c>
      <c r="B1563" s="5" t="n">
        <v>-0.01185346618611811</v>
      </c>
      <c r="C1563" s="5" t="n">
        <v>0.00354010612975543</v>
      </c>
      <c r="D1563" s="5" t="n">
        <v>0.004497849385017271</v>
      </c>
      <c r="E1563" s="5" t="n">
        <v>0.001207656267004286</v>
      </c>
      <c r="F1563" s="5" t="n">
        <v>-0.001105705094450123</v>
      </c>
      <c r="G1563" s="5" t="n">
        <v>-0.04824000903554472</v>
      </c>
      <c r="H1563" s="5" t="n">
        <v>0.001012133384062652</v>
      </c>
      <c r="I1563" s="5" t="n">
        <v>0.001910151217469563</v>
      </c>
      <c r="J1563" s="5" t="n">
        <v>-0.006027458922719425</v>
      </c>
      <c r="K1563" s="5" t="n">
        <v>-0.003326089042449229</v>
      </c>
      <c r="L1563" s="5" t="n">
        <v>-0.00242594987294173</v>
      </c>
      <c r="M1563" s="5">
        <f>SUMPRODUCT(Exposures!$B$6:$K$6,B1563:K1563)</f>
        <v/>
      </c>
      <c r="N1563" s="5">
        <f>IF(AND($A1563&gt;=DATE(2020,2,1),$A1563&lt;=DATE(2020,5,31)),$M1563,"")</f>
        <v/>
      </c>
      <c r="O1563" s="5">
        <f>IF(AND($A1563&gt;=DATE(2022,1,1),$A1563&lt;=DATE(2022,10,31)),$M1563,"")</f>
        <v/>
      </c>
      <c r="P1563" s="5">
        <f>IF(AND($A1563&gt;=DATE(2018,10,1),$A1563&lt;=DATE(2018,12,31)),$M1563,"")</f>
        <v/>
      </c>
      <c r="Q1563" s="5">
        <f>SUMPRODUCT(Exposures!$B$8:$K$8,B1563:K1563)</f>
        <v/>
      </c>
      <c r="R1563" s="5">
        <f>SUMPRODUCT(Exposures!$B$9:$K$9,B1563:K1563)</f>
        <v/>
      </c>
      <c r="S1563" s="5">
        <f>SUMPRODUCT(Exposures!$B$10:$K$10,B1563:K1563)</f>
        <v/>
      </c>
    </row>
    <row r="1564">
      <c r="A1564" s="1" t="n">
        <v>44726</v>
      </c>
      <c r="B1564" s="5" t="n">
        <v>0.003039341625989254</v>
      </c>
      <c r="C1564" s="5" t="n">
        <v>0.003081428336737894</v>
      </c>
      <c r="D1564" s="5" t="n">
        <v>0.00200367720196644</v>
      </c>
      <c r="E1564" s="5" t="n">
        <v>-0.00208459039383577</v>
      </c>
      <c r="F1564" s="5" t="n">
        <v>-0.005867436671089146</v>
      </c>
      <c r="G1564" s="5" t="n">
        <v>-0.005593589854446399</v>
      </c>
      <c r="H1564" s="5" t="n">
        <v>0.001491607734871229</v>
      </c>
      <c r="I1564" s="5" t="n">
        <v>-0.002551014508508516</v>
      </c>
      <c r="J1564" s="5" t="n">
        <v>0.009720566260513258</v>
      </c>
      <c r="K1564" s="5" t="n">
        <v>0.01461424135923311</v>
      </c>
      <c r="L1564" s="5" t="n">
        <v>0.002229309558296739</v>
      </c>
      <c r="M1564" s="5">
        <f>SUMPRODUCT(Exposures!$B$6:$K$6,B1564:K1564)</f>
        <v/>
      </c>
      <c r="N1564" s="5">
        <f>IF(AND($A1564&gt;=DATE(2020,2,1),$A1564&lt;=DATE(2020,5,31)),$M1564,"")</f>
        <v/>
      </c>
      <c r="O1564" s="5">
        <f>IF(AND($A1564&gt;=DATE(2022,1,1),$A1564&lt;=DATE(2022,10,31)),$M1564,"")</f>
        <v/>
      </c>
      <c r="P1564" s="5">
        <f>IF(AND($A1564&gt;=DATE(2018,10,1),$A1564&lt;=DATE(2018,12,31)),$M1564,"")</f>
        <v/>
      </c>
      <c r="Q1564" s="5">
        <f>SUMPRODUCT(Exposures!$B$8:$K$8,B1564:K1564)</f>
        <v/>
      </c>
      <c r="R1564" s="5">
        <f>SUMPRODUCT(Exposures!$B$9:$K$9,B1564:K1564)</f>
        <v/>
      </c>
      <c r="S1564" s="5">
        <f>SUMPRODUCT(Exposures!$B$10:$K$10,B1564:K1564)</f>
        <v/>
      </c>
    </row>
    <row r="1565">
      <c r="A1565" s="1" t="n">
        <v>44727</v>
      </c>
      <c r="B1565" s="5" t="n">
        <v>0.006932160792306321</v>
      </c>
      <c r="C1565" s="5" t="n">
        <v>-0.00208614433931858</v>
      </c>
      <c r="D1565" s="5" t="n">
        <v>0.0002073813478921173</v>
      </c>
      <c r="E1565" s="5" t="n">
        <v>-0.002424881125647057</v>
      </c>
      <c r="F1565" s="5" t="n">
        <v>0.005075525482316368</v>
      </c>
      <c r="G1565" s="5" t="n">
        <v>0.01849118668460173</v>
      </c>
      <c r="H1565" s="5" t="n">
        <v>-0.003450250227185156</v>
      </c>
      <c r="I1565" s="5" t="n">
        <v>0.002089651963341174</v>
      </c>
      <c r="J1565" s="5" t="n">
        <v>0.004043511688869081</v>
      </c>
      <c r="K1565" s="5" t="n">
        <v>-0.004678677475822179</v>
      </c>
      <c r="L1565" s="5" t="n">
        <v>0.002443396241355907</v>
      </c>
      <c r="M1565" s="5">
        <f>SUMPRODUCT(Exposures!$B$6:$K$6,B1565:K1565)</f>
        <v/>
      </c>
      <c r="N1565" s="5">
        <f>IF(AND($A1565&gt;=DATE(2020,2,1),$A1565&lt;=DATE(2020,5,31)),$M1565,"")</f>
        <v/>
      </c>
      <c r="O1565" s="5">
        <f>IF(AND($A1565&gt;=DATE(2022,1,1),$A1565&lt;=DATE(2022,10,31)),$M1565,"")</f>
        <v/>
      </c>
      <c r="P1565" s="5">
        <f>IF(AND($A1565&gt;=DATE(2018,10,1),$A1565&lt;=DATE(2018,12,31)),$M1565,"")</f>
        <v/>
      </c>
      <c r="Q1565" s="5">
        <f>SUMPRODUCT(Exposures!$B$8:$K$8,B1565:K1565)</f>
        <v/>
      </c>
      <c r="R1565" s="5">
        <f>SUMPRODUCT(Exposures!$B$9:$K$9,B1565:K1565)</f>
        <v/>
      </c>
      <c r="S1565" s="5">
        <f>SUMPRODUCT(Exposures!$B$10:$K$10,B1565:K1565)</f>
        <v/>
      </c>
    </row>
    <row r="1566">
      <c r="A1566" s="1" t="n">
        <v>44728</v>
      </c>
      <c r="B1566" s="5" t="n">
        <v>-0.01919284152852122</v>
      </c>
      <c r="C1566" s="5" t="n">
        <v>-0.002030456538170146</v>
      </c>
      <c r="D1566" s="5" t="n">
        <v>0.0002939577105552326</v>
      </c>
      <c r="E1566" s="5" t="n">
        <v>-0.001630119383552433</v>
      </c>
      <c r="F1566" s="5" t="n">
        <v>0.008417003736140722</v>
      </c>
      <c r="G1566" s="5" t="n">
        <v>-0.04439060251818314</v>
      </c>
      <c r="H1566" s="5" t="n">
        <v>0.001517470592288118</v>
      </c>
      <c r="I1566" s="5" t="n">
        <v>-0.0002087094806862751</v>
      </c>
      <c r="J1566" s="5" t="n">
        <v>-0.001166170381162057</v>
      </c>
      <c r="K1566" s="5" t="n">
        <v>-0.001815393812077352</v>
      </c>
      <c r="L1566" s="5" t="n">
        <v>0.002091619772459903</v>
      </c>
      <c r="M1566" s="5">
        <f>SUMPRODUCT(Exposures!$B$6:$K$6,B1566:K1566)</f>
        <v/>
      </c>
      <c r="N1566" s="5">
        <f>IF(AND($A1566&gt;=DATE(2020,2,1),$A1566&lt;=DATE(2020,5,31)),$M1566,"")</f>
        <v/>
      </c>
      <c r="O1566" s="5">
        <f>IF(AND($A1566&gt;=DATE(2022,1,1),$A1566&lt;=DATE(2022,10,31)),$M1566,"")</f>
        <v/>
      </c>
      <c r="P1566" s="5">
        <f>IF(AND($A1566&gt;=DATE(2018,10,1),$A1566&lt;=DATE(2018,12,31)),$M1566,"")</f>
        <v/>
      </c>
      <c r="Q1566" s="5">
        <f>SUMPRODUCT(Exposures!$B$8:$K$8,B1566:K1566)</f>
        <v/>
      </c>
      <c r="R1566" s="5">
        <f>SUMPRODUCT(Exposures!$B$9:$K$9,B1566:K1566)</f>
        <v/>
      </c>
      <c r="S1566" s="5">
        <f>SUMPRODUCT(Exposures!$B$10:$K$10,B1566:K1566)</f>
        <v/>
      </c>
    </row>
    <row r="1567">
      <c r="A1567" s="1" t="n">
        <v>44729</v>
      </c>
      <c r="B1567" s="5" t="n">
        <v>0.005682130725647796</v>
      </c>
      <c r="C1567" s="5" t="n">
        <v>-0.001712087964065561</v>
      </c>
      <c r="D1567" s="5" t="n">
        <v>-0.002447529483845428</v>
      </c>
      <c r="E1567" s="5" t="n">
        <v>0.0007579097177833468</v>
      </c>
      <c r="F1567" s="5" t="n">
        <v>0.003442625039253926</v>
      </c>
      <c r="G1567" s="5" t="n">
        <v>0.01624520562484724</v>
      </c>
      <c r="H1567" s="5" t="n">
        <v>-0.008319971131706834</v>
      </c>
      <c r="I1567" s="5" t="n">
        <v>0.001997922057653055</v>
      </c>
      <c r="J1567" s="5" t="n">
        <v>0.001762444425649204</v>
      </c>
      <c r="K1567" s="5" t="n">
        <v>-0.008928266401815731</v>
      </c>
      <c r="L1567" s="5" t="n">
        <v>-0.003333761827558626</v>
      </c>
      <c r="M1567" s="5">
        <f>SUMPRODUCT(Exposures!$B$6:$K$6,B1567:K1567)</f>
        <v/>
      </c>
      <c r="N1567" s="5">
        <f>IF(AND($A1567&gt;=DATE(2020,2,1),$A1567&lt;=DATE(2020,5,31)),$M1567,"")</f>
        <v/>
      </c>
      <c r="O1567" s="5">
        <f>IF(AND($A1567&gt;=DATE(2022,1,1),$A1567&lt;=DATE(2022,10,31)),$M1567,"")</f>
        <v/>
      </c>
      <c r="P1567" s="5">
        <f>IF(AND($A1567&gt;=DATE(2018,10,1),$A1567&lt;=DATE(2018,12,31)),$M1567,"")</f>
        <v/>
      </c>
      <c r="Q1567" s="5">
        <f>SUMPRODUCT(Exposures!$B$8:$K$8,B1567:K1567)</f>
        <v/>
      </c>
      <c r="R1567" s="5">
        <f>SUMPRODUCT(Exposures!$B$9:$K$9,B1567:K1567)</f>
        <v/>
      </c>
      <c r="S1567" s="5">
        <f>SUMPRODUCT(Exposures!$B$10:$K$10,B1567:K1567)</f>
        <v/>
      </c>
    </row>
    <row r="1568">
      <c r="A1568" s="1" t="n">
        <v>44733</v>
      </c>
      <c r="B1568" s="5" t="n">
        <v>0.0009613685703752529</v>
      </c>
      <c r="C1568" s="5" t="n">
        <v>0.001643902106087804</v>
      </c>
      <c r="D1568" s="5" t="n">
        <v>0.0003477039108738817</v>
      </c>
      <c r="E1568" s="5" t="n">
        <v>0.0003485524458953739</v>
      </c>
      <c r="F1568" s="5" t="n">
        <v>-0.00355776935928221</v>
      </c>
      <c r="G1568" s="5" t="n">
        <v>0.01493941524920545</v>
      </c>
      <c r="H1568" s="5" t="n">
        <v>0.006844216375666042</v>
      </c>
      <c r="I1568" s="5" t="n">
        <v>0.00376696167015231</v>
      </c>
      <c r="J1568" s="5" t="n">
        <v>5.294870555996466e-05</v>
      </c>
      <c r="K1568" s="5" t="n">
        <v>0.005736232973061123</v>
      </c>
      <c r="L1568" s="5" t="n">
        <v>0.003130746712444694</v>
      </c>
      <c r="M1568" s="5">
        <f>SUMPRODUCT(Exposures!$B$6:$K$6,B1568:K1568)</f>
        <v/>
      </c>
      <c r="N1568" s="5">
        <f>IF(AND($A1568&gt;=DATE(2020,2,1),$A1568&lt;=DATE(2020,5,31)),$M1568,"")</f>
        <v/>
      </c>
      <c r="O1568" s="5">
        <f>IF(AND($A1568&gt;=DATE(2022,1,1),$A1568&lt;=DATE(2022,10,31)),$M1568,"")</f>
        <v/>
      </c>
      <c r="P1568" s="5">
        <f>IF(AND($A1568&gt;=DATE(2018,10,1),$A1568&lt;=DATE(2018,12,31)),$M1568,"")</f>
        <v/>
      </c>
      <c r="Q1568" s="5">
        <f>SUMPRODUCT(Exposures!$B$8:$K$8,B1568:K1568)</f>
        <v/>
      </c>
      <c r="R1568" s="5">
        <f>SUMPRODUCT(Exposures!$B$9:$K$9,B1568:K1568)</f>
        <v/>
      </c>
      <c r="S1568" s="5">
        <f>SUMPRODUCT(Exposures!$B$10:$K$10,B1568:K1568)</f>
        <v/>
      </c>
    </row>
    <row r="1569">
      <c r="A1569" s="1" t="n">
        <v>44734</v>
      </c>
      <c r="B1569" s="5" t="n">
        <v>-0.002845369058994396</v>
      </c>
      <c r="C1569" s="5" t="n">
        <v>-0.004167373955528938</v>
      </c>
      <c r="D1569" s="5" t="n">
        <v>0.001705712475937298</v>
      </c>
      <c r="E1569" s="5" t="n">
        <v>-0.0004901954049432953</v>
      </c>
      <c r="F1569" s="5" t="n">
        <v>0.00215624888607559</v>
      </c>
      <c r="G1569" s="5" t="n">
        <v>-0.0006231804166387558</v>
      </c>
      <c r="H1569" s="5" t="n">
        <v>-0.006794314780442432</v>
      </c>
      <c r="I1569" s="5" t="n">
        <v>-0.001823264101100718</v>
      </c>
      <c r="J1569" s="5" t="n">
        <v>-0.004916228482689492</v>
      </c>
      <c r="K1569" s="5" t="n">
        <v>-0.0007572085280468978</v>
      </c>
      <c r="L1569" s="5" t="n">
        <v>-0.001450250485146479</v>
      </c>
      <c r="M1569" s="5">
        <f>SUMPRODUCT(Exposures!$B$6:$K$6,B1569:K1569)</f>
        <v/>
      </c>
      <c r="N1569" s="5">
        <f>IF(AND($A1569&gt;=DATE(2020,2,1),$A1569&lt;=DATE(2020,5,31)),$M1569,"")</f>
        <v/>
      </c>
      <c r="O1569" s="5">
        <f>IF(AND($A1569&gt;=DATE(2022,1,1),$A1569&lt;=DATE(2022,10,31)),$M1569,"")</f>
        <v/>
      </c>
      <c r="P1569" s="5">
        <f>IF(AND($A1569&gt;=DATE(2018,10,1),$A1569&lt;=DATE(2018,12,31)),$M1569,"")</f>
        <v/>
      </c>
      <c r="Q1569" s="5">
        <f>SUMPRODUCT(Exposures!$B$8:$K$8,B1569:K1569)</f>
        <v/>
      </c>
      <c r="R1569" s="5">
        <f>SUMPRODUCT(Exposures!$B$9:$K$9,B1569:K1569)</f>
        <v/>
      </c>
      <c r="S1569" s="5">
        <f>SUMPRODUCT(Exposures!$B$10:$K$10,B1569:K1569)</f>
        <v/>
      </c>
    </row>
    <row r="1570">
      <c r="A1570" s="1" t="n">
        <v>44735</v>
      </c>
      <c r="B1570" s="5" t="n">
        <v>0.0001845999703380841</v>
      </c>
      <c r="C1570" s="5" t="n">
        <v>-0.001807722610253313</v>
      </c>
      <c r="D1570" s="5" t="n">
        <v>0.003034476336567323</v>
      </c>
      <c r="E1570" s="5" t="n">
        <v>-0.006883447638844509</v>
      </c>
      <c r="F1570" s="5" t="n">
        <v>-0.002071412827849455</v>
      </c>
      <c r="G1570" s="5" t="n">
        <v>0.01279416266274448</v>
      </c>
      <c r="H1570" s="5" t="n">
        <v>-0.009985040323056266</v>
      </c>
      <c r="I1570" s="5" t="n">
        <v>-0.00231636039417501</v>
      </c>
      <c r="J1570" s="5" t="n">
        <v>0.002593957366528911</v>
      </c>
      <c r="K1570" s="5" t="n">
        <v>0.006269015744979112</v>
      </c>
      <c r="L1570" s="5" t="n">
        <v>-0.005299015694186558</v>
      </c>
      <c r="M1570" s="5">
        <f>SUMPRODUCT(Exposures!$B$6:$K$6,B1570:K1570)</f>
        <v/>
      </c>
      <c r="N1570" s="5">
        <f>IF(AND($A1570&gt;=DATE(2020,2,1),$A1570&lt;=DATE(2020,5,31)),$M1570,"")</f>
        <v/>
      </c>
      <c r="O1570" s="5">
        <f>IF(AND($A1570&gt;=DATE(2022,1,1),$A1570&lt;=DATE(2022,10,31)),$M1570,"")</f>
        <v/>
      </c>
      <c r="P1570" s="5">
        <f>IF(AND($A1570&gt;=DATE(2018,10,1),$A1570&lt;=DATE(2018,12,31)),$M1570,"")</f>
        <v/>
      </c>
      <c r="Q1570" s="5">
        <f>SUMPRODUCT(Exposures!$B$8:$K$8,B1570:K1570)</f>
        <v/>
      </c>
      <c r="R1570" s="5">
        <f>SUMPRODUCT(Exposures!$B$9:$K$9,B1570:K1570)</f>
        <v/>
      </c>
      <c r="S1570" s="5">
        <f>SUMPRODUCT(Exposures!$B$10:$K$10,B1570:K1570)</f>
        <v/>
      </c>
    </row>
    <row r="1571">
      <c r="A1571" s="1" t="n">
        <v>44736</v>
      </c>
      <c r="B1571" s="5" t="n">
        <v>0.009831115816292443</v>
      </c>
      <c r="C1571" s="5" t="n">
        <v>0.0009047311237803505</v>
      </c>
      <c r="D1571" s="5" t="n">
        <v>0.002025046004294945</v>
      </c>
      <c r="E1571" s="5" t="n">
        <v>0.0005894564109143344</v>
      </c>
      <c r="F1571" s="5" t="n">
        <v>0.008359375074806705</v>
      </c>
      <c r="G1571" s="5" t="n">
        <v>0.03254046742092524</v>
      </c>
      <c r="H1571" s="5" t="n">
        <v>0.0007376786603643718</v>
      </c>
      <c r="I1571" s="5" t="n">
        <v>-0.003757041393824014</v>
      </c>
      <c r="J1571" s="5" t="n">
        <v>-0.003007677806332667</v>
      </c>
      <c r="K1571" s="5" t="n">
        <v>-0.006148508563031702</v>
      </c>
      <c r="L1571" s="5" t="n">
        <v>0.0004795825747635972</v>
      </c>
      <c r="M1571" s="5">
        <f>SUMPRODUCT(Exposures!$B$6:$K$6,B1571:K1571)</f>
        <v/>
      </c>
      <c r="N1571" s="5">
        <f>IF(AND($A1571&gt;=DATE(2020,2,1),$A1571&lt;=DATE(2020,5,31)),$M1571,"")</f>
        <v/>
      </c>
      <c r="O1571" s="5">
        <f>IF(AND($A1571&gt;=DATE(2022,1,1),$A1571&lt;=DATE(2022,10,31)),$M1571,"")</f>
        <v/>
      </c>
      <c r="P1571" s="5">
        <f>IF(AND($A1571&gt;=DATE(2018,10,1),$A1571&lt;=DATE(2018,12,31)),$M1571,"")</f>
        <v/>
      </c>
      <c r="Q1571" s="5">
        <f>SUMPRODUCT(Exposures!$B$8:$K$8,B1571:K1571)</f>
        <v/>
      </c>
      <c r="R1571" s="5">
        <f>SUMPRODUCT(Exposures!$B$9:$K$9,B1571:K1571)</f>
        <v/>
      </c>
      <c r="S1571" s="5">
        <f>SUMPRODUCT(Exposures!$B$10:$K$10,B1571:K1571)</f>
        <v/>
      </c>
    </row>
    <row r="1572">
      <c r="A1572" s="1" t="n">
        <v>44739</v>
      </c>
      <c r="B1572" s="5" t="n">
        <v>-0.005331410333794077</v>
      </c>
      <c r="C1572" s="5" t="n">
        <v>-0.001096461747241145</v>
      </c>
      <c r="D1572" s="5" t="n">
        <v>-0.002097242051373807</v>
      </c>
      <c r="E1572" s="5" t="n">
        <v>-0.0005238663209444534</v>
      </c>
      <c r="F1572" s="5" t="n">
        <v>-0.009548713331174543</v>
      </c>
      <c r="G1572" s="5" t="n">
        <v>-0.001287233990806611</v>
      </c>
      <c r="H1572" s="5" t="n">
        <v>0.005760990418319276</v>
      </c>
      <c r="I1572" s="5" t="n">
        <v>-0.0002080985461516843</v>
      </c>
      <c r="J1572" s="5" t="n">
        <v>0.003941534959319644</v>
      </c>
      <c r="K1572" s="5" t="n">
        <v>0.008961506287987241</v>
      </c>
      <c r="L1572" s="5" t="n">
        <v>0.00210502305371241</v>
      </c>
      <c r="M1572" s="5">
        <f>SUMPRODUCT(Exposures!$B$6:$K$6,B1572:K1572)</f>
        <v/>
      </c>
      <c r="N1572" s="5">
        <f>IF(AND($A1572&gt;=DATE(2020,2,1),$A1572&lt;=DATE(2020,5,31)),$M1572,"")</f>
        <v/>
      </c>
      <c r="O1572" s="5">
        <f>IF(AND($A1572&gt;=DATE(2022,1,1),$A1572&lt;=DATE(2022,10,31)),$M1572,"")</f>
        <v/>
      </c>
      <c r="P1572" s="5">
        <f>IF(AND($A1572&gt;=DATE(2018,10,1),$A1572&lt;=DATE(2018,12,31)),$M1572,"")</f>
        <v/>
      </c>
      <c r="Q1572" s="5">
        <f>SUMPRODUCT(Exposures!$B$8:$K$8,B1572:K1572)</f>
        <v/>
      </c>
      <c r="R1572" s="5">
        <f>SUMPRODUCT(Exposures!$B$9:$K$9,B1572:K1572)</f>
        <v/>
      </c>
      <c r="S1572" s="5">
        <f>SUMPRODUCT(Exposures!$B$10:$K$10,B1572:K1572)</f>
        <v/>
      </c>
    </row>
    <row r="1573">
      <c r="A1573" s="1" t="n">
        <v>44740</v>
      </c>
      <c r="B1573" s="5" t="n">
        <v>-0.007107861962156313</v>
      </c>
      <c r="C1573" s="5" t="n">
        <v>0.0002379284990156776</v>
      </c>
      <c r="D1573" s="5" t="n">
        <v>-0.001405943975705741</v>
      </c>
      <c r="E1573" s="5" t="n">
        <v>-0.001445377164301711</v>
      </c>
      <c r="F1573" s="5" t="n">
        <v>-0.01085809507740597</v>
      </c>
      <c r="G1573" s="5" t="n">
        <v>-0.01895972829579474</v>
      </c>
      <c r="H1573" s="5" t="n">
        <v>0.002082093774010948</v>
      </c>
      <c r="I1573" s="5" t="n">
        <v>-0.004222591976637798</v>
      </c>
      <c r="J1573" s="5" t="n">
        <v>-0.0004673781293732435</v>
      </c>
      <c r="K1573" s="5" t="n">
        <v>0.01355088841494081</v>
      </c>
      <c r="L1573" s="5" t="n">
        <v>0.005448132385784028</v>
      </c>
      <c r="M1573" s="5">
        <f>SUMPRODUCT(Exposures!$B$6:$K$6,B1573:K1573)</f>
        <v/>
      </c>
      <c r="N1573" s="5">
        <f>IF(AND($A1573&gt;=DATE(2020,2,1),$A1573&lt;=DATE(2020,5,31)),$M1573,"")</f>
        <v/>
      </c>
      <c r="O1573" s="5">
        <f>IF(AND($A1573&gt;=DATE(2022,1,1),$A1573&lt;=DATE(2022,10,31)),$M1573,"")</f>
        <v/>
      </c>
      <c r="P1573" s="5">
        <f>IF(AND($A1573&gt;=DATE(2018,10,1),$A1573&lt;=DATE(2018,12,31)),$M1573,"")</f>
        <v/>
      </c>
      <c r="Q1573" s="5">
        <f>SUMPRODUCT(Exposures!$B$8:$K$8,B1573:K1573)</f>
        <v/>
      </c>
      <c r="R1573" s="5">
        <f>SUMPRODUCT(Exposures!$B$9:$K$9,B1573:K1573)</f>
        <v/>
      </c>
      <c r="S1573" s="5">
        <f>SUMPRODUCT(Exposures!$B$10:$K$10,B1573:K1573)</f>
        <v/>
      </c>
    </row>
    <row r="1574">
      <c r="A1574" s="1" t="n">
        <v>44741</v>
      </c>
      <c r="B1574" s="5" t="n">
        <v>-0.007049466505483533</v>
      </c>
      <c r="C1574" s="5" t="n">
        <v>2.726339120950058e-05</v>
      </c>
      <c r="D1574" s="5" t="n">
        <v>-9.086415875009991e-05</v>
      </c>
      <c r="E1574" s="5" t="n">
        <v>-0.004399300804876318</v>
      </c>
      <c r="F1574" s="5" t="n">
        <v>-0.001120644406439907</v>
      </c>
      <c r="G1574" s="5" t="n">
        <v>-0.01026840657650805</v>
      </c>
      <c r="H1574" s="5" t="n">
        <v>-0.001070472582763914</v>
      </c>
      <c r="I1574" s="5" t="n">
        <v>-0.00241109143199778</v>
      </c>
      <c r="J1574" s="5" t="n">
        <v>-0.004490666459402711</v>
      </c>
      <c r="K1574" s="5" t="n">
        <v>0.006758610094947019</v>
      </c>
      <c r="L1574" s="5" t="n">
        <v>3.652642245779861e-05</v>
      </c>
      <c r="M1574" s="5">
        <f>SUMPRODUCT(Exposures!$B$6:$K$6,B1574:K1574)</f>
        <v/>
      </c>
      <c r="N1574" s="5">
        <f>IF(AND($A1574&gt;=DATE(2020,2,1),$A1574&lt;=DATE(2020,5,31)),$M1574,"")</f>
        <v/>
      </c>
      <c r="O1574" s="5">
        <f>IF(AND($A1574&gt;=DATE(2022,1,1),$A1574&lt;=DATE(2022,10,31)),$M1574,"")</f>
        <v/>
      </c>
      <c r="P1574" s="5">
        <f>IF(AND($A1574&gt;=DATE(2018,10,1),$A1574&lt;=DATE(2018,12,31)),$M1574,"")</f>
        <v/>
      </c>
      <c r="Q1574" s="5">
        <f>SUMPRODUCT(Exposures!$B$8:$K$8,B1574:K1574)</f>
        <v/>
      </c>
      <c r="R1574" s="5">
        <f>SUMPRODUCT(Exposures!$B$9:$K$9,B1574:K1574)</f>
        <v/>
      </c>
      <c r="S1574" s="5">
        <f>SUMPRODUCT(Exposures!$B$10:$K$10,B1574:K1574)</f>
        <v/>
      </c>
    </row>
    <row r="1575">
      <c r="A1575" s="1" t="n">
        <v>44742</v>
      </c>
      <c r="B1575" s="5" t="n">
        <v>-0.001070087303561468</v>
      </c>
      <c r="C1575" s="5" t="n">
        <v>0.001571715427662134</v>
      </c>
      <c r="D1575" s="5" t="n">
        <v>0.00616848330490447</v>
      </c>
      <c r="E1575" s="5" t="n">
        <v>0.0005974207104370421</v>
      </c>
      <c r="F1575" s="5" t="n">
        <v>-0.01230453309229309</v>
      </c>
      <c r="G1575" s="5" t="n">
        <v>-0.006935820451465617</v>
      </c>
      <c r="H1575" s="5" t="n">
        <v>0.0002315101657303804</v>
      </c>
      <c r="I1575" s="5" t="n">
        <v>0.001890409303370323</v>
      </c>
      <c r="J1575" s="5" t="n">
        <v>-0.004132308617209093</v>
      </c>
      <c r="K1575" s="5" t="n">
        <v>0.004828580551113343</v>
      </c>
      <c r="L1575" s="5" t="n">
        <v>-0.00360868652263183</v>
      </c>
      <c r="M1575" s="5">
        <f>SUMPRODUCT(Exposures!$B$6:$K$6,B1575:K1575)</f>
        <v/>
      </c>
      <c r="N1575" s="5">
        <f>IF(AND($A1575&gt;=DATE(2020,2,1),$A1575&lt;=DATE(2020,5,31)),$M1575,"")</f>
        <v/>
      </c>
      <c r="O1575" s="5">
        <f>IF(AND($A1575&gt;=DATE(2022,1,1),$A1575&lt;=DATE(2022,10,31)),$M1575,"")</f>
        <v/>
      </c>
      <c r="P1575" s="5">
        <f>IF(AND($A1575&gt;=DATE(2018,10,1),$A1575&lt;=DATE(2018,12,31)),$M1575,"")</f>
        <v/>
      </c>
      <c r="Q1575" s="5">
        <f>SUMPRODUCT(Exposures!$B$8:$K$8,B1575:K1575)</f>
        <v/>
      </c>
      <c r="R1575" s="5">
        <f>SUMPRODUCT(Exposures!$B$9:$K$9,B1575:K1575)</f>
        <v/>
      </c>
      <c r="S1575" s="5">
        <f>SUMPRODUCT(Exposures!$B$10:$K$10,B1575:K1575)</f>
        <v/>
      </c>
    </row>
    <row r="1576">
      <c r="A1576" s="1" t="n">
        <v>44743</v>
      </c>
      <c r="B1576" s="5" t="n">
        <v>-0.004733403905090397</v>
      </c>
      <c r="C1576" s="5" t="n">
        <v>-0.001485598742808719</v>
      </c>
      <c r="D1576" s="5" t="n">
        <v>0.0005271775175957769</v>
      </c>
      <c r="E1576" s="5" t="n">
        <v>0.0003064486335165259</v>
      </c>
      <c r="F1576" s="5" t="n">
        <v>-0.001831946146528688</v>
      </c>
      <c r="G1576" s="5" t="n">
        <v>0.01312435249973459</v>
      </c>
      <c r="H1576" s="5" t="n">
        <v>-0.003319236523515404</v>
      </c>
      <c r="I1576" s="5" t="n">
        <v>-0.004123209532047301</v>
      </c>
      <c r="J1576" s="5" t="n">
        <v>0.0003594401819490146</v>
      </c>
      <c r="K1576" s="5" t="n">
        <v>0.003192998691973393</v>
      </c>
      <c r="L1576" s="5" t="n">
        <v>0.0007473966776668883</v>
      </c>
      <c r="M1576" s="5">
        <f>SUMPRODUCT(Exposures!$B$6:$K$6,B1576:K1576)</f>
        <v/>
      </c>
      <c r="N1576" s="5">
        <f>IF(AND($A1576&gt;=DATE(2020,2,1),$A1576&lt;=DATE(2020,5,31)),$M1576,"")</f>
        <v/>
      </c>
      <c r="O1576" s="5">
        <f>IF(AND($A1576&gt;=DATE(2022,1,1),$A1576&lt;=DATE(2022,10,31)),$M1576,"")</f>
        <v/>
      </c>
      <c r="P1576" s="5">
        <f>IF(AND($A1576&gt;=DATE(2018,10,1),$A1576&lt;=DATE(2018,12,31)),$M1576,"")</f>
        <v/>
      </c>
      <c r="Q1576" s="5">
        <f>SUMPRODUCT(Exposures!$B$8:$K$8,B1576:K1576)</f>
        <v/>
      </c>
      <c r="R1576" s="5">
        <f>SUMPRODUCT(Exposures!$B$9:$K$9,B1576:K1576)</f>
        <v/>
      </c>
      <c r="S1576" s="5">
        <f>SUMPRODUCT(Exposures!$B$10:$K$10,B1576:K1576)</f>
        <v/>
      </c>
    </row>
    <row r="1577">
      <c r="A1577" s="1" t="n">
        <v>44747</v>
      </c>
      <c r="B1577" s="5" t="n">
        <v>0.01094135317532702</v>
      </c>
      <c r="C1577" s="5" t="n">
        <v>-0.004466960557376058</v>
      </c>
      <c r="D1577" s="5" t="n">
        <v>0.0006689989739149739</v>
      </c>
      <c r="E1577" s="5" t="n">
        <v>-0.000307439686279919</v>
      </c>
      <c r="F1577" s="5" t="n">
        <v>0.009716309883677597</v>
      </c>
      <c r="G1577" s="5" t="n">
        <v>0.0079887919852337</v>
      </c>
      <c r="H1577" s="5" t="n">
        <v>-0.01110179452236753</v>
      </c>
      <c r="I1577" s="5" t="n">
        <v>-0.001064106481178368</v>
      </c>
      <c r="J1577" s="5" t="n">
        <v>0.003361920505836561</v>
      </c>
      <c r="K1577" s="5" t="n">
        <v>-0.006578652350022782</v>
      </c>
      <c r="L1577" s="5" t="n">
        <v>-4.146594718746482e-06</v>
      </c>
      <c r="M1577" s="5">
        <f>SUMPRODUCT(Exposures!$B$6:$K$6,B1577:K1577)</f>
        <v/>
      </c>
      <c r="N1577" s="5">
        <f>IF(AND($A1577&gt;=DATE(2020,2,1),$A1577&lt;=DATE(2020,5,31)),$M1577,"")</f>
        <v/>
      </c>
      <c r="O1577" s="5">
        <f>IF(AND($A1577&gt;=DATE(2022,1,1),$A1577&lt;=DATE(2022,10,31)),$M1577,"")</f>
        <v/>
      </c>
      <c r="P1577" s="5">
        <f>IF(AND($A1577&gt;=DATE(2018,10,1),$A1577&lt;=DATE(2018,12,31)),$M1577,"")</f>
        <v/>
      </c>
      <c r="Q1577" s="5">
        <f>SUMPRODUCT(Exposures!$B$8:$K$8,B1577:K1577)</f>
        <v/>
      </c>
      <c r="R1577" s="5">
        <f>SUMPRODUCT(Exposures!$B$9:$K$9,B1577:K1577)</f>
        <v/>
      </c>
      <c r="S1577" s="5">
        <f>SUMPRODUCT(Exposures!$B$10:$K$10,B1577:K1577)</f>
        <v/>
      </c>
    </row>
    <row r="1578">
      <c r="A1578" s="1" t="n">
        <v>44748</v>
      </c>
      <c r="B1578" s="5" t="n">
        <v>0.0006619498341701451</v>
      </c>
      <c r="C1578" s="5" t="n">
        <v>0.001844607999834103</v>
      </c>
      <c r="D1578" s="5" t="n">
        <v>-0.0002146037998049389</v>
      </c>
      <c r="E1578" s="5" t="n">
        <v>-0.002897557734854919</v>
      </c>
      <c r="F1578" s="5" t="n">
        <v>0.001108828291935019</v>
      </c>
      <c r="G1578" s="5" t="n">
        <v>-0.006196775738276148</v>
      </c>
      <c r="H1578" s="5" t="n">
        <v>-0.0002814263036336994</v>
      </c>
      <c r="I1578" s="5" t="n">
        <v>-0.0003204974354530466</v>
      </c>
      <c r="J1578" s="5" t="n">
        <v>-0.008388082882242085</v>
      </c>
      <c r="K1578" s="5" t="n">
        <v>0.001237200054925048</v>
      </c>
      <c r="L1578" s="5" t="n">
        <v>-0.002235918583232075</v>
      </c>
      <c r="M1578" s="5">
        <f>SUMPRODUCT(Exposures!$B$6:$K$6,B1578:K1578)</f>
        <v/>
      </c>
      <c r="N1578" s="5">
        <f>IF(AND($A1578&gt;=DATE(2020,2,1),$A1578&lt;=DATE(2020,5,31)),$M1578,"")</f>
        <v/>
      </c>
      <c r="O1578" s="5">
        <f>IF(AND($A1578&gt;=DATE(2022,1,1),$A1578&lt;=DATE(2022,10,31)),$M1578,"")</f>
        <v/>
      </c>
      <c r="P1578" s="5">
        <f>IF(AND($A1578&gt;=DATE(2018,10,1),$A1578&lt;=DATE(2018,12,31)),$M1578,"")</f>
        <v/>
      </c>
      <c r="Q1578" s="5">
        <f>SUMPRODUCT(Exposures!$B$8:$K$8,B1578:K1578)</f>
        <v/>
      </c>
      <c r="R1578" s="5">
        <f>SUMPRODUCT(Exposures!$B$9:$K$9,B1578:K1578)</f>
        <v/>
      </c>
      <c r="S1578" s="5">
        <f>SUMPRODUCT(Exposures!$B$10:$K$10,B1578:K1578)</f>
        <v/>
      </c>
    </row>
    <row r="1579">
      <c r="A1579" s="1" t="n">
        <v>44749</v>
      </c>
      <c r="B1579" s="5" t="n">
        <v>0.01350729878116793</v>
      </c>
      <c r="C1579" s="5" t="n">
        <v>-0.0002200087741331433</v>
      </c>
      <c r="D1579" s="5" t="n">
        <v>0.001297894317169618</v>
      </c>
      <c r="E1579" s="5" t="n">
        <v>-0.0004370545395478485</v>
      </c>
      <c r="F1579" s="5" t="n">
        <v>0.003085652825049466</v>
      </c>
      <c r="G1579" s="5" t="n">
        <v>0.0223565058175946</v>
      </c>
      <c r="H1579" s="5" t="n">
        <v>0.003883043948859854</v>
      </c>
      <c r="I1579" s="5" t="n">
        <v>0.001049185101280466</v>
      </c>
      <c r="J1579" s="5" t="n">
        <v>0.008669508224363286</v>
      </c>
      <c r="K1579" s="5" t="n">
        <v>-0.004005795153689856</v>
      </c>
      <c r="L1579" s="5" t="n">
        <v>0.001361884582426744</v>
      </c>
      <c r="M1579" s="5">
        <f>SUMPRODUCT(Exposures!$B$6:$K$6,B1579:K1579)</f>
        <v/>
      </c>
      <c r="N1579" s="5">
        <f>IF(AND($A1579&gt;=DATE(2020,2,1),$A1579&lt;=DATE(2020,5,31)),$M1579,"")</f>
        <v/>
      </c>
      <c r="O1579" s="5">
        <f>IF(AND($A1579&gt;=DATE(2022,1,1),$A1579&lt;=DATE(2022,10,31)),$M1579,"")</f>
        <v/>
      </c>
      <c r="P1579" s="5">
        <f>IF(AND($A1579&gt;=DATE(2018,10,1),$A1579&lt;=DATE(2018,12,31)),$M1579,"")</f>
        <v/>
      </c>
      <c r="Q1579" s="5">
        <f>SUMPRODUCT(Exposures!$B$8:$K$8,B1579:K1579)</f>
        <v/>
      </c>
      <c r="R1579" s="5">
        <f>SUMPRODUCT(Exposures!$B$9:$K$9,B1579:K1579)</f>
        <v/>
      </c>
      <c r="S1579" s="5">
        <f>SUMPRODUCT(Exposures!$B$10:$K$10,B1579:K1579)</f>
        <v/>
      </c>
    </row>
    <row r="1580">
      <c r="A1580" s="1" t="n">
        <v>44750</v>
      </c>
      <c r="B1580" s="5" t="n">
        <v>0.0005810679473979953</v>
      </c>
      <c r="C1580" s="5" t="n">
        <v>-0.0007307509352434314</v>
      </c>
      <c r="D1580" s="5" t="n">
        <v>-0.0007020689348727005</v>
      </c>
      <c r="E1580" s="5" t="n">
        <v>-0.000522335813253065</v>
      </c>
      <c r="F1580" s="5" t="n">
        <v>-0.002737515828124387</v>
      </c>
      <c r="G1580" s="5" t="n">
        <v>-0.0001939827746267371</v>
      </c>
      <c r="H1580" s="5" t="n">
        <v>0.002459444588207238</v>
      </c>
      <c r="I1580" s="5" t="n">
        <v>0.002994243721595047</v>
      </c>
      <c r="J1580" s="5" t="n">
        <v>0.001704385519942844</v>
      </c>
      <c r="K1580" s="5" t="n">
        <v>0.0005150050764440021</v>
      </c>
      <c r="L1580" s="5" t="n">
        <v>0.001214484450151473</v>
      </c>
      <c r="M1580" s="5">
        <f>SUMPRODUCT(Exposures!$B$6:$K$6,B1580:K1580)</f>
        <v/>
      </c>
      <c r="N1580" s="5">
        <f>IF(AND($A1580&gt;=DATE(2020,2,1),$A1580&lt;=DATE(2020,5,31)),$M1580,"")</f>
        <v/>
      </c>
      <c r="O1580" s="5">
        <f>IF(AND($A1580&gt;=DATE(2022,1,1),$A1580&lt;=DATE(2022,10,31)),$M1580,"")</f>
        <v/>
      </c>
      <c r="P1580" s="5">
        <f>IF(AND($A1580&gt;=DATE(2018,10,1),$A1580&lt;=DATE(2018,12,31)),$M1580,"")</f>
        <v/>
      </c>
      <c r="Q1580" s="5">
        <f>SUMPRODUCT(Exposures!$B$8:$K$8,B1580:K1580)</f>
        <v/>
      </c>
      <c r="R1580" s="5">
        <f>SUMPRODUCT(Exposures!$B$9:$K$9,B1580:K1580)</f>
        <v/>
      </c>
      <c r="S1580" s="5">
        <f>SUMPRODUCT(Exposures!$B$10:$K$10,B1580:K1580)</f>
        <v/>
      </c>
    </row>
    <row r="1581">
      <c r="A1581" s="1" t="n">
        <v>44753</v>
      </c>
      <c r="B1581" s="5" t="n">
        <v>-0.003558060270204981</v>
      </c>
      <c r="C1581" s="5" t="n">
        <v>-0.001242502415571776</v>
      </c>
      <c r="D1581" s="5" t="n">
        <v>-6.267139461269865e-05</v>
      </c>
      <c r="E1581" s="5" t="n">
        <v>0.003418585299267002</v>
      </c>
      <c r="F1581" s="5" t="n">
        <v>4.401532237090526e-05</v>
      </c>
      <c r="G1581" s="5" t="n">
        <v>-0.01669771392001366</v>
      </c>
      <c r="H1581" s="5" t="n">
        <v>0.004467610834850292</v>
      </c>
      <c r="I1581" s="5" t="n">
        <v>0.001293486753487805</v>
      </c>
      <c r="J1581" s="5" t="n">
        <v>-0.01462175181489562</v>
      </c>
      <c r="K1581" s="5" t="n">
        <v>-0.007184288819201913</v>
      </c>
      <c r="L1581" s="5" t="n">
        <v>-0.003576726022649278</v>
      </c>
      <c r="M1581" s="5">
        <f>SUMPRODUCT(Exposures!$B$6:$K$6,B1581:K1581)</f>
        <v/>
      </c>
      <c r="N1581" s="5">
        <f>IF(AND($A1581&gt;=DATE(2020,2,1),$A1581&lt;=DATE(2020,5,31)),$M1581,"")</f>
        <v/>
      </c>
      <c r="O1581" s="5">
        <f>IF(AND($A1581&gt;=DATE(2022,1,1),$A1581&lt;=DATE(2022,10,31)),$M1581,"")</f>
        <v/>
      </c>
      <c r="P1581" s="5">
        <f>IF(AND($A1581&gt;=DATE(2018,10,1),$A1581&lt;=DATE(2018,12,31)),$M1581,"")</f>
        <v/>
      </c>
      <c r="Q1581" s="5">
        <f>SUMPRODUCT(Exposures!$B$8:$K$8,B1581:K1581)</f>
        <v/>
      </c>
      <c r="R1581" s="5">
        <f>SUMPRODUCT(Exposures!$B$9:$K$9,B1581:K1581)</f>
        <v/>
      </c>
      <c r="S1581" s="5">
        <f>SUMPRODUCT(Exposures!$B$10:$K$10,B1581:K1581)</f>
        <v/>
      </c>
    </row>
    <row r="1582">
      <c r="A1582" s="1" t="n">
        <v>44754</v>
      </c>
      <c r="B1582" s="5" t="n">
        <v>-0.0005003563160856275</v>
      </c>
      <c r="C1582" s="5" t="n">
        <v>0.0004544291624200368</v>
      </c>
      <c r="D1582" s="5" t="n">
        <v>0.003662280083356501</v>
      </c>
      <c r="E1582" s="5" t="n">
        <v>0.0004823638532527688</v>
      </c>
      <c r="F1582" s="5" t="n">
        <v>0.005957675069883386</v>
      </c>
      <c r="G1582" s="5" t="n">
        <v>-0.001067495194422372</v>
      </c>
      <c r="H1582" s="5" t="n">
        <v>-0.002371848626203158</v>
      </c>
      <c r="I1582" s="5" t="n">
        <v>0.0005717089395414284</v>
      </c>
      <c r="J1582" s="5" t="n">
        <v>0.001682888866542338</v>
      </c>
      <c r="K1582" s="5" t="n">
        <v>-0.007640676996213788</v>
      </c>
      <c r="L1582" s="5" t="n">
        <v>-0.002351872394810964</v>
      </c>
      <c r="M1582" s="5">
        <f>SUMPRODUCT(Exposures!$B$6:$K$6,B1582:K1582)</f>
        <v/>
      </c>
      <c r="N1582" s="5">
        <f>IF(AND($A1582&gt;=DATE(2020,2,1),$A1582&lt;=DATE(2020,5,31)),$M1582,"")</f>
        <v/>
      </c>
      <c r="O1582" s="5">
        <f>IF(AND($A1582&gt;=DATE(2022,1,1),$A1582&lt;=DATE(2022,10,31)),$M1582,"")</f>
        <v/>
      </c>
      <c r="P1582" s="5">
        <f>IF(AND($A1582&gt;=DATE(2018,10,1),$A1582&lt;=DATE(2018,12,31)),$M1582,"")</f>
        <v/>
      </c>
      <c r="Q1582" s="5">
        <f>SUMPRODUCT(Exposures!$B$8:$K$8,B1582:K1582)</f>
        <v/>
      </c>
      <c r="R1582" s="5">
        <f>SUMPRODUCT(Exposures!$B$9:$K$9,B1582:K1582)</f>
        <v/>
      </c>
      <c r="S1582" s="5">
        <f>SUMPRODUCT(Exposures!$B$10:$K$10,B1582:K1582)</f>
        <v/>
      </c>
    </row>
    <row r="1583">
      <c r="A1583" s="1" t="n">
        <v>44755</v>
      </c>
      <c r="B1583" s="5" t="n">
        <v>-0.002540969997932545</v>
      </c>
      <c r="C1583" s="5" t="n">
        <v>0.002080160915779753</v>
      </c>
      <c r="D1583" s="5" t="n">
        <v>-0.0005066006669423307</v>
      </c>
      <c r="E1583" s="5" t="n">
        <v>0.0005756307188733164</v>
      </c>
      <c r="F1583" s="5" t="n">
        <v>0.001721778141744257</v>
      </c>
      <c r="G1583" s="5" t="n">
        <v>-0.00230041433686405</v>
      </c>
      <c r="H1583" s="5" t="n">
        <v>0.0006408128300244071</v>
      </c>
      <c r="I1583" s="5" t="n">
        <v>0.0003681796290751214</v>
      </c>
      <c r="J1583" s="5" t="n">
        <v>0.005853673201043005</v>
      </c>
      <c r="K1583" s="5" t="n">
        <v>-0.004451044854047101</v>
      </c>
      <c r="L1583" s="5" t="n">
        <v>-0.002708028567162275</v>
      </c>
      <c r="M1583" s="5">
        <f>SUMPRODUCT(Exposures!$B$6:$K$6,B1583:K1583)</f>
        <v/>
      </c>
      <c r="N1583" s="5">
        <f>IF(AND($A1583&gt;=DATE(2020,2,1),$A1583&lt;=DATE(2020,5,31)),$M1583,"")</f>
        <v/>
      </c>
      <c r="O1583" s="5">
        <f>IF(AND($A1583&gt;=DATE(2022,1,1),$A1583&lt;=DATE(2022,10,31)),$M1583,"")</f>
        <v/>
      </c>
      <c r="P1583" s="5">
        <f>IF(AND($A1583&gt;=DATE(2018,10,1),$A1583&lt;=DATE(2018,12,31)),$M1583,"")</f>
        <v/>
      </c>
      <c r="Q1583" s="5">
        <f>SUMPRODUCT(Exposures!$B$8:$K$8,B1583:K1583)</f>
        <v/>
      </c>
      <c r="R1583" s="5">
        <f>SUMPRODUCT(Exposures!$B$9:$K$9,B1583:K1583)</f>
        <v/>
      </c>
      <c r="S1583" s="5">
        <f>SUMPRODUCT(Exposures!$B$10:$K$10,B1583:K1583)</f>
        <v/>
      </c>
    </row>
    <row r="1584">
      <c r="A1584" s="1" t="n">
        <v>44756</v>
      </c>
      <c r="B1584" s="5" t="n">
        <v>0.002229487266909693</v>
      </c>
      <c r="C1584" s="5" t="n">
        <v>-0.00082204694807561</v>
      </c>
      <c r="D1584" s="5" t="n">
        <v>0.005096679719555719</v>
      </c>
      <c r="E1584" s="5" t="n">
        <v>-0.001474690839003076</v>
      </c>
      <c r="F1584" s="5" t="n">
        <v>0.005805144183235115</v>
      </c>
      <c r="G1584" s="5" t="n">
        <v>-0.0125480533222373</v>
      </c>
      <c r="H1584" s="5" t="n">
        <v>0.001094120551599735</v>
      </c>
      <c r="I1584" s="5" t="n">
        <v>0.002942205524971192</v>
      </c>
      <c r="J1584" s="5" t="n">
        <v>-0.009867886173062593</v>
      </c>
      <c r="K1584" s="5" t="n">
        <v>-0.008074195786678029</v>
      </c>
      <c r="L1584" s="5" t="n">
        <v>-0.006339156934379534</v>
      </c>
      <c r="M1584" s="5">
        <f>SUMPRODUCT(Exposures!$B$6:$K$6,B1584:K1584)</f>
        <v/>
      </c>
      <c r="N1584" s="5">
        <f>IF(AND($A1584&gt;=DATE(2020,2,1),$A1584&lt;=DATE(2020,5,31)),$M1584,"")</f>
        <v/>
      </c>
      <c r="O1584" s="5">
        <f>IF(AND($A1584&gt;=DATE(2022,1,1),$A1584&lt;=DATE(2022,10,31)),$M1584,"")</f>
        <v/>
      </c>
      <c r="P1584" s="5">
        <f>IF(AND($A1584&gt;=DATE(2018,10,1),$A1584&lt;=DATE(2018,12,31)),$M1584,"")</f>
        <v/>
      </c>
      <c r="Q1584" s="5">
        <f>SUMPRODUCT(Exposures!$B$8:$K$8,B1584:K1584)</f>
        <v/>
      </c>
      <c r="R1584" s="5">
        <f>SUMPRODUCT(Exposures!$B$9:$K$9,B1584:K1584)</f>
        <v/>
      </c>
      <c r="S1584" s="5">
        <f>SUMPRODUCT(Exposures!$B$10:$K$10,B1584:K1584)</f>
        <v/>
      </c>
    </row>
    <row r="1585">
      <c r="A1585" s="1" t="n">
        <v>44757</v>
      </c>
      <c r="B1585" s="5" t="n">
        <v>0.007176505578753522</v>
      </c>
      <c r="C1585" s="5" t="n">
        <v>0.0004911018720325665</v>
      </c>
      <c r="D1585" s="5" t="n">
        <v>-0.000490651672897441</v>
      </c>
      <c r="E1585" s="5" t="n">
        <v>0.00459828288448997</v>
      </c>
      <c r="F1585" s="5" t="n">
        <v>-0.001853399317617448</v>
      </c>
      <c r="G1585" s="5" t="n">
        <v>0.02222909488210446</v>
      </c>
      <c r="H1585" s="5" t="n">
        <v>5.735079623860983e-05</v>
      </c>
      <c r="I1585" s="5" t="n">
        <v>0.005228679412502707</v>
      </c>
      <c r="J1585" s="5" t="n">
        <v>-0.003404027895161029</v>
      </c>
      <c r="K1585" s="5" t="n">
        <v>-0.001726094424390332</v>
      </c>
      <c r="L1585" s="5" t="n">
        <v>0.003725050816049234</v>
      </c>
      <c r="M1585" s="5">
        <f>SUMPRODUCT(Exposures!$B$6:$K$6,B1585:K1585)</f>
        <v/>
      </c>
      <c r="N1585" s="5">
        <f>IF(AND($A1585&gt;=DATE(2020,2,1),$A1585&lt;=DATE(2020,5,31)),$M1585,"")</f>
        <v/>
      </c>
      <c r="O1585" s="5">
        <f>IF(AND($A1585&gt;=DATE(2022,1,1),$A1585&lt;=DATE(2022,10,31)),$M1585,"")</f>
        <v/>
      </c>
      <c r="P1585" s="5">
        <f>IF(AND($A1585&gt;=DATE(2018,10,1),$A1585&lt;=DATE(2018,12,31)),$M1585,"")</f>
        <v/>
      </c>
      <c r="Q1585" s="5">
        <f>SUMPRODUCT(Exposures!$B$8:$K$8,B1585:K1585)</f>
        <v/>
      </c>
      <c r="R1585" s="5">
        <f>SUMPRODUCT(Exposures!$B$9:$K$9,B1585:K1585)</f>
        <v/>
      </c>
      <c r="S1585" s="5">
        <f>SUMPRODUCT(Exposures!$B$10:$K$10,B1585:K1585)</f>
        <v/>
      </c>
    </row>
    <row r="1586">
      <c r="A1586" s="1" t="n">
        <v>44760</v>
      </c>
      <c r="B1586" s="5" t="n">
        <v>0.001821660878922139</v>
      </c>
      <c r="C1586" s="5" t="n">
        <v>0.001840070936881019</v>
      </c>
      <c r="D1586" s="5" t="n">
        <v>0.0008993105632869406</v>
      </c>
      <c r="E1586" s="5" t="n">
        <v>0.001386026292582896</v>
      </c>
      <c r="F1586" s="5" t="n">
        <v>-0.0008329372630683147</v>
      </c>
      <c r="G1586" s="5" t="n">
        <v>-0.001818687857232649</v>
      </c>
      <c r="H1586" s="5" t="n">
        <v>0.002200576245315159</v>
      </c>
      <c r="I1586" s="5" t="n">
        <v>0.0007315566116590998</v>
      </c>
      <c r="J1586" s="5" t="n">
        <v>0.008565381499003976</v>
      </c>
      <c r="K1586" s="5" t="n">
        <v>-0.001779421162934166</v>
      </c>
      <c r="L1586" s="5" t="n">
        <v>0.003157842125248618</v>
      </c>
      <c r="M1586" s="5">
        <f>SUMPRODUCT(Exposures!$B$6:$K$6,B1586:K1586)</f>
        <v/>
      </c>
      <c r="N1586" s="5">
        <f>IF(AND($A1586&gt;=DATE(2020,2,1),$A1586&lt;=DATE(2020,5,31)),$M1586,"")</f>
        <v/>
      </c>
      <c r="O1586" s="5">
        <f>IF(AND($A1586&gt;=DATE(2022,1,1),$A1586&lt;=DATE(2022,10,31)),$M1586,"")</f>
        <v/>
      </c>
      <c r="P1586" s="5">
        <f>IF(AND($A1586&gt;=DATE(2018,10,1),$A1586&lt;=DATE(2018,12,31)),$M1586,"")</f>
        <v/>
      </c>
      <c r="Q1586" s="5">
        <f>SUMPRODUCT(Exposures!$B$8:$K$8,B1586:K1586)</f>
        <v/>
      </c>
      <c r="R1586" s="5">
        <f>SUMPRODUCT(Exposures!$B$9:$K$9,B1586:K1586)</f>
        <v/>
      </c>
      <c r="S1586" s="5">
        <f>SUMPRODUCT(Exposures!$B$10:$K$10,B1586:K1586)</f>
        <v/>
      </c>
    </row>
    <row r="1587">
      <c r="A1587" s="1" t="n">
        <v>44761</v>
      </c>
      <c r="B1587" s="5" t="n">
        <v>0.01048647800664037</v>
      </c>
      <c r="C1587" s="5" t="n">
        <v>-0.002813138839330712</v>
      </c>
      <c r="D1587" s="5" t="n">
        <v>-0.0004663861592157213</v>
      </c>
      <c r="E1587" s="5" t="n">
        <v>-0.0002222665270756967</v>
      </c>
      <c r="F1587" s="5" t="n">
        <v>0.004201295928864496</v>
      </c>
      <c r="G1587" s="5" t="n">
        <v>0.03522844425371403</v>
      </c>
      <c r="H1587" s="5" t="n">
        <v>-0.0006404452006184167</v>
      </c>
      <c r="I1587" s="5" t="n">
        <v>0.003019347247518579</v>
      </c>
      <c r="J1587" s="5" t="n">
        <v>2.206445345172454e-06</v>
      </c>
      <c r="K1587" s="5" t="n">
        <v>-0.008123629564084401</v>
      </c>
      <c r="L1587" s="5" t="n">
        <v>-0.0001971962987950789</v>
      </c>
      <c r="M1587" s="5">
        <f>SUMPRODUCT(Exposures!$B$6:$K$6,B1587:K1587)</f>
        <v/>
      </c>
      <c r="N1587" s="5">
        <f>IF(AND($A1587&gt;=DATE(2020,2,1),$A1587&lt;=DATE(2020,5,31)),$M1587,"")</f>
        <v/>
      </c>
      <c r="O1587" s="5">
        <f>IF(AND($A1587&gt;=DATE(2022,1,1),$A1587&lt;=DATE(2022,10,31)),$M1587,"")</f>
        <v/>
      </c>
      <c r="P1587" s="5">
        <f>IF(AND($A1587&gt;=DATE(2018,10,1),$A1587&lt;=DATE(2018,12,31)),$M1587,"")</f>
        <v/>
      </c>
      <c r="Q1587" s="5">
        <f>SUMPRODUCT(Exposures!$B$8:$K$8,B1587:K1587)</f>
        <v/>
      </c>
      <c r="R1587" s="5">
        <f>SUMPRODUCT(Exposures!$B$9:$K$9,B1587:K1587)</f>
        <v/>
      </c>
      <c r="S1587" s="5">
        <f>SUMPRODUCT(Exposures!$B$10:$K$10,B1587:K1587)</f>
        <v/>
      </c>
    </row>
    <row r="1588">
      <c r="A1588" s="1" t="n">
        <v>44762</v>
      </c>
      <c r="B1588" s="5" t="n">
        <v>0.01524105396481871</v>
      </c>
      <c r="C1588" s="5" t="n">
        <v>-0.00191701397771129</v>
      </c>
      <c r="D1588" s="5" t="n">
        <v>-0.001721651169737505</v>
      </c>
      <c r="E1588" s="5" t="n">
        <v>0.001864146301412501</v>
      </c>
      <c r="F1588" s="5" t="n">
        <v>0.00568078898012978</v>
      </c>
      <c r="G1588" s="5" t="n">
        <v>0.009833824643490962</v>
      </c>
      <c r="H1588" s="5" t="n">
        <v>-0.002847341337277933</v>
      </c>
      <c r="I1588" s="5" t="n">
        <v>-0.0002834365098330761</v>
      </c>
      <c r="J1588" s="5" t="n">
        <v>-0.002321642479602569</v>
      </c>
      <c r="K1588" s="5" t="n">
        <v>-0.009363566860080361</v>
      </c>
      <c r="L1588" s="5" t="n">
        <v>-0.002550427057040841</v>
      </c>
      <c r="M1588" s="5">
        <f>SUMPRODUCT(Exposures!$B$6:$K$6,B1588:K1588)</f>
        <v/>
      </c>
      <c r="N1588" s="5">
        <f>IF(AND($A1588&gt;=DATE(2020,2,1),$A1588&lt;=DATE(2020,5,31)),$M1588,"")</f>
        <v/>
      </c>
      <c r="O1588" s="5">
        <f>IF(AND($A1588&gt;=DATE(2022,1,1),$A1588&lt;=DATE(2022,10,31)),$M1588,"")</f>
        <v/>
      </c>
      <c r="P1588" s="5">
        <f>IF(AND($A1588&gt;=DATE(2018,10,1),$A1588&lt;=DATE(2018,12,31)),$M1588,"")</f>
        <v/>
      </c>
      <c r="Q1588" s="5">
        <f>SUMPRODUCT(Exposures!$B$8:$K$8,B1588:K1588)</f>
        <v/>
      </c>
      <c r="R1588" s="5">
        <f>SUMPRODUCT(Exposures!$B$9:$K$9,B1588:K1588)</f>
        <v/>
      </c>
      <c r="S1588" s="5">
        <f>SUMPRODUCT(Exposures!$B$10:$K$10,B1588:K1588)</f>
        <v/>
      </c>
    </row>
    <row r="1589">
      <c r="A1589" s="1" t="n">
        <v>44763</v>
      </c>
      <c r="B1589" s="5" t="n">
        <v>0.002038252152804624</v>
      </c>
      <c r="C1589" s="5" t="n">
        <v>0.002778227393815714</v>
      </c>
      <c r="D1589" s="5" t="n">
        <v>-0.00136898062462117</v>
      </c>
      <c r="E1589" s="5" t="n">
        <v>-0.002066190142075677</v>
      </c>
      <c r="F1589" s="5" t="n">
        <v>-0.003576044973856797</v>
      </c>
      <c r="G1589" s="5" t="n">
        <v>0.007882835268696582</v>
      </c>
      <c r="H1589" s="5" t="n">
        <v>-0.008887418721534262</v>
      </c>
      <c r="I1589" s="5" t="n">
        <v>-0.001919196180243877</v>
      </c>
      <c r="J1589" s="5" t="n">
        <v>-0.005726649813309981</v>
      </c>
      <c r="K1589" s="5" t="n">
        <v>0.004319909604149334</v>
      </c>
      <c r="L1589" s="5" t="n">
        <v>-0.003568363697897654</v>
      </c>
      <c r="M1589" s="5">
        <f>SUMPRODUCT(Exposures!$B$6:$K$6,B1589:K1589)</f>
        <v/>
      </c>
      <c r="N1589" s="5">
        <f>IF(AND($A1589&gt;=DATE(2020,2,1),$A1589&lt;=DATE(2020,5,31)),$M1589,"")</f>
        <v/>
      </c>
      <c r="O1589" s="5">
        <f>IF(AND($A1589&gt;=DATE(2022,1,1),$A1589&lt;=DATE(2022,10,31)),$M1589,"")</f>
        <v/>
      </c>
      <c r="P1589" s="5">
        <f>IF(AND($A1589&gt;=DATE(2018,10,1),$A1589&lt;=DATE(2018,12,31)),$M1589,"")</f>
        <v/>
      </c>
      <c r="Q1589" s="5">
        <f>SUMPRODUCT(Exposures!$B$8:$K$8,B1589:K1589)</f>
        <v/>
      </c>
      <c r="R1589" s="5">
        <f>SUMPRODUCT(Exposures!$B$9:$K$9,B1589:K1589)</f>
        <v/>
      </c>
      <c r="S1589" s="5">
        <f>SUMPRODUCT(Exposures!$B$10:$K$10,B1589:K1589)</f>
        <v/>
      </c>
    </row>
    <row r="1590">
      <c r="A1590" s="1" t="n">
        <v>44764</v>
      </c>
      <c r="B1590" s="5" t="n">
        <v>-0.006368544058797942</v>
      </c>
      <c r="C1590" s="5" t="n">
        <v>0.001115621605353327</v>
      </c>
      <c r="D1590" s="5" t="n">
        <v>-0.000798065829065219</v>
      </c>
      <c r="E1590" s="5" t="n">
        <v>0.003199984523378718</v>
      </c>
      <c r="F1590" s="5" t="n">
        <v>-0.003324410180767992</v>
      </c>
      <c r="G1590" s="5" t="n">
        <v>-0.01291940211968574</v>
      </c>
      <c r="H1590" s="5" t="n">
        <v>0.004403973469109979</v>
      </c>
      <c r="I1590" s="5" t="n">
        <v>-0.001775123647697191</v>
      </c>
      <c r="J1590" s="5" t="n">
        <v>-0.007884651684283182</v>
      </c>
      <c r="K1590" s="5" t="n">
        <v>0.0005007533127364414</v>
      </c>
      <c r="L1590" s="5" t="n">
        <v>-0.004275075087905113</v>
      </c>
      <c r="M1590" s="5">
        <f>SUMPRODUCT(Exposures!$B$6:$K$6,B1590:K1590)</f>
        <v/>
      </c>
      <c r="N1590" s="5">
        <f>IF(AND($A1590&gt;=DATE(2020,2,1),$A1590&lt;=DATE(2020,5,31)),$M1590,"")</f>
        <v/>
      </c>
      <c r="O1590" s="5">
        <f>IF(AND($A1590&gt;=DATE(2022,1,1),$A1590&lt;=DATE(2022,10,31)),$M1590,"")</f>
        <v/>
      </c>
      <c r="P1590" s="5">
        <f>IF(AND($A1590&gt;=DATE(2018,10,1),$A1590&lt;=DATE(2018,12,31)),$M1590,"")</f>
        <v/>
      </c>
      <c r="Q1590" s="5">
        <f>SUMPRODUCT(Exposures!$B$8:$K$8,B1590:K1590)</f>
        <v/>
      </c>
      <c r="R1590" s="5">
        <f>SUMPRODUCT(Exposures!$B$9:$K$9,B1590:K1590)</f>
        <v/>
      </c>
      <c r="S1590" s="5">
        <f>SUMPRODUCT(Exposures!$B$10:$K$10,B1590:K1590)</f>
        <v/>
      </c>
    </row>
    <row r="1591">
      <c r="A1591" s="1" t="n">
        <v>44767</v>
      </c>
      <c r="B1591" s="5" t="n">
        <v>-0.001296966521889396</v>
      </c>
      <c r="C1591" s="5" t="n">
        <v>-0.001705584990386776</v>
      </c>
      <c r="D1591" s="5" t="n">
        <v>-0.002593401866508671</v>
      </c>
      <c r="E1591" s="5" t="n">
        <v>0.0001844560145344134</v>
      </c>
      <c r="F1591" s="5" t="n">
        <v>-0.006067305645324392</v>
      </c>
      <c r="G1591" s="5" t="n">
        <v>0.002625013161692741</v>
      </c>
      <c r="H1591" s="5" t="n">
        <v>0.0106767206372933</v>
      </c>
      <c r="I1591" s="5" t="n">
        <v>-0.0002750865562154815</v>
      </c>
      <c r="J1591" s="5" t="n">
        <v>0.0039913543444021</v>
      </c>
      <c r="K1591" s="5" t="n">
        <v>0.005704703384185132</v>
      </c>
      <c r="L1591" s="5" t="n">
        <v>0.003533425403654251</v>
      </c>
      <c r="M1591" s="5">
        <f>SUMPRODUCT(Exposures!$B$6:$K$6,B1591:K1591)</f>
        <v/>
      </c>
      <c r="N1591" s="5">
        <f>IF(AND($A1591&gt;=DATE(2020,2,1),$A1591&lt;=DATE(2020,5,31)),$M1591,"")</f>
        <v/>
      </c>
      <c r="O1591" s="5">
        <f>IF(AND($A1591&gt;=DATE(2022,1,1),$A1591&lt;=DATE(2022,10,31)),$M1591,"")</f>
        <v/>
      </c>
      <c r="P1591" s="5">
        <f>IF(AND($A1591&gt;=DATE(2018,10,1),$A1591&lt;=DATE(2018,12,31)),$M1591,"")</f>
        <v/>
      </c>
      <c r="Q1591" s="5">
        <f>SUMPRODUCT(Exposures!$B$8:$K$8,B1591:K1591)</f>
        <v/>
      </c>
      <c r="R1591" s="5">
        <f>SUMPRODUCT(Exposures!$B$9:$K$9,B1591:K1591)</f>
        <v/>
      </c>
      <c r="S1591" s="5">
        <f>SUMPRODUCT(Exposures!$B$10:$K$10,B1591:K1591)</f>
        <v/>
      </c>
    </row>
    <row r="1592">
      <c r="A1592" s="1" t="n">
        <v>44768</v>
      </c>
      <c r="B1592" s="5" t="n">
        <v>-0.007399759852524162</v>
      </c>
      <c r="C1592" s="5" t="n">
        <v>-0.002273040162750981</v>
      </c>
      <c r="D1592" s="5" t="n">
        <v>-0.0001440334748434524</v>
      </c>
      <c r="E1592" s="5" t="n">
        <v>-0.002885095865234707</v>
      </c>
      <c r="F1592" s="5" t="n">
        <v>-0.01383988038240421</v>
      </c>
      <c r="G1592" s="5" t="n">
        <v>-0.008629063243886915</v>
      </c>
      <c r="H1592" s="5" t="n">
        <v>0.003567575897797885</v>
      </c>
      <c r="I1592" s="5" t="n">
        <v>-0.001330101240063154</v>
      </c>
      <c r="J1592" s="5" t="n">
        <v>-0.0007204167501892642</v>
      </c>
      <c r="K1592" s="5" t="n">
        <v>0.01397389843108861</v>
      </c>
      <c r="L1592" s="5" t="n">
        <v>-0.0007261359852569296</v>
      </c>
      <c r="M1592" s="5">
        <f>SUMPRODUCT(Exposures!$B$6:$K$6,B1592:K1592)</f>
        <v/>
      </c>
      <c r="N1592" s="5">
        <f>IF(AND($A1592&gt;=DATE(2020,2,1),$A1592&lt;=DATE(2020,5,31)),$M1592,"")</f>
        <v/>
      </c>
      <c r="O1592" s="5">
        <f>IF(AND($A1592&gt;=DATE(2022,1,1),$A1592&lt;=DATE(2022,10,31)),$M1592,"")</f>
        <v/>
      </c>
      <c r="P1592" s="5">
        <f>IF(AND($A1592&gt;=DATE(2018,10,1),$A1592&lt;=DATE(2018,12,31)),$M1592,"")</f>
        <v/>
      </c>
      <c r="Q1592" s="5">
        <f>SUMPRODUCT(Exposures!$B$8:$K$8,B1592:K1592)</f>
        <v/>
      </c>
      <c r="R1592" s="5">
        <f>SUMPRODUCT(Exposures!$B$9:$K$9,B1592:K1592)</f>
        <v/>
      </c>
      <c r="S1592" s="5">
        <f>SUMPRODUCT(Exposures!$B$10:$K$10,B1592:K1592)</f>
        <v/>
      </c>
    </row>
    <row r="1593">
      <c r="A1593" s="1" t="n">
        <v>44769</v>
      </c>
      <c r="B1593" s="5" t="n">
        <v>0.01649864837644101</v>
      </c>
      <c r="C1593" s="5" t="n">
        <v>-0.003245821411941771</v>
      </c>
      <c r="D1593" s="5" t="n">
        <v>0.002317204563702302</v>
      </c>
      <c r="E1593" s="5" t="n">
        <v>-0.001194724150665238</v>
      </c>
      <c r="F1593" s="5" t="n">
        <v>0.008598761240225719</v>
      </c>
      <c r="G1593" s="5" t="n">
        <v>0.02319579000598594</v>
      </c>
      <c r="H1593" s="5" t="n">
        <v>0.0001369728781187057</v>
      </c>
      <c r="I1593" s="5" t="n">
        <v>0.001451547243147264</v>
      </c>
      <c r="J1593" s="5" t="n">
        <v>-0.002879522141781613</v>
      </c>
      <c r="K1593" s="5" t="n">
        <v>-0.007974839044931806</v>
      </c>
      <c r="L1593" s="5" t="n">
        <v>0.002578730044626134</v>
      </c>
      <c r="M1593" s="5">
        <f>SUMPRODUCT(Exposures!$B$6:$K$6,B1593:K1593)</f>
        <v/>
      </c>
      <c r="N1593" s="5">
        <f>IF(AND($A1593&gt;=DATE(2020,2,1),$A1593&lt;=DATE(2020,5,31)),$M1593,"")</f>
        <v/>
      </c>
      <c r="O1593" s="5">
        <f>IF(AND($A1593&gt;=DATE(2022,1,1),$A1593&lt;=DATE(2022,10,31)),$M1593,"")</f>
        <v/>
      </c>
      <c r="P1593" s="5">
        <f>IF(AND($A1593&gt;=DATE(2018,10,1),$A1593&lt;=DATE(2018,12,31)),$M1593,"")</f>
        <v/>
      </c>
      <c r="Q1593" s="5">
        <f>SUMPRODUCT(Exposures!$B$8:$K$8,B1593:K1593)</f>
        <v/>
      </c>
      <c r="R1593" s="5">
        <f>SUMPRODUCT(Exposures!$B$9:$K$9,B1593:K1593)</f>
        <v/>
      </c>
      <c r="S1593" s="5">
        <f>SUMPRODUCT(Exposures!$B$10:$K$10,B1593:K1593)</f>
        <v/>
      </c>
    </row>
    <row r="1594">
      <c r="A1594" s="1" t="n">
        <v>44770</v>
      </c>
      <c r="B1594" s="5" t="n">
        <v>0.008655073735339025</v>
      </c>
      <c r="C1594" s="5" t="n">
        <v>-0.0008070206462510365</v>
      </c>
      <c r="D1594" s="5" t="n">
        <v>0.000144957502520272</v>
      </c>
      <c r="E1594" s="5" t="n">
        <v>-0.0005404000851509902</v>
      </c>
      <c r="F1594" s="5" t="n">
        <v>0.00314136323213749</v>
      </c>
      <c r="G1594" s="5" t="n">
        <v>0.01634009628714112</v>
      </c>
      <c r="H1594" s="5" t="n">
        <v>0.00287244342661449</v>
      </c>
      <c r="I1594" s="5" t="n">
        <v>-0.001975357700262882</v>
      </c>
      <c r="J1594" s="5" t="n">
        <v>-0.006410155544864878</v>
      </c>
      <c r="K1594" s="5" t="n">
        <v>-0.01110240347011838</v>
      </c>
      <c r="L1594" s="5" t="n">
        <v>-0.006121170046717492</v>
      </c>
      <c r="M1594" s="5">
        <f>SUMPRODUCT(Exposures!$B$6:$K$6,B1594:K1594)</f>
        <v/>
      </c>
      <c r="N1594" s="5">
        <f>IF(AND($A1594&gt;=DATE(2020,2,1),$A1594&lt;=DATE(2020,5,31)),$M1594,"")</f>
        <v/>
      </c>
      <c r="O1594" s="5">
        <f>IF(AND($A1594&gt;=DATE(2022,1,1),$A1594&lt;=DATE(2022,10,31)),$M1594,"")</f>
        <v/>
      </c>
      <c r="P1594" s="5">
        <f>IF(AND($A1594&gt;=DATE(2018,10,1),$A1594&lt;=DATE(2018,12,31)),$M1594,"")</f>
        <v/>
      </c>
      <c r="Q1594" s="5">
        <f>SUMPRODUCT(Exposures!$B$8:$K$8,B1594:K1594)</f>
        <v/>
      </c>
      <c r="R1594" s="5">
        <f>SUMPRODUCT(Exposures!$B$9:$K$9,B1594:K1594)</f>
        <v/>
      </c>
      <c r="S1594" s="5">
        <f>SUMPRODUCT(Exposures!$B$10:$K$10,B1594:K1594)</f>
        <v/>
      </c>
    </row>
    <row r="1595">
      <c r="A1595" s="1" t="n">
        <v>44771</v>
      </c>
      <c r="B1595" s="5" t="n">
        <v>0.0108819097871769</v>
      </c>
      <c r="C1595" s="5" t="n">
        <v>-0.002891470113142786</v>
      </c>
      <c r="D1595" s="5" t="n">
        <v>-0.0004763882269845722</v>
      </c>
      <c r="E1595" s="5" t="n">
        <v>-0.001706085241435006</v>
      </c>
      <c r="F1595" s="5" t="n">
        <v>0.01279582758546068</v>
      </c>
      <c r="G1595" s="5" t="n">
        <v>0.008613880901198502</v>
      </c>
      <c r="H1595" s="5" t="n">
        <v>0.01314201680061968</v>
      </c>
      <c r="I1595" s="5" t="n">
        <v>0.005492528123669739</v>
      </c>
      <c r="J1595" s="5" t="n">
        <v>-0.007925320085640442</v>
      </c>
      <c r="K1595" s="5" t="n">
        <v>-0.02162620383959867</v>
      </c>
      <c r="L1595" s="5" t="n">
        <v>0.002388197033466629</v>
      </c>
      <c r="M1595" s="5">
        <f>SUMPRODUCT(Exposures!$B$6:$K$6,B1595:K1595)</f>
        <v/>
      </c>
      <c r="N1595" s="5">
        <f>IF(AND($A1595&gt;=DATE(2020,2,1),$A1595&lt;=DATE(2020,5,31)),$M1595,"")</f>
        <v/>
      </c>
      <c r="O1595" s="5">
        <f>IF(AND($A1595&gt;=DATE(2022,1,1),$A1595&lt;=DATE(2022,10,31)),$M1595,"")</f>
        <v/>
      </c>
      <c r="P1595" s="5">
        <f>IF(AND($A1595&gt;=DATE(2018,10,1),$A1595&lt;=DATE(2018,12,31)),$M1595,"")</f>
        <v/>
      </c>
      <c r="Q1595" s="5">
        <f>SUMPRODUCT(Exposures!$B$8:$K$8,B1595:K1595)</f>
        <v/>
      </c>
      <c r="R1595" s="5">
        <f>SUMPRODUCT(Exposures!$B$9:$K$9,B1595:K1595)</f>
        <v/>
      </c>
      <c r="S1595" s="5">
        <f>SUMPRODUCT(Exposures!$B$10:$K$10,B1595:K1595)</f>
        <v/>
      </c>
    </row>
    <row r="1596">
      <c r="A1596" s="1" t="n">
        <v>44774</v>
      </c>
      <c r="B1596" s="5" t="n">
        <v>0.002765230275758127</v>
      </c>
      <c r="C1596" s="5" t="n">
        <v>-0.001361568919132733</v>
      </c>
      <c r="D1596" s="5" t="n">
        <v>0.001748689547251559</v>
      </c>
      <c r="E1596" s="5" t="n">
        <v>-0.0001496736388867468</v>
      </c>
      <c r="F1596" s="5" t="n">
        <v>0.004781277592772096</v>
      </c>
      <c r="G1596" s="5" t="n">
        <v>-0.002404366540181399</v>
      </c>
      <c r="H1596" s="5" t="n">
        <v>-0.002206562835827743</v>
      </c>
      <c r="I1596" s="5" t="n">
        <v>0.0002524524265984917</v>
      </c>
      <c r="J1596" s="5" t="n">
        <v>-0.004298605437341169</v>
      </c>
      <c r="K1596" s="5" t="n">
        <v>-0.005789351397255728</v>
      </c>
      <c r="L1596" s="5" t="n">
        <v>-0.002578772857320407</v>
      </c>
      <c r="M1596" s="5">
        <f>SUMPRODUCT(Exposures!$B$6:$K$6,B1596:K1596)</f>
        <v/>
      </c>
      <c r="N1596" s="5">
        <f>IF(AND($A1596&gt;=DATE(2020,2,1),$A1596&lt;=DATE(2020,5,31)),$M1596,"")</f>
        <v/>
      </c>
      <c r="O1596" s="5">
        <f>IF(AND($A1596&gt;=DATE(2022,1,1),$A1596&lt;=DATE(2022,10,31)),$M1596,"")</f>
        <v/>
      </c>
      <c r="P1596" s="5">
        <f>IF(AND($A1596&gt;=DATE(2018,10,1),$A1596&lt;=DATE(2018,12,31)),$M1596,"")</f>
        <v/>
      </c>
      <c r="Q1596" s="5">
        <f>SUMPRODUCT(Exposures!$B$8:$K$8,B1596:K1596)</f>
        <v/>
      </c>
      <c r="R1596" s="5">
        <f>SUMPRODUCT(Exposures!$B$9:$K$9,B1596:K1596)</f>
        <v/>
      </c>
      <c r="S1596" s="5">
        <f>SUMPRODUCT(Exposures!$B$10:$K$10,B1596:K1596)</f>
        <v/>
      </c>
    </row>
    <row r="1597">
      <c r="A1597" s="1" t="n">
        <v>44775</v>
      </c>
      <c r="B1597" s="5" t="n">
        <v>0.0007413817916705197</v>
      </c>
      <c r="C1597" s="5" t="n">
        <v>-0.005082033525853551</v>
      </c>
      <c r="D1597" s="5" t="n">
        <v>-0.001550953798698909</v>
      </c>
      <c r="E1597" s="5" t="n">
        <v>0.0002778744481034551</v>
      </c>
      <c r="F1597" s="5" t="n">
        <v>-0.005778897532117322</v>
      </c>
      <c r="G1597" s="5" t="n">
        <v>-0.0005729800001738035</v>
      </c>
      <c r="H1597" s="5" t="n">
        <v>0.001625116162509468</v>
      </c>
      <c r="I1597" s="5" t="n">
        <v>0.001504640312423298</v>
      </c>
      <c r="J1597" s="5" t="n">
        <v>0.01127218280910223</v>
      </c>
      <c r="K1597" s="5" t="n">
        <v>0.007061815008720001</v>
      </c>
      <c r="L1597" s="5" t="n">
        <v>0.00139661897981957</v>
      </c>
      <c r="M1597" s="5">
        <f>SUMPRODUCT(Exposures!$B$6:$K$6,B1597:K1597)</f>
        <v/>
      </c>
      <c r="N1597" s="5">
        <f>IF(AND($A1597&gt;=DATE(2020,2,1),$A1597&lt;=DATE(2020,5,31)),$M1597,"")</f>
        <v/>
      </c>
      <c r="O1597" s="5">
        <f>IF(AND($A1597&gt;=DATE(2022,1,1),$A1597&lt;=DATE(2022,10,31)),$M1597,"")</f>
        <v/>
      </c>
      <c r="P1597" s="5">
        <f>IF(AND($A1597&gt;=DATE(2018,10,1),$A1597&lt;=DATE(2018,12,31)),$M1597,"")</f>
        <v/>
      </c>
      <c r="Q1597" s="5">
        <f>SUMPRODUCT(Exposures!$B$8:$K$8,B1597:K1597)</f>
        <v/>
      </c>
      <c r="R1597" s="5">
        <f>SUMPRODUCT(Exposures!$B$9:$K$9,B1597:K1597)</f>
        <v/>
      </c>
      <c r="S1597" s="5">
        <f>SUMPRODUCT(Exposures!$B$10:$K$10,B1597:K1597)</f>
        <v/>
      </c>
    </row>
    <row r="1598">
      <c r="A1598" s="1" t="n">
        <v>44776</v>
      </c>
      <c r="B1598" s="5" t="n">
        <v>0.0007081791459746401</v>
      </c>
      <c r="C1598" s="5" t="n">
        <v>-0.003487652571705179</v>
      </c>
      <c r="D1598" s="5" t="n">
        <v>0.001642910981492938</v>
      </c>
      <c r="E1598" s="5" t="n">
        <v>-0.0004015430838423442</v>
      </c>
      <c r="F1598" s="5" t="n">
        <v>-0.004599639843020711</v>
      </c>
      <c r="G1598" s="5" t="n">
        <v>0.01857294154667271</v>
      </c>
      <c r="H1598" s="5" t="n">
        <v>-0.005427686559790547</v>
      </c>
      <c r="I1598" s="5" t="n">
        <v>-0.001651776707235293</v>
      </c>
      <c r="J1598" s="5" t="n">
        <v>0.009622006085951221</v>
      </c>
      <c r="K1598" s="5" t="n">
        <v>0.01069204428217336</v>
      </c>
      <c r="L1598" s="5" t="n">
        <v>0.004110190719501153</v>
      </c>
      <c r="M1598" s="5">
        <f>SUMPRODUCT(Exposures!$B$6:$K$6,B1598:K1598)</f>
        <v/>
      </c>
      <c r="N1598" s="5">
        <f>IF(AND($A1598&gt;=DATE(2020,2,1),$A1598&lt;=DATE(2020,5,31)),$M1598,"")</f>
        <v/>
      </c>
      <c r="O1598" s="5">
        <f>IF(AND($A1598&gt;=DATE(2022,1,1),$A1598&lt;=DATE(2022,10,31)),$M1598,"")</f>
        <v/>
      </c>
      <c r="P1598" s="5">
        <f>IF(AND($A1598&gt;=DATE(2018,10,1),$A1598&lt;=DATE(2018,12,31)),$M1598,"")</f>
        <v/>
      </c>
      <c r="Q1598" s="5">
        <f>SUMPRODUCT(Exposures!$B$8:$K$8,B1598:K1598)</f>
        <v/>
      </c>
      <c r="R1598" s="5">
        <f>SUMPRODUCT(Exposures!$B$9:$K$9,B1598:K1598)</f>
        <v/>
      </c>
      <c r="S1598" s="5">
        <f>SUMPRODUCT(Exposures!$B$10:$K$10,B1598:K1598)</f>
        <v/>
      </c>
    </row>
    <row r="1599">
      <c r="A1599" s="1" t="n">
        <v>44777</v>
      </c>
      <c r="B1599" s="5" t="n">
        <v>-0.002272721411441134</v>
      </c>
      <c r="C1599" s="5" t="n">
        <v>-0.002288799372385266</v>
      </c>
      <c r="D1599" s="5" t="n">
        <v>0.003847625039066998</v>
      </c>
      <c r="E1599" s="5" t="n">
        <v>-0.003237738667500868</v>
      </c>
      <c r="F1599" s="5" t="n">
        <v>0.006671869699883395</v>
      </c>
      <c r="G1599" s="5" t="n">
        <v>0.003982578049907653</v>
      </c>
      <c r="H1599" s="5" t="n">
        <v>-0.006153685678949125</v>
      </c>
      <c r="I1599" s="5" t="n">
        <v>0.003751445828041192</v>
      </c>
      <c r="J1599" s="5" t="n">
        <v>0.008029422682921802</v>
      </c>
      <c r="K1599" s="5" t="n">
        <v>-0.005065441280839198</v>
      </c>
      <c r="L1599" s="5" t="n">
        <v>-0.003794473770461215</v>
      </c>
      <c r="M1599" s="5">
        <f>SUMPRODUCT(Exposures!$B$6:$K$6,B1599:K1599)</f>
        <v/>
      </c>
      <c r="N1599" s="5">
        <f>IF(AND($A1599&gt;=DATE(2020,2,1),$A1599&lt;=DATE(2020,5,31)),$M1599,"")</f>
        <v/>
      </c>
      <c r="O1599" s="5">
        <f>IF(AND($A1599&gt;=DATE(2022,1,1),$A1599&lt;=DATE(2022,10,31)),$M1599,"")</f>
        <v/>
      </c>
      <c r="P1599" s="5">
        <f>IF(AND($A1599&gt;=DATE(2018,10,1),$A1599&lt;=DATE(2018,12,31)),$M1599,"")</f>
        <v/>
      </c>
      <c r="Q1599" s="5">
        <f>SUMPRODUCT(Exposures!$B$8:$K$8,B1599:K1599)</f>
        <v/>
      </c>
      <c r="R1599" s="5">
        <f>SUMPRODUCT(Exposures!$B$9:$K$9,B1599:K1599)</f>
        <v/>
      </c>
      <c r="S1599" s="5">
        <f>SUMPRODUCT(Exposures!$B$10:$K$10,B1599:K1599)</f>
        <v/>
      </c>
    </row>
    <row r="1600">
      <c r="A1600" s="1" t="n">
        <v>44778</v>
      </c>
      <c r="B1600" s="5" t="n">
        <v>0.004096550422611622</v>
      </c>
      <c r="C1600" s="5" t="n">
        <v>-0.002208775626298491</v>
      </c>
      <c r="D1600" s="5" t="n">
        <v>0.0003096436769405693</v>
      </c>
      <c r="E1600" s="5" t="n">
        <v>0.0001911323183996857</v>
      </c>
      <c r="F1600" s="5" t="n">
        <v>0.000915919619536618</v>
      </c>
      <c r="G1600" s="5" t="n">
        <v>0.003682269331915492</v>
      </c>
      <c r="H1600" s="5" t="n">
        <v>0.008304183805442625</v>
      </c>
      <c r="I1600" s="5" t="n">
        <v>0.003378918761874536</v>
      </c>
      <c r="J1600" s="5" t="n">
        <v>-0.0007588835878078954</v>
      </c>
      <c r="K1600" s="5" t="n">
        <v>-0.007284051710382428</v>
      </c>
      <c r="L1600" s="5" t="n">
        <v>0.001487723127553439</v>
      </c>
      <c r="M1600" s="5">
        <f>SUMPRODUCT(Exposures!$B$6:$K$6,B1600:K1600)</f>
        <v/>
      </c>
      <c r="N1600" s="5">
        <f>IF(AND($A1600&gt;=DATE(2020,2,1),$A1600&lt;=DATE(2020,5,31)),$M1600,"")</f>
        <v/>
      </c>
      <c r="O1600" s="5">
        <f>IF(AND($A1600&gt;=DATE(2022,1,1),$A1600&lt;=DATE(2022,10,31)),$M1600,"")</f>
        <v/>
      </c>
      <c r="P1600" s="5">
        <f>IF(AND($A1600&gt;=DATE(2018,10,1),$A1600&lt;=DATE(2018,12,31)),$M1600,"")</f>
        <v/>
      </c>
      <c r="Q1600" s="5">
        <f>SUMPRODUCT(Exposures!$B$8:$K$8,B1600:K1600)</f>
        <v/>
      </c>
      <c r="R1600" s="5">
        <f>SUMPRODUCT(Exposures!$B$9:$K$9,B1600:K1600)</f>
        <v/>
      </c>
      <c r="S1600" s="5">
        <f>SUMPRODUCT(Exposures!$B$10:$K$10,B1600:K1600)</f>
        <v/>
      </c>
    </row>
    <row r="1601">
      <c r="A1601" s="1" t="n">
        <v>44781</v>
      </c>
      <c r="B1601" s="5" t="n">
        <v>-0.003771242936110401</v>
      </c>
      <c r="C1601" s="5" t="n">
        <v>-0.0005983704361511182</v>
      </c>
      <c r="D1601" s="5" t="n">
        <v>0.002691477587963425</v>
      </c>
      <c r="E1601" s="5" t="n">
        <v>0.001288269758526887</v>
      </c>
      <c r="F1601" s="5" t="n">
        <v>0.01086584808686516</v>
      </c>
      <c r="G1601" s="5" t="n">
        <v>0.004692339765587397</v>
      </c>
      <c r="H1601" s="5" t="n">
        <v>-0.0007721432892506259</v>
      </c>
      <c r="I1601" s="5" t="n">
        <v>-1.704424698058699e-05</v>
      </c>
      <c r="J1601" s="5" t="n">
        <v>0.0008310694359501664</v>
      </c>
      <c r="K1601" s="5" t="n">
        <v>-0.01431248102583424</v>
      </c>
      <c r="L1601" s="5" t="n">
        <v>-0.004375460322748578</v>
      </c>
      <c r="M1601" s="5">
        <f>SUMPRODUCT(Exposures!$B$6:$K$6,B1601:K1601)</f>
        <v/>
      </c>
      <c r="N1601" s="5">
        <f>IF(AND($A1601&gt;=DATE(2020,2,1),$A1601&lt;=DATE(2020,5,31)),$M1601,"")</f>
        <v/>
      </c>
      <c r="O1601" s="5">
        <f>IF(AND($A1601&gt;=DATE(2022,1,1),$A1601&lt;=DATE(2022,10,31)),$M1601,"")</f>
        <v/>
      </c>
      <c r="P1601" s="5">
        <f>IF(AND($A1601&gt;=DATE(2018,10,1),$A1601&lt;=DATE(2018,12,31)),$M1601,"")</f>
        <v/>
      </c>
      <c r="Q1601" s="5">
        <f>SUMPRODUCT(Exposures!$B$8:$K$8,B1601:K1601)</f>
        <v/>
      </c>
      <c r="R1601" s="5">
        <f>SUMPRODUCT(Exposures!$B$9:$K$9,B1601:K1601)</f>
        <v/>
      </c>
      <c r="S1601" s="5">
        <f>SUMPRODUCT(Exposures!$B$10:$K$10,B1601:K1601)</f>
        <v/>
      </c>
    </row>
    <row r="1602">
      <c r="A1602" s="1" t="n">
        <v>44782</v>
      </c>
      <c r="B1602" s="5" t="n">
        <v>-0.005158548607836797</v>
      </c>
      <c r="C1602" s="5" t="n">
        <v>-0.0009251855750832168</v>
      </c>
      <c r="D1602" s="5" t="n">
        <v>-0.002498446252189355</v>
      </c>
      <c r="E1602" s="5" t="n">
        <v>0.00214093528913367</v>
      </c>
      <c r="F1602" s="5" t="n">
        <v>-0.009235571776633787</v>
      </c>
      <c r="G1602" s="5" t="n">
        <v>-0.00861309309136437</v>
      </c>
      <c r="H1602" s="5" t="n">
        <v>0.01004111478816567</v>
      </c>
      <c r="I1602" s="5" t="n">
        <v>7.742530707103494e-05</v>
      </c>
      <c r="J1602" s="5" t="n">
        <v>0.002504443802023571</v>
      </c>
      <c r="K1602" s="5" t="n">
        <v>0.0120871931011132</v>
      </c>
      <c r="L1602" s="5" t="n">
        <v>0.005318235800861881</v>
      </c>
      <c r="M1602" s="5">
        <f>SUMPRODUCT(Exposures!$B$6:$K$6,B1602:K1602)</f>
        <v/>
      </c>
      <c r="N1602" s="5">
        <f>IF(AND($A1602&gt;=DATE(2020,2,1),$A1602&lt;=DATE(2020,5,31)),$M1602,"")</f>
        <v/>
      </c>
      <c r="O1602" s="5">
        <f>IF(AND($A1602&gt;=DATE(2022,1,1),$A1602&lt;=DATE(2022,10,31)),$M1602,"")</f>
        <v/>
      </c>
      <c r="P1602" s="5">
        <f>IF(AND($A1602&gt;=DATE(2018,10,1),$A1602&lt;=DATE(2018,12,31)),$M1602,"")</f>
        <v/>
      </c>
      <c r="Q1602" s="5">
        <f>SUMPRODUCT(Exposures!$B$8:$K$8,B1602:K1602)</f>
        <v/>
      </c>
      <c r="R1602" s="5">
        <f>SUMPRODUCT(Exposures!$B$9:$K$9,B1602:K1602)</f>
        <v/>
      </c>
      <c r="S1602" s="5">
        <f>SUMPRODUCT(Exposures!$B$10:$K$10,B1602:K1602)</f>
        <v/>
      </c>
    </row>
    <row r="1603">
      <c r="A1603" s="1" t="n">
        <v>44783</v>
      </c>
      <c r="B1603" s="5" t="n">
        <v>0.0118181109945979</v>
      </c>
      <c r="C1603" s="5" t="n">
        <v>-0.000492202111098516</v>
      </c>
      <c r="D1603" s="5" t="n">
        <v>-0.002013120030965885</v>
      </c>
      <c r="E1603" s="5" t="n">
        <v>0.004369447999355747</v>
      </c>
      <c r="F1603" s="5" t="n">
        <v>0.0076452519011649</v>
      </c>
      <c r="G1603" s="5" t="n">
        <v>0.0289096419965091</v>
      </c>
      <c r="H1603" s="5" t="n">
        <v>-0.004872585467995806</v>
      </c>
      <c r="I1603" s="5" t="n">
        <v>0.0005355592938781368</v>
      </c>
      <c r="J1603" s="5" t="n">
        <v>0.001894997783565095</v>
      </c>
      <c r="K1603" s="5" t="n">
        <v>-0.01050365076519095</v>
      </c>
      <c r="L1603" s="5" t="n">
        <v>-0.001187129025228551</v>
      </c>
      <c r="M1603" s="5">
        <f>SUMPRODUCT(Exposures!$B$6:$K$6,B1603:K1603)</f>
        <v/>
      </c>
      <c r="N1603" s="5">
        <f>IF(AND($A1603&gt;=DATE(2020,2,1),$A1603&lt;=DATE(2020,5,31)),$M1603,"")</f>
        <v/>
      </c>
      <c r="O1603" s="5">
        <f>IF(AND($A1603&gt;=DATE(2022,1,1),$A1603&lt;=DATE(2022,10,31)),$M1603,"")</f>
        <v/>
      </c>
      <c r="P1603" s="5">
        <f>IF(AND($A1603&gt;=DATE(2018,10,1),$A1603&lt;=DATE(2018,12,31)),$M1603,"")</f>
        <v/>
      </c>
      <c r="Q1603" s="5">
        <f>SUMPRODUCT(Exposures!$B$8:$K$8,B1603:K1603)</f>
        <v/>
      </c>
      <c r="R1603" s="5">
        <f>SUMPRODUCT(Exposures!$B$9:$K$9,B1603:K1603)</f>
        <v/>
      </c>
      <c r="S1603" s="5">
        <f>SUMPRODUCT(Exposures!$B$10:$K$10,B1603:K1603)</f>
        <v/>
      </c>
    </row>
    <row r="1604">
      <c r="A1604" s="1" t="n">
        <v>44784</v>
      </c>
      <c r="B1604" s="5" t="n">
        <v>-0.001772757071885823</v>
      </c>
      <c r="C1604" s="5" t="n">
        <v>0.001558963074691309</v>
      </c>
      <c r="D1604" s="5" t="n">
        <v>-0.007863541611714632</v>
      </c>
      <c r="E1604" s="5" t="n">
        <v>-0.0005462663508884899</v>
      </c>
      <c r="F1604" s="5" t="n">
        <v>-0.002908255058683281</v>
      </c>
      <c r="G1604" s="5" t="n">
        <v>0.00316508757916371</v>
      </c>
      <c r="H1604" s="5" t="n">
        <v>-0.0004512628785870662</v>
      </c>
      <c r="I1604" s="5" t="n">
        <v>-0.0002636750407972321</v>
      </c>
      <c r="J1604" s="5" t="n">
        <v>0.003643672255560458</v>
      </c>
      <c r="K1604" s="5" t="n">
        <v>0.003683255687021166</v>
      </c>
      <c r="L1604" s="5" t="n">
        <v>0.006103521288819119</v>
      </c>
      <c r="M1604" s="5">
        <f>SUMPRODUCT(Exposures!$B$6:$K$6,B1604:K1604)</f>
        <v/>
      </c>
      <c r="N1604" s="5">
        <f>IF(AND($A1604&gt;=DATE(2020,2,1),$A1604&lt;=DATE(2020,5,31)),$M1604,"")</f>
        <v/>
      </c>
      <c r="O1604" s="5">
        <f>IF(AND($A1604&gt;=DATE(2022,1,1),$A1604&lt;=DATE(2022,10,31)),$M1604,"")</f>
        <v/>
      </c>
      <c r="P1604" s="5">
        <f>IF(AND($A1604&gt;=DATE(2018,10,1),$A1604&lt;=DATE(2018,12,31)),$M1604,"")</f>
        <v/>
      </c>
      <c r="Q1604" s="5">
        <f>SUMPRODUCT(Exposures!$B$8:$K$8,B1604:K1604)</f>
        <v/>
      </c>
      <c r="R1604" s="5">
        <f>SUMPRODUCT(Exposures!$B$9:$K$9,B1604:K1604)</f>
        <v/>
      </c>
      <c r="S1604" s="5">
        <f>SUMPRODUCT(Exposures!$B$10:$K$10,B1604:K1604)</f>
        <v/>
      </c>
    </row>
    <row r="1605">
      <c r="A1605" s="1" t="n">
        <v>44785</v>
      </c>
      <c r="B1605" s="5" t="n">
        <v>0.00460723980994582</v>
      </c>
      <c r="C1605" s="5" t="n">
        <v>-0.003723988993426587</v>
      </c>
      <c r="D1605" s="5" t="n">
        <v>0.0009417105436432768</v>
      </c>
      <c r="E1605" s="5" t="n">
        <v>-0.0009034504139260264</v>
      </c>
      <c r="F1605" s="5" t="n">
        <v>0.003807578232372173</v>
      </c>
      <c r="G1605" s="5" t="n">
        <v>0.01756334778838726</v>
      </c>
      <c r="H1605" s="5" t="n">
        <v>-0.001292651879727358</v>
      </c>
      <c r="I1605" s="5" t="n">
        <v>0.002433900701387881</v>
      </c>
      <c r="J1605" s="5" t="n">
        <v>-0.003331581436094825</v>
      </c>
      <c r="K1605" s="5" t="n">
        <v>-0.005810648765151137</v>
      </c>
      <c r="L1605" s="5" t="n">
        <v>0.0001723683162657664</v>
      </c>
      <c r="M1605" s="5">
        <f>SUMPRODUCT(Exposures!$B$6:$K$6,B1605:K1605)</f>
        <v/>
      </c>
      <c r="N1605" s="5">
        <f>IF(AND($A1605&gt;=DATE(2020,2,1),$A1605&lt;=DATE(2020,5,31)),$M1605,"")</f>
        <v/>
      </c>
      <c r="O1605" s="5">
        <f>IF(AND($A1605&gt;=DATE(2022,1,1),$A1605&lt;=DATE(2022,10,31)),$M1605,"")</f>
        <v/>
      </c>
      <c r="P1605" s="5">
        <f>IF(AND($A1605&gt;=DATE(2018,10,1),$A1605&lt;=DATE(2018,12,31)),$M1605,"")</f>
        <v/>
      </c>
      <c r="Q1605" s="5">
        <f>SUMPRODUCT(Exposures!$B$8:$K$8,B1605:K1605)</f>
        <v/>
      </c>
      <c r="R1605" s="5">
        <f>SUMPRODUCT(Exposures!$B$9:$K$9,B1605:K1605)</f>
        <v/>
      </c>
      <c r="S1605" s="5">
        <f>SUMPRODUCT(Exposures!$B$10:$K$10,B1605:K1605)</f>
        <v/>
      </c>
    </row>
    <row r="1606">
      <c r="A1606" s="1" t="n">
        <v>44788</v>
      </c>
      <c r="B1606" s="5" t="n">
        <v>-0.0005392298338242959</v>
      </c>
      <c r="C1606" s="5" t="n">
        <v>-0.001764845635485628</v>
      </c>
      <c r="D1606" s="5" t="n">
        <v>0.002208269429280478</v>
      </c>
      <c r="E1606" s="5" t="n">
        <v>0.0006383745995746968</v>
      </c>
      <c r="F1606" s="5" t="n">
        <v>-0.002633681828455004</v>
      </c>
      <c r="G1606" s="5" t="n">
        <v>0.003012116839893988</v>
      </c>
      <c r="H1606" s="5" t="n">
        <v>-0.00154307552062618</v>
      </c>
      <c r="I1606" s="5" t="n">
        <v>0.0006315884426111661</v>
      </c>
      <c r="J1606" s="5" t="n">
        <v>-0.002158513575944873</v>
      </c>
      <c r="K1606" s="5" t="n">
        <v>-0.0001330045917882619</v>
      </c>
      <c r="L1606" s="5" t="n">
        <v>-0.002390136739505366</v>
      </c>
      <c r="M1606" s="5">
        <f>SUMPRODUCT(Exposures!$B$6:$K$6,B1606:K1606)</f>
        <v/>
      </c>
      <c r="N1606" s="5">
        <f>IF(AND($A1606&gt;=DATE(2020,2,1),$A1606&lt;=DATE(2020,5,31)),$M1606,"")</f>
        <v/>
      </c>
      <c r="O1606" s="5">
        <f>IF(AND($A1606&gt;=DATE(2022,1,1),$A1606&lt;=DATE(2022,10,31)),$M1606,"")</f>
        <v/>
      </c>
      <c r="P1606" s="5">
        <f>IF(AND($A1606&gt;=DATE(2018,10,1),$A1606&lt;=DATE(2018,12,31)),$M1606,"")</f>
        <v/>
      </c>
      <c r="Q1606" s="5">
        <f>SUMPRODUCT(Exposures!$B$8:$K$8,B1606:K1606)</f>
        <v/>
      </c>
      <c r="R1606" s="5">
        <f>SUMPRODUCT(Exposures!$B$9:$K$9,B1606:K1606)</f>
        <v/>
      </c>
      <c r="S1606" s="5">
        <f>SUMPRODUCT(Exposures!$B$10:$K$10,B1606:K1606)</f>
        <v/>
      </c>
    </row>
    <row r="1607">
      <c r="A1607" s="1" t="n">
        <v>44789</v>
      </c>
      <c r="B1607" s="5" t="n">
        <v>-0.003545026060097582</v>
      </c>
      <c r="C1607" s="5" t="n">
        <v>0.002797678549493461</v>
      </c>
      <c r="D1607" s="5" t="n">
        <v>0.0005204765971716223</v>
      </c>
      <c r="E1607" s="5" t="n">
        <v>0.0007406505671156023</v>
      </c>
      <c r="F1607" s="5" t="n">
        <v>0.008208809800731919</v>
      </c>
      <c r="G1607" s="5" t="n">
        <v>0.003959547465335517</v>
      </c>
      <c r="H1607" s="5" t="n">
        <v>-0.001161255472987636</v>
      </c>
      <c r="I1607" s="5" t="n">
        <v>0.0001764996214406283</v>
      </c>
      <c r="J1607" s="5" t="n">
        <v>0.0003274005409414553</v>
      </c>
      <c r="K1607" s="5" t="n">
        <v>-0.01043037792502976</v>
      </c>
      <c r="L1607" s="5" t="n">
        <v>-0.0008430366479589924</v>
      </c>
      <c r="M1607" s="5">
        <f>SUMPRODUCT(Exposures!$B$6:$K$6,B1607:K1607)</f>
        <v/>
      </c>
      <c r="N1607" s="5">
        <f>IF(AND($A1607&gt;=DATE(2020,2,1),$A1607&lt;=DATE(2020,5,31)),$M1607,"")</f>
        <v/>
      </c>
      <c r="O1607" s="5">
        <f>IF(AND($A1607&gt;=DATE(2022,1,1),$A1607&lt;=DATE(2022,10,31)),$M1607,"")</f>
        <v/>
      </c>
      <c r="P1607" s="5">
        <f>IF(AND($A1607&gt;=DATE(2018,10,1),$A1607&lt;=DATE(2018,12,31)),$M1607,"")</f>
        <v/>
      </c>
      <c r="Q1607" s="5">
        <f>SUMPRODUCT(Exposures!$B$8:$K$8,B1607:K1607)</f>
        <v/>
      </c>
      <c r="R1607" s="5">
        <f>SUMPRODUCT(Exposures!$B$9:$K$9,B1607:K1607)</f>
        <v/>
      </c>
      <c r="S1607" s="5">
        <f>SUMPRODUCT(Exposures!$B$10:$K$10,B1607:K1607)</f>
        <v/>
      </c>
    </row>
    <row r="1608">
      <c r="A1608" s="1" t="n">
        <v>44790</v>
      </c>
      <c r="B1608" s="5" t="n">
        <v>-0.00336889367616574</v>
      </c>
      <c r="C1608" s="5" t="n">
        <v>-0.0008332938214517719</v>
      </c>
      <c r="D1608" s="5" t="n">
        <v>0.001652378175026953</v>
      </c>
      <c r="E1608" s="5" t="n">
        <v>0.002305792429486269</v>
      </c>
      <c r="F1608" s="5" t="n">
        <v>-0.002518406411851758</v>
      </c>
      <c r="G1608" s="5" t="n">
        <v>-0.01482574754001261</v>
      </c>
      <c r="H1608" s="5" t="n">
        <v>0.00399526354484241</v>
      </c>
      <c r="I1608" s="5" t="n">
        <v>-0.001422975326825126</v>
      </c>
      <c r="J1608" s="5" t="n">
        <v>-0.005805128995710838</v>
      </c>
      <c r="K1608" s="5" t="n">
        <v>0.002505967860192772</v>
      </c>
      <c r="L1608" s="5" t="n">
        <v>-0.001576477606199874</v>
      </c>
      <c r="M1608" s="5">
        <f>SUMPRODUCT(Exposures!$B$6:$K$6,B1608:K1608)</f>
        <v/>
      </c>
      <c r="N1608" s="5">
        <f>IF(AND($A1608&gt;=DATE(2020,2,1),$A1608&lt;=DATE(2020,5,31)),$M1608,"")</f>
        <v/>
      </c>
      <c r="O1608" s="5">
        <f>IF(AND($A1608&gt;=DATE(2022,1,1),$A1608&lt;=DATE(2022,10,31)),$M1608,"")</f>
        <v/>
      </c>
      <c r="P1608" s="5">
        <f>IF(AND($A1608&gt;=DATE(2018,10,1),$A1608&lt;=DATE(2018,12,31)),$M1608,"")</f>
        <v/>
      </c>
      <c r="Q1608" s="5">
        <f>SUMPRODUCT(Exposures!$B$8:$K$8,B1608:K1608)</f>
        <v/>
      </c>
      <c r="R1608" s="5">
        <f>SUMPRODUCT(Exposures!$B$9:$K$9,B1608:K1608)</f>
        <v/>
      </c>
      <c r="S1608" s="5">
        <f>SUMPRODUCT(Exposures!$B$10:$K$10,B1608:K1608)</f>
        <v/>
      </c>
    </row>
    <row r="1609">
      <c r="A1609" s="1" t="n">
        <v>44791</v>
      </c>
      <c r="B1609" s="5" t="n">
        <v>0.004205990602218547</v>
      </c>
      <c r="C1609" s="5" t="n">
        <v>0.001171154242823744</v>
      </c>
      <c r="D1609" s="5" t="n">
        <v>6.602882786137147e-05</v>
      </c>
      <c r="E1609" s="5" t="n">
        <v>0.001528170430313654</v>
      </c>
      <c r="F1609" s="5" t="n">
        <v>0.00262858277754965</v>
      </c>
      <c r="G1609" s="5" t="n">
        <v>0.004001409039913258</v>
      </c>
      <c r="H1609" s="5" t="n">
        <v>0.005842055151208075</v>
      </c>
      <c r="I1609" s="5" t="n">
        <v>-0.001570105083167521</v>
      </c>
      <c r="J1609" s="5" t="n">
        <v>-0.0002933140421373652</v>
      </c>
      <c r="K1609" s="5" t="n">
        <v>-0.002479216385622567</v>
      </c>
      <c r="L1609" s="5" t="n">
        <v>-0.0004886107790612496</v>
      </c>
      <c r="M1609" s="5">
        <f>SUMPRODUCT(Exposures!$B$6:$K$6,B1609:K1609)</f>
        <v/>
      </c>
      <c r="N1609" s="5">
        <f>IF(AND($A1609&gt;=DATE(2020,2,1),$A1609&lt;=DATE(2020,5,31)),$M1609,"")</f>
        <v/>
      </c>
      <c r="O1609" s="5">
        <f>IF(AND($A1609&gt;=DATE(2022,1,1),$A1609&lt;=DATE(2022,10,31)),$M1609,"")</f>
        <v/>
      </c>
      <c r="P1609" s="5">
        <f>IF(AND($A1609&gt;=DATE(2018,10,1),$A1609&lt;=DATE(2018,12,31)),$M1609,"")</f>
        <v/>
      </c>
      <c r="Q1609" s="5">
        <f>SUMPRODUCT(Exposures!$B$8:$K$8,B1609:K1609)</f>
        <v/>
      </c>
      <c r="R1609" s="5">
        <f>SUMPRODUCT(Exposures!$B$9:$K$9,B1609:K1609)</f>
        <v/>
      </c>
      <c r="S1609" s="5">
        <f>SUMPRODUCT(Exposures!$B$10:$K$10,B1609:K1609)</f>
        <v/>
      </c>
    </row>
    <row r="1610">
      <c r="A1610" s="1" t="n">
        <v>44792</v>
      </c>
      <c r="B1610" s="5" t="n">
        <v>-0.008610265105889638</v>
      </c>
      <c r="C1610" s="5" t="n">
        <v>0.001206229302398148</v>
      </c>
      <c r="D1610" s="5" t="n">
        <v>0.002742507636487098</v>
      </c>
      <c r="E1610" s="5" t="n">
        <v>-0.0004514713012973321</v>
      </c>
      <c r="F1610" s="5" t="n">
        <v>-0.003992697119653537</v>
      </c>
      <c r="G1610" s="5" t="n">
        <v>-0.01677448479116271</v>
      </c>
      <c r="H1610" s="5" t="n">
        <v>0.005159209224292136</v>
      </c>
      <c r="I1610" s="5" t="n">
        <v>-0.001343799892884325</v>
      </c>
      <c r="J1610" s="5" t="n">
        <v>0.001860275467302567</v>
      </c>
      <c r="K1610" s="5" t="n">
        <v>0.006435523657951355</v>
      </c>
      <c r="L1610" s="5" t="n">
        <v>-0.000716609529802001</v>
      </c>
      <c r="M1610" s="5">
        <f>SUMPRODUCT(Exposures!$B$6:$K$6,B1610:K1610)</f>
        <v/>
      </c>
      <c r="N1610" s="5">
        <f>IF(AND($A1610&gt;=DATE(2020,2,1),$A1610&lt;=DATE(2020,5,31)),$M1610,"")</f>
        <v/>
      </c>
      <c r="O1610" s="5">
        <f>IF(AND($A1610&gt;=DATE(2022,1,1),$A1610&lt;=DATE(2022,10,31)),$M1610,"")</f>
        <v/>
      </c>
      <c r="P1610" s="5">
        <f>IF(AND($A1610&gt;=DATE(2018,10,1),$A1610&lt;=DATE(2018,12,31)),$M1610,"")</f>
        <v/>
      </c>
      <c r="Q1610" s="5">
        <f>SUMPRODUCT(Exposures!$B$8:$K$8,B1610:K1610)</f>
        <v/>
      </c>
      <c r="R1610" s="5">
        <f>SUMPRODUCT(Exposures!$B$9:$K$9,B1610:K1610)</f>
        <v/>
      </c>
      <c r="S1610" s="5">
        <f>SUMPRODUCT(Exposures!$B$10:$K$10,B1610:K1610)</f>
        <v/>
      </c>
    </row>
    <row r="1611">
      <c r="A1611" s="1" t="n">
        <v>44795</v>
      </c>
      <c r="B1611" s="5" t="n">
        <v>-0.004671104039656891</v>
      </c>
      <c r="C1611" s="5" t="n">
        <v>-0.002345652985215625</v>
      </c>
      <c r="D1611" s="5" t="n">
        <v>0.0007125698213317055</v>
      </c>
      <c r="E1611" s="5" t="n">
        <v>-0.0009997630403460469</v>
      </c>
      <c r="F1611" s="5" t="n">
        <v>-0.005264100855294836</v>
      </c>
      <c r="G1611" s="5" t="n">
        <v>-0.02175350036676038</v>
      </c>
      <c r="H1611" s="5" t="n">
        <v>0.005922076056682023</v>
      </c>
      <c r="I1611" s="5" t="n">
        <v>-0.002122053202315389</v>
      </c>
      <c r="J1611" s="5" t="n">
        <v>0.00444820278791332</v>
      </c>
      <c r="K1611" s="5" t="n">
        <v>0.009210664829063006</v>
      </c>
      <c r="L1611" s="5" t="n">
        <v>0.002212762297764191</v>
      </c>
      <c r="M1611" s="5">
        <f>SUMPRODUCT(Exposures!$B$6:$K$6,B1611:K1611)</f>
        <v/>
      </c>
      <c r="N1611" s="5">
        <f>IF(AND($A1611&gt;=DATE(2020,2,1),$A1611&lt;=DATE(2020,5,31)),$M1611,"")</f>
        <v/>
      </c>
      <c r="O1611" s="5">
        <f>IF(AND($A1611&gt;=DATE(2022,1,1),$A1611&lt;=DATE(2022,10,31)),$M1611,"")</f>
        <v/>
      </c>
      <c r="P1611" s="5">
        <f>IF(AND($A1611&gt;=DATE(2018,10,1),$A1611&lt;=DATE(2018,12,31)),$M1611,"")</f>
        <v/>
      </c>
      <c r="Q1611" s="5">
        <f>SUMPRODUCT(Exposures!$B$8:$K$8,B1611:K1611)</f>
        <v/>
      </c>
      <c r="R1611" s="5">
        <f>SUMPRODUCT(Exposures!$B$9:$K$9,B1611:K1611)</f>
        <v/>
      </c>
      <c r="S1611" s="5">
        <f>SUMPRODUCT(Exposures!$B$10:$K$10,B1611:K1611)</f>
        <v/>
      </c>
    </row>
    <row r="1612">
      <c r="A1612" s="1" t="n">
        <v>44796</v>
      </c>
      <c r="B1612" s="5" t="n">
        <v>0.005929048328404852</v>
      </c>
      <c r="C1612" s="5" t="n">
        <v>0.0009787591583731354</v>
      </c>
      <c r="D1612" s="5" t="n">
        <v>0.0008435713080847115</v>
      </c>
      <c r="E1612" s="5" t="n">
        <v>-0.0008867519978986261</v>
      </c>
      <c r="F1612" s="5" t="n">
        <v>0.004053255796675473</v>
      </c>
      <c r="G1612" s="5" t="n">
        <v>0.0001730343413587166</v>
      </c>
      <c r="H1612" s="5" t="n">
        <v>0.007540501774055887</v>
      </c>
      <c r="I1612" s="5" t="n">
        <v>-0.001284516545103732</v>
      </c>
      <c r="J1612" s="5" t="n">
        <v>0.003099441774545169</v>
      </c>
      <c r="K1612" s="5" t="n">
        <v>-0.004547953600081205</v>
      </c>
      <c r="L1612" s="5" t="n">
        <v>-0.0004067074213127027</v>
      </c>
      <c r="M1612" s="5">
        <f>SUMPRODUCT(Exposures!$B$6:$K$6,B1612:K1612)</f>
        <v/>
      </c>
      <c r="N1612" s="5">
        <f>IF(AND($A1612&gt;=DATE(2020,2,1),$A1612&lt;=DATE(2020,5,31)),$M1612,"")</f>
        <v/>
      </c>
      <c r="O1612" s="5">
        <f>IF(AND($A1612&gt;=DATE(2022,1,1),$A1612&lt;=DATE(2022,10,31)),$M1612,"")</f>
        <v/>
      </c>
      <c r="P1612" s="5">
        <f>IF(AND($A1612&gt;=DATE(2018,10,1),$A1612&lt;=DATE(2018,12,31)),$M1612,"")</f>
        <v/>
      </c>
      <c r="Q1612" s="5">
        <f>SUMPRODUCT(Exposures!$B$8:$K$8,B1612:K1612)</f>
        <v/>
      </c>
      <c r="R1612" s="5">
        <f>SUMPRODUCT(Exposures!$B$9:$K$9,B1612:K1612)</f>
        <v/>
      </c>
      <c r="S1612" s="5">
        <f>SUMPRODUCT(Exposures!$B$10:$K$10,B1612:K1612)</f>
        <v/>
      </c>
    </row>
    <row r="1613">
      <c r="A1613" s="1" t="n">
        <v>44797</v>
      </c>
      <c r="B1613" s="5" t="n">
        <v>0.004781423670699449</v>
      </c>
      <c r="C1613" s="5" t="n">
        <v>-0.001718699009444305</v>
      </c>
      <c r="D1613" s="5" t="n">
        <v>-0.001023817534059273</v>
      </c>
      <c r="E1613" s="5" t="n">
        <v>-0.0007870893580179014</v>
      </c>
      <c r="F1613" s="5" t="n">
        <v>-0.001041680952529989</v>
      </c>
      <c r="G1613" s="5" t="n">
        <v>0.006110794033363075</v>
      </c>
      <c r="H1613" s="5" t="n">
        <v>0.004981210196454137</v>
      </c>
      <c r="I1613" s="5" t="n">
        <v>-0.001583113413661382</v>
      </c>
      <c r="J1613" s="5" t="n">
        <v>0.005585850898718402</v>
      </c>
      <c r="K1613" s="5" t="n">
        <v>0.00261478105417398</v>
      </c>
      <c r="L1613" s="5" t="n">
        <v>0.002645290750666315</v>
      </c>
      <c r="M1613" s="5">
        <f>SUMPRODUCT(Exposures!$B$6:$K$6,B1613:K1613)</f>
        <v/>
      </c>
      <c r="N1613" s="5">
        <f>IF(AND($A1613&gt;=DATE(2020,2,1),$A1613&lt;=DATE(2020,5,31)),$M1613,"")</f>
        <v/>
      </c>
      <c r="O1613" s="5">
        <f>IF(AND($A1613&gt;=DATE(2022,1,1),$A1613&lt;=DATE(2022,10,31)),$M1613,"")</f>
        <v/>
      </c>
      <c r="P1613" s="5">
        <f>IF(AND($A1613&gt;=DATE(2018,10,1),$A1613&lt;=DATE(2018,12,31)),$M1613,"")</f>
        <v/>
      </c>
      <c r="Q1613" s="5">
        <f>SUMPRODUCT(Exposures!$B$8:$K$8,B1613:K1613)</f>
        <v/>
      </c>
      <c r="R1613" s="5">
        <f>SUMPRODUCT(Exposures!$B$9:$K$9,B1613:K1613)</f>
        <v/>
      </c>
      <c r="S1613" s="5">
        <f>SUMPRODUCT(Exposures!$B$10:$K$10,B1613:K1613)</f>
        <v/>
      </c>
    </row>
    <row r="1614">
      <c r="A1614" s="1" t="n">
        <v>44798</v>
      </c>
      <c r="B1614" s="5" t="n">
        <v>0.007077277561980507</v>
      </c>
      <c r="C1614" s="5" t="n">
        <v>0.004451832388323517</v>
      </c>
      <c r="D1614" s="5" t="n">
        <v>-0.002843448869510628</v>
      </c>
      <c r="E1614" s="5" t="n">
        <v>-6.376770587001202e-05</v>
      </c>
      <c r="F1614" s="5" t="n">
        <v>-0.003738515420959809</v>
      </c>
      <c r="G1614" s="5" t="n">
        <v>0.0151897416282079</v>
      </c>
      <c r="H1614" s="5" t="n">
        <v>-0.001488461463286908</v>
      </c>
      <c r="I1614" s="5" t="n">
        <v>-0.002650426425626118</v>
      </c>
      <c r="J1614" s="5" t="n">
        <v>0.005316741531945055</v>
      </c>
      <c r="K1614" s="5" t="n">
        <v>0.01021214530365905</v>
      </c>
      <c r="L1614" s="5" t="n">
        <v>0.003707198866218471</v>
      </c>
      <c r="M1614" s="5">
        <f>SUMPRODUCT(Exposures!$B$6:$K$6,B1614:K1614)</f>
        <v/>
      </c>
      <c r="N1614" s="5">
        <f>IF(AND($A1614&gt;=DATE(2020,2,1),$A1614&lt;=DATE(2020,5,31)),$M1614,"")</f>
        <v/>
      </c>
      <c r="O1614" s="5">
        <f>IF(AND($A1614&gt;=DATE(2022,1,1),$A1614&lt;=DATE(2022,10,31)),$M1614,"")</f>
        <v/>
      </c>
      <c r="P1614" s="5">
        <f>IF(AND($A1614&gt;=DATE(2018,10,1),$A1614&lt;=DATE(2018,12,31)),$M1614,"")</f>
        <v/>
      </c>
      <c r="Q1614" s="5">
        <f>SUMPRODUCT(Exposures!$B$8:$K$8,B1614:K1614)</f>
        <v/>
      </c>
      <c r="R1614" s="5">
        <f>SUMPRODUCT(Exposures!$B$9:$K$9,B1614:K1614)</f>
        <v/>
      </c>
      <c r="S1614" s="5">
        <f>SUMPRODUCT(Exposures!$B$10:$K$10,B1614:K1614)</f>
        <v/>
      </c>
    </row>
    <row r="1615">
      <c r="A1615" s="1" t="n">
        <v>44799</v>
      </c>
      <c r="B1615" s="5" t="n">
        <v>-0.01101145434803105</v>
      </c>
      <c r="C1615" s="5" t="n">
        <v>0.001589642163586865</v>
      </c>
      <c r="D1615" s="5" t="n">
        <v>-0.001556134970438615</v>
      </c>
      <c r="E1615" s="5" t="n">
        <v>0.001368423650813659</v>
      </c>
      <c r="F1615" s="5" t="n">
        <v>-0.008752978526360398</v>
      </c>
      <c r="G1615" s="5" t="n">
        <v>-0.03512073761443085</v>
      </c>
      <c r="H1615" s="5" t="n">
        <v>0.005542050746781255</v>
      </c>
      <c r="I1615" s="5" t="n">
        <v>-0.002183827909806938</v>
      </c>
      <c r="J1615" s="5" t="n">
        <v>0.004552689652215385</v>
      </c>
      <c r="K1615" s="5" t="n">
        <v>0.009912616697112979</v>
      </c>
      <c r="L1615" s="5" t="n">
        <v>0.001421288812793076</v>
      </c>
      <c r="M1615" s="5">
        <f>SUMPRODUCT(Exposures!$B$6:$K$6,B1615:K1615)</f>
        <v/>
      </c>
      <c r="N1615" s="5">
        <f>IF(AND($A1615&gt;=DATE(2020,2,1),$A1615&lt;=DATE(2020,5,31)),$M1615,"")</f>
        <v/>
      </c>
      <c r="O1615" s="5">
        <f>IF(AND($A1615&gt;=DATE(2022,1,1),$A1615&lt;=DATE(2022,10,31)),$M1615,"")</f>
        <v/>
      </c>
      <c r="P1615" s="5">
        <f>IF(AND($A1615&gt;=DATE(2018,10,1),$A1615&lt;=DATE(2018,12,31)),$M1615,"")</f>
        <v/>
      </c>
      <c r="Q1615" s="5">
        <f>SUMPRODUCT(Exposures!$B$8:$K$8,B1615:K1615)</f>
        <v/>
      </c>
      <c r="R1615" s="5">
        <f>SUMPRODUCT(Exposures!$B$9:$K$9,B1615:K1615)</f>
        <v/>
      </c>
      <c r="S1615" s="5">
        <f>SUMPRODUCT(Exposures!$B$10:$K$10,B1615:K1615)</f>
        <v/>
      </c>
    </row>
    <row r="1616">
      <c r="A1616" s="1" t="n">
        <v>44802</v>
      </c>
      <c r="B1616" s="5" t="n">
        <v>-0.003201359327089877</v>
      </c>
      <c r="C1616" s="5" t="n">
        <v>-0.0007641111348850927</v>
      </c>
      <c r="D1616" s="5" t="n">
        <v>0.0009230855631671855</v>
      </c>
      <c r="E1616" s="5" t="n">
        <v>6.874745281678118e-05</v>
      </c>
      <c r="F1616" s="5" t="n">
        <v>-0.003601070448513096</v>
      </c>
      <c r="G1616" s="5" t="n">
        <v>-0.006606572869483348</v>
      </c>
      <c r="H1616" s="5" t="n">
        <v>0.001370340619267875</v>
      </c>
      <c r="I1616" s="5" t="n">
        <v>0.001992596946939965</v>
      </c>
      <c r="J1616" s="5" t="n">
        <v>0.001398048121620661</v>
      </c>
      <c r="K1616" s="5" t="n">
        <v>-7.142790106823001e-05</v>
      </c>
      <c r="L1616" s="5" t="n">
        <v>-0.002916198390064574</v>
      </c>
      <c r="M1616" s="5">
        <f>SUMPRODUCT(Exposures!$B$6:$K$6,B1616:K1616)</f>
        <v/>
      </c>
      <c r="N1616" s="5">
        <f>IF(AND($A1616&gt;=DATE(2020,2,1),$A1616&lt;=DATE(2020,5,31)),$M1616,"")</f>
        <v/>
      </c>
      <c r="O1616" s="5">
        <f>IF(AND($A1616&gt;=DATE(2022,1,1),$A1616&lt;=DATE(2022,10,31)),$M1616,"")</f>
        <v/>
      </c>
      <c r="P1616" s="5">
        <f>IF(AND($A1616&gt;=DATE(2018,10,1),$A1616&lt;=DATE(2018,12,31)),$M1616,"")</f>
        <v/>
      </c>
      <c r="Q1616" s="5">
        <f>SUMPRODUCT(Exposures!$B$8:$K$8,B1616:K1616)</f>
        <v/>
      </c>
      <c r="R1616" s="5">
        <f>SUMPRODUCT(Exposures!$B$9:$K$9,B1616:K1616)</f>
        <v/>
      </c>
      <c r="S1616" s="5">
        <f>SUMPRODUCT(Exposures!$B$10:$K$10,B1616:K1616)</f>
        <v/>
      </c>
    </row>
    <row r="1617">
      <c r="A1617" s="1" t="n">
        <v>44803</v>
      </c>
      <c r="B1617" s="5" t="n">
        <v>0.001997870959192488</v>
      </c>
      <c r="C1617" s="5" t="n">
        <v>-0.001017032425864502</v>
      </c>
      <c r="D1617" s="5" t="n">
        <v>0.003150879672470755</v>
      </c>
      <c r="E1617" s="5" t="n">
        <v>0.001100830478371467</v>
      </c>
      <c r="F1617" s="5" t="n">
        <v>-0.002079619607819124</v>
      </c>
      <c r="G1617" s="5" t="n">
        <v>-0.01183000585686083</v>
      </c>
      <c r="H1617" s="5" t="n">
        <v>-0.003259931799568687</v>
      </c>
      <c r="I1617" s="5" t="n">
        <v>0.0002016387811551303</v>
      </c>
      <c r="J1617" s="5" t="n">
        <v>-0.006196140252035213</v>
      </c>
      <c r="K1617" s="5" t="n">
        <v>0.001272896275747681</v>
      </c>
      <c r="L1617" s="5" t="n">
        <v>0.00115773938800819</v>
      </c>
      <c r="M1617" s="5">
        <f>SUMPRODUCT(Exposures!$B$6:$K$6,B1617:K1617)</f>
        <v/>
      </c>
      <c r="N1617" s="5">
        <f>IF(AND($A1617&gt;=DATE(2020,2,1),$A1617&lt;=DATE(2020,5,31)),$M1617,"")</f>
        <v/>
      </c>
      <c r="O1617" s="5">
        <f>IF(AND($A1617&gt;=DATE(2022,1,1),$A1617&lt;=DATE(2022,10,31)),$M1617,"")</f>
        <v/>
      </c>
      <c r="P1617" s="5">
        <f>IF(AND($A1617&gt;=DATE(2018,10,1),$A1617&lt;=DATE(2018,12,31)),$M1617,"")</f>
        <v/>
      </c>
      <c r="Q1617" s="5">
        <f>SUMPRODUCT(Exposures!$B$8:$K$8,B1617:K1617)</f>
        <v/>
      </c>
      <c r="R1617" s="5">
        <f>SUMPRODUCT(Exposures!$B$9:$K$9,B1617:K1617)</f>
        <v/>
      </c>
      <c r="S1617" s="5">
        <f>SUMPRODUCT(Exposures!$B$10:$K$10,B1617:K1617)</f>
        <v/>
      </c>
    </row>
    <row r="1618">
      <c r="A1618" s="1" t="n">
        <v>44804</v>
      </c>
      <c r="B1618" s="5" t="n">
        <v>-0.002272384353268076</v>
      </c>
      <c r="C1618" s="5" t="n">
        <v>0.0004410274097211843</v>
      </c>
      <c r="D1618" s="5" t="n">
        <v>-0.004154140502469458</v>
      </c>
      <c r="E1618" s="5" t="n">
        <v>0.0005096938320741391</v>
      </c>
      <c r="F1618" s="5" t="n">
        <v>-0.009785997179845914</v>
      </c>
      <c r="G1618" s="5" t="n">
        <v>-0.006289649005502978</v>
      </c>
      <c r="H1618" s="5" t="n">
        <v>-0.001504924738743262</v>
      </c>
      <c r="I1618" s="5" t="n">
        <v>-0.0007824037795652028</v>
      </c>
      <c r="J1618" s="5" t="n">
        <v>0.003481869412006723</v>
      </c>
      <c r="K1618" s="5" t="n">
        <v>0.01073725805463207</v>
      </c>
      <c r="L1618" s="5" t="n">
        <v>0.0006725448650123939</v>
      </c>
      <c r="M1618" s="5">
        <f>SUMPRODUCT(Exposures!$B$6:$K$6,B1618:K1618)</f>
        <v/>
      </c>
      <c r="N1618" s="5">
        <f>IF(AND($A1618&gt;=DATE(2020,2,1),$A1618&lt;=DATE(2020,5,31)),$M1618,"")</f>
        <v/>
      </c>
      <c r="O1618" s="5">
        <f>IF(AND($A1618&gt;=DATE(2022,1,1),$A1618&lt;=DATE(2022,10,31)),$M1618,"")</f>
        <v/>
      </c>
      <c r="P1618" s="5">
        <f>IF(AND($A1618&gt;=DATE(2018,10,1),$A1618&lt;=DATE(2018,12,31)),$M1618,"")</f>
        <v/>
      </c>
      <c r="Q1618" s="5">
        <f>SUMPRODUCT(Exposures!$B$8:$K$8,B1618:K1618)</f>
        <v/>
      </c>
      <c r="R1618" s="5">
        <f>SUMPRODUCT(Exposures!$B$9:$K$9,B1618:K1618)</f>
        <v/>
      </c>
      <c r="S1618" s="5">
        <f>SUMPRODUCT(Exposures!$B$10:$K$10,B1618:K1618)</f>
        <v/>
      </c>
    </row>
    <row r="1619">
      <c r="A1619" s="1" t="n">
        <v>44805</v>
      </c>
      <c r="B1619" s="5" t="n">
        <v>-0.01202110130613642</v>
      </c>
      <c r="C1619" s="5" t="n">
        <v>0.002338586237534788</v>
      </c>
      <c r="D1619" s="5" t="n">
        <v>0.006804499452191408</v>
      </c>
      <c r="E1619" s="5" t="n">
        <v>0.003098996169354584</v>
      </c>
      <c r="F1619" s="5" t="n">
        <v>0.009591825523000176</v>
      </c>
      <c r="G1619" s="5" t="n">
        <v>-0.005063019089767518</v>
      </c>
      <c r="H1619" s="5" t="n">
        <v>-0.005420136029389798</v>
      </c>
      <c r="I1619" s="5" t="n">
        <v>0.00192850670145449</v>
      </c>
      <c r="J1619" s="5" t="n">
        <v>-0.001892354674739742</v>
      </c>
      <c r="K1619" s="5" t="n">
        <v>-0.007531418586709141</v>
      </c>
      <c r="L1619" s="5" t="n">
        <v>-0.005510360653674469</v>
      </c>
      <c r="M1619" s="5">
        <f>SUMPRODUCT(Exposures!$B$6:$K$6,B1619:K1619)</f>
        <v/>
      </c>
      <c r="N1619" s="5">
        <f>IF(AND($A1619&gt;=DATE(2020,2,1),$A1619&lt;=DATE(2020,5,31)),$M1619,"")</f>
        <v/>
      </c>
      <c r="O1619" s="5">
        <f>IF(AND($A1619&gt;=DATE(2022,1,1),$A1619&lt;=DATE(2022,10,31)),$M1619,"")</f>
        <v/>
      </c>
      <c r="P1619" s="5">
        <f>IF(AND($A1619&gt;=DATE(2018,10,1),$A1619&lt;=DATE(2018,12,31)),$M1619,"")</f>
        <v/>
      </c>
      <c r="Q1619" s="5">
        <f>SUMPRODUCT(Exposures!$B$8:$K$8,B1619:K1619)</f>
        <v/>
      </c>
      <c r="R1619" s="5">
        <f>SUMPRODUCT(Exposures!$B$9:$K$9,B1619:K1619)</f>
        <v/>
      </c>
      <c r="S1619" s="5">
        <f>SUMPRODUCT(Exposures!$B$10:$K$10,B1619:K1619)</f>
        <v/>
      </c>
    </row>
    <row r="1620">
      <c r="A1620" s="1" t="n">
        <v>44806</v>
      </c>
      <c r="B1620" s="5" t="n">
        <v>0.0004542413012409378</v>
      </c>
      <c r="C1620" s="5" t="n">
        <v>-0.0008644690941386327</v>
      </c>
      <c r="D1620" s="5" t="n">
        <v>0.002121306059613939</v>
      </c>
      <c r="E1620" s="5" t="n">
        <v>-0.0006166697793411103</v>
      </c>
      <c r="F1620" s="5" t="n">
        <v>0.001364490045111921</v>
      </c>
      <c r="G1620" s="5" t="n">
        <v>-0.006493033900134572</v>
      </c>
      <c r="H1620" s="5" t="n">
        <v>0.002895175225835084</v>
      </c>
      <c r="I1620" s="5" t="n">
        <v>-0.0001779980895657707</v>
      </c>
      <c r="J1620" s="5" t="n">
        <v>0.001390730769903291</v>
      </c>
      <c r="K1620" s="5" t="n">
        <v>-0.003186036828376616</v>
      </c>
      <c r="L1620" s="5" t="n">
        <v>0.002098479718660825</v>
      </c>
      <c r="M1620" s="5">
        <f>SUMPRODUCT(Exposures!$B$6:$K$6,B1620:K1620)</f>
        <v/>
      </c>
      <c r="N1620" s="5">
        <f>IF(AND($A1620&gt;=DATE(2020,2,1),$A1620&lt;=DATE(2020,5,31)),$M1620,"")</f>
        <v/>
      </c>
      <c r="O1620" s="5">
        <f>IF(AND($A1620&gt;=DATE(2022,1,1),$A1620&lt;=DATE(2022,10,31)),$M1620,"")</f>
        <v/>
      </c>
      <c r="P1620" s="5">
        <f>IF(AND($A1620&gt;=DATE(2018,10,1),$A1620&lt;=DATE(2018,12,31)),$M1620,"")</f>
        <v/>
      </c>
      <c r="Q1620" s="5">
        <f>SUMPRODUCT(Exposures!$B$8:$K$8,B1620:K1620)</f>
        <v/>
      </c>
      <c r="R1620" s="5">
        <f>SUMPRODUCT(Exposures!$B$9:$K$9,B1620:K1620)</f>
        <v/>
      </c>
      <c r="S1620" s="5">
        <f>SUMPRODUCT(Exposures!$B$10:$K$10,B1620:K1620)</f>
        <v/>
      </c>
    </row>
    <row r="1621">
      <c r="A1621" s="1" t="n">
        <v>44810</v>
      </c>
      <c r="B1621" s="5" t="n">
        <v>0.001944773425823608</v>
      </c>
      <c r="C1621" s="5" t="n">
        <v>-0.003002356578046531</v>
      </c>
      <c r="D1621" s="5" t="n">
        <v>0.0005803153954585183</v>
      </c>
      <c r="E1621" s="5" t="n">
        <v>0.001032617493860872</v>
      </c>
      <c r="F1621" s="5" t="n">
        <v>0.001897624602416141</v>
      </c>
      <c r="G1621" s="5" t="n">
        <v>-0.005808997788682259</v>
      </c>
      <c r="H1621" s="5" t="n">
        <v>-0.0009332352170563296</v>
      </c>
      <c r="I1621" s="5" t="n">
        <v>-0.002593259033097987</v>
      </c>
      <c r="J1621" s="5" t="n">
        <v>-0.008786665008399638</v>
      </c>
      <c r="K1621" s="5" t="n">
        <v>-0.00332223706065171</v>
      </c>
      <c r="L1621" s="5" t="n">
        <v>-0.0006009568845075697</v>
      </c>
      <c r="M1621" s="5">
        <f>SUMPRODUCT(Exposures!$B$6:$K$6,B1621:K1621)</f>
        <v/>
      </c>
      <c r="N1621" s="5">
        <f>IF(AND($A1621&gt;=DATE(2020,2,1),$A1621&lt;=DATE(2020,5,31)),$M1621,"")</f>
        <v/>
      </c>
      <c r="O1621" s="5">
        <f>IF(AND($A1621&gt;=DATE(2022,1,1),$A1621&lt;=DATE(2022,10,31)),$M1621,"")</f>
        <v/>
      </c>
      <c r="P1621" s="5">
        <f>IF(AND($A1621&gt;=DATE(2018,10,1),$A1621&lt;=DATE(2018,12,31)),$M1621,"")</f>
        <v/>
      </c>
      <c r="Q1621" s="5">
        <f>SUMPRODUCT(Exposures!$B$8:$K$8,B1621:K1621)</f>
        <v/>
      </c>
      <c r="R1621" s="5">
        <f>SUMPRODUCT(Exposures!$B$9:$K$9,B1621:K1621)</f>
        <v/>
      </c>
      <c r="S1621" s="5">
        <f>SUMPRODUCT(Exposures!$B$10:$K$10,B1621:K1621)</f>
        <v/>
      </c>
    </row>
    <row r="1622">
      <c r="A1622" s="1" t="n">
        <v>44811</v>
      </c>
      <c r="B1622" s="5" t="n">
        <v>0.001149099100237341</v>
      </c>
      <c r="C1622" s="5" t="n">
        <v>-0.00215461141344051</v>
      </c>
      <c r="D1622" s="5" t="n">
        <v>-0.0001247681650157925</v>
      </c>
      <c r="E1622" s="5" t="n">
        <v>0.002075966446755091</v>
      </c>
      <c r="F1622" s="5" t="n">
        <v>0.005464945734211608</v>
      </c>
      <c r="G1622" s="5" t="n">
        <v>0.02333308519555564</v>
      </c>
      <c r="H1622" s="5" t="n">
        <v>-0.004868667711996099</v>
      </c>
      <c r="I1622" s="5" t="n">
        <v>-0.004118629893676159</v>
      </c>
      <c r="J1622" s="5" t="n">
        <v>-0.0004257500714184628</v>
      </c>
      <c r="K1622" s="5" t="n">
        <v>-0.00395114852290393</v>
      </c>
      <c r="L1622" s="5" t="n">
        <v>-0.001373960332038517</v>
      </c>
      <c r="M1622" s="5">
        <f>SUMPRODUCT(Exposures!$B$6:$K$6,B1622:K1622)</f>
        <v/>
      </c>
      <c r="N1622" s="5">
        <f>IF(AND($A1622&gt;=DATE(2020,2,1),$A1622&lt;=DATE(2020,5,31)),$M1622,"")</f>
        <v/>
      </c>
      <c r="O1622" s="5">
        <f>IF(AND($A1622&gt;=DATE(2022,1,1),$A1622&lt;=DATE(2022,10,31)),$M1622,"")</f>
        <v/>
      </c>
      <c r="P1622" s="5">
        <f>IF(AND($A1622&gt;=DATE(2018,10,1),$A1622&lt;=DATE(2018,12,31)),$M1622,"")</f>
        <v/>
      </c>
      <c r="Q1622" s="5">
        <f>SUMPRODUCT(Exposures!$B$8:$K$8,B1622:K1622)</f>
        <v/>
      </c>
      <c r="R1622" s="5">
        <f>SUMPRODUCT(Exposures!$B$9:$K$9,B1622:K1622)</f>
        <v/>
      </c>
      <c r="S1622" s="5">
        <f>SUMPRODUCT(Exposures!$B$10:$K$10,B1622:K1622)</f>
        <v/>
      </c>
    </row>
    <row r="1623">
      <c r="A1623" s="1" t="n">
        <v>44812</v>
      </c>
      <c r="B1623" s="5" t="n">
        <v>0.004592719142965931</v>
      </c>
      <c r="C1623" s="5" t="n">
        <v>0.002433492706623182</v>
      </c>
      <c r="D1623" s="5" t="n">
        <v>-0.001618421195628943</v>
      </c>
      <c r="E1623" s="5" t="n">
        <v>0.0008970547352484483</v>
      </c>
      <c r="F1623" s="5" t="n">
        <v>0.003071641115296142</v>
      </c>
      <c r="G1623" s="5" t="n">
        <v>0.01094900776537347</v>
      </c>
      <c r="H1623" s="5" t="n">
        <v>-0.0006013798714814706</v>
      </c>
      <c r="I1623" s="5" t="n">
        <v>0.003631175721134357</v>
      </c>
      <c r="J1623" s="5" t="n">
        <v>0.0005397982046016108</v>
      </c>
      <c r="K1623" s="5" t="n">
        <v>-0.007425792206057425</v>
      </c>
      <c r="L1623" s="5" t="n">
        <v>-0.0007656171265464798</v>
      </c>
      <c r="M1623" s="5">
        <f>SUMPRODUCT(Exposures!$B$6:$K$6,B1623:K1623)</f>
        <v/>
      </c>
      <c r="N1623" s="5">
        <f>IF(AND($A1623&gt;=DATE(2020,2,1),$A1623&lt;=DATE(2020,5,31)),$M1623,"")</f>
        <v/>
      </c>
      <c r="O1623" s="5">
        <f>IF(AND($A1623&gt;=DATE(2022,1,1),$A1623&lt;=DATE(2022,10,31)),$M1623,"")</f>
        <v/>
      </c>
      <c r="P1623" s="5">
        <f>IF(AND($A1623&gt;=DATE(2018,10,1),$A1623&lt;=DATE(2018,12,31)),$M1623,"")</f>
        <v/>
      </c>
      <c r="Q1623" s="5">
        <f>SUMPRODUCT(Exposures!$B$8:$K$8,B1623:K1623)</f>
        <v/>
      </c>
      <c r="R1623" s="5">
        <f>SUMPRODUCT(Exposures!$B$9:$K$9,B1623:K1623)</f>
        <v/>
      </c>
      <c r="S1623" s="5">
        <f>SUMPRODUCT(Exposures!$B$10:$K$10,B1623:K1623)</f>
        <v/>
      </c>
    </row>
    <row r="1624">
      <c r="A1624" s="1" t="n">
        <v>44813</v>
      </c>
      <c r="B1624" s="5" t="n">
        <v>0.006805673577846949</v>
      </c>
      <c r="C1624" s="5" t="n">
        <v>0.00281207812820838</v>
      </c>
      <c r="D1624" s="5" t="n">
        <v>0.0006957653689592612</v>
      </c>
      <c r="E1624" s="5" t="n">
        <v>-0.0002907400186689519</v>
      </c>
      <c r="F1624" s="5" t="n">
        <v>-4.979202113498601e-05</v>
      </c>
      <c r="G1624" s="5" t="n">
        <v>0.01783788472201733</v>
      </c>
      <c r="H1624" s="5" t="n">
        <v>-0.0004444807494758885</v>
      </c>
      <c r="I1624" s="5" t="n">
        <v>0.0004353573027167709</v>
      </c>
      <c r="J1624" s="5" t="n">
        <v>0.003623683390547553</v>
      </c>
      <c r="K1624" s="5" t="n">
        <v>-7.174998680774605e-05</v>
      </c>
      <c r="L1624" s="5" t="n">
        <v>-0.0004480991930919922</v>
      </c>
      <c r="M1624" s="5">
        <f>SUMPRODUCT(Exposures!$B$6:$K$6,B1624:K1624)</f>
        <v/>
      </c>
      <c r="N1624" s="5">
        <f>IF(AND($A1624&gt;=DATE(2020,2,1),$A1624&lt;=DATE(2020,5,31)),$M1624,"")</f>
        <v/>
      </c>
      <c r="O1624" s="5">
        <f>IF(AND($A1624&gt;=DATE(2022,1,1),$A1624&lt;=DATE(2022,10,31)),$M1624,"")</f>
        <v/>
      </c>
      <c r="P1624" s="5">
        <f>IF(AND($A1624&gt;=DATE(2018,10,1),$A1624&lt;=DATE(2018,12,31)),$M1624,"")</f>
        <v/>
      </c>
      <c r="Q1624" s="5">
        <f>SUMPRODUCT(Exposures!$B$8:$K$8,B1624:K1624)</f>
        <v/>
      </c>
      <c r="R1624" s="5">
        <f>SUMPRODUCT(Exposures!$B$9:$K$9,B1624:K1624)</f>
        <v/>
      </c>
      <c r="S1624" s="5">
        <f>SUMPRODUCT(Exposures!$B$10:$K$10,B1624:K1624)</f>
        <v/>
      </c>
    </row>
    <row r="1625">
      <c r="A1625" s="1" t="n">
        <v>44816</v>
      </c>
      <c r="B1625" s="5" t="n">
        <v>0.002206529029764309</v>
      </c>
      <c r="C1625" s="5" t="n">
        <v>-0.004266664456994043</v>
      </c>
      <c r="D1625" s="5" t="n">
        <v>0.001576642186824939</v>
      </c>
      <c r="E1625" s="5" t="n">
        <v>-0.001912025448725091</v>
      </c>
      <c r="F1625" s="5" t="n">
        <v>-0.004488485217479609</v>
      </c>
      <c r="G1625" s="5" t="n">
        <v>0.01037038509595505</v>
      </c>
      <c r="H1625" s="5" t="n">
        <v>-0.00151142896559091</v>
      </c>
      <c r="I1625" s="5" t="n">
        <v>-0.002745195164025448</v>
      </c>
      <c r="J1625" s="5" t="n">
        <v>-0.0005400689469219728</v>
      </c>
      <c r="K1625" s="5" t="n">
        <v>0.006519513291471692</v>
      </c>
      <c r="L1625" s="5" t="n">
        <v>0.005480417316738837</v>
      </c>
      <c r="M1625" s="5">
        <f>SUMPRODUCT(Exposures!$B$6:$K$6,B1625:K1625)</f>
        <v/>
      </c>
      <c r="N1625" s="5">
        <f>IF(AND($A1625&gt;=DATE(2020,2,1),$A1625&lt;=DATE(2020,5,31)),$M1625,"")</f>
        <v/>
      </c>
      <c r="O1625" s="5">
        <f>IF(AND($A1625&gt;=DATE(2022,1,1),$A1625&lt;=DATE(2022,10,31)),$M1625,"")</f>
        <v/>
      </c>
      <c r="P1625" s="5">
        <f>IF(AND($A1625&gt;=DATE(2018,10,1),$A1625&lt;=DATE(2018,12,31)),$M1625,"")</f>
        <v/>
      </c>
      <c r="Q1625" s="5">
        <f>SUMPRODUCT(Exposures!$B$8:$K$8,B1625:K1625)</f>
        <v/>
      </c>
      <c r="R1625" s="5">
        <f>SUMPRODUCT(Exposures!$B$9:$K$9,B1625:K1625)</f>
        <v/>
      </c>
      <c r="S1625" s="5">
        <f>SUMPRODUCT(Exposures!$B$10:$K$10,B1625:K1625)</f>
        <v/>
      </c>
    </row>
    <row r="1626">
      <c r="A1626" s="1" t="n">
        <v>44817</v>
      </c>
      <c r="B1626" s="5" t="n">
        <v>-0.007570343762745384</v>
      </c>
      <c r="C1626" s="5" t="n">
        <v>-0.001541164865003195</v>
      </c>
      <c r="D1626" s="5" t="n">
        <v>-0.001529798574355242</v>
      </c>
      <c r="E1626" s="5" t="n">
        <v>0.0004760639366539802</v>
      </c>
      <c r="F1626" s="5" t="n">
        <v>-0.006603215217223046</v>
      </c>
      <c r="G1626" s="5" t="n">
        <v>-0.04037013212176441</v>
      </c>
      <c r="H1626" s="5" t="n">
        <v>0.007646820300257923</v>
      </c>
      <c r="I1626" s="5" t="n">
        <v>0.0001300577074030826</v>
      </c>
      <c r="J1626" s="5" t="n">
        <v>0.001078612740156389</v>
      </c>
      <c r="K1626" s="5" t="n">
        <v>0.002365939467675918</v>
      </c>
      <c r="L1626" s="5" t="n">
        <v>0.0009928467202324934</v>
      </c>
      <c r="M1626" s="5">
        <f>SUMPRODUCT(Exposures!$B$6:$K$6,B1626:K1626)</f>
        <v/>
      </c>
      <c r="N1626" s="5">
        <f>IF(AND($A1626&gt;=DATE(2020,2,1),$A1626&lt;=DATE(2020,5,31)),$M1626,"")</f>
        <v/>
      </c>
      <c r="O1626" s="5">
        <f>IF(AND($A1626&gt;=DATE(2022,1,1),$A1626&lt;=DATE(2022,10,31)),$M1626,"")</f>
        <v/>
      </c>
      <c r="P1626" s="5">
        <f>IF(AND($A1626&gt;=DATE(2018,10,1),$A1626&lt;=DATE(2018,12,31)),$M1626,"")</f>
        <v/>
      </c>
      <c r="Q1626" s="5">
        <f>SUMPRODUCT(Exposures!$B$8:$K$8,B1626:K1626)</f>
        <v/>
      </c>
      <c r="R1626" s="5">
        <f>SUMPRODUCT(Exposures!$B$9:$K$9,B1626:K1626)</f>
        <v/>
      </c>
      <c r="S1626" s="5">
        <f>SUMPRODUCT(Exposures!$B$10:$K$10,B1626:K1626)</f>
        <v/>
      </c>
    </row>
    <row r="1627">
      <c r="A1627" s="1" t="n">
        <v>44818</v>
      </c>
      <c r="B1627" s="5" t="n">
        <v>0.003113763161664695</v>
      </c>
      <c r="C1627" s="5" t="n">
        <v>-0.006768599093943764</v>
      </c>
      <c r="D1627" s="5" t="n">
        <v>0.002028283616297703</v>
      </c>
      <c r="E1627" s="5" t="n">
        <v>4.242524591364938e-05</v>
      </c>
      <c r="F1627" s="5" t="n">
        <v>0.003866745694741216</v>
      </c>
      <c r="G1627" s="5" t="n">
        <v>0.001143527372561829</v>
      </c>
      <c r="H1627" s="5" t="n">
        <v>0.003151252191456112</v>
      </c>
      <c r="I1627" s="5" t="n">
        <v>0.0005747890336568934</v>
      </c>
      <c r="J1627" s="5" t="n">
        <v>-9.346505112420766e-05</v>
      </c>
      <c r="K1627" s="5" t="n">
        <v>-0.003025881328699984</v>
      </c>
      <c r="L1627" s="5" t="n">
        <v>0.0009217504848081728</v>
      </c>
      <c r="M1627" s="5">
        <f>SUMPRODUCT(Exposures!$B$6:$K$6,B1627:K1627)</f>
        <v/>
      </c>
      <c r="N1627" s="5">
        <f>IF(AND($A1627&gt;=DATE(2020,2,1),$A1627&lt;=DATE(2020,5,31)),$M1627,"")</f>
        <v/>
      </c>
      <c r="O1627" s="5">
        <f>IF(AND($A1627&gt;=DATE(2022,1,1),$A1627&lt;=DATE(2022,10,31)),$M1627,"")</f>
        <v/>
      </c>
      <c r="P1627" s="5">
        <f>IF(AND($A1627&gt;=DATE(2018,10,1),$A1627&lt;=DATE(2018,12,31)),$M1627,"")</f>
        <v/>
      </c>
      <c r="Q1627" s="5">
        <f>SUMPRODUCT(Exposures!$B$8:$K$8,B1627:K1627)</f>
        <v/>
      </c>
      <c r="R1627" s="5">
        <f>SUMPRODUCT(Exposures!$B$9:$K$9,B1627:K1627)</f>
        <v/>
      </c>
      <c r="S1627" s="5">
        <f>SUMPRODUCT(Exposures!$B$10:$K$10,B1627:K1627)</f>
        <v/>
      </c>
    </row>
    <row r="1628">
      <c r="A1628" s="1" t="n">
        <v>44819</v>
      </c>
      <c r="B1628" s="5" t="n">
        <v>-0.005648756185629942</v>
      </c>
      <c r="C1628" s="5" t="n">
        <v>-0.001583442119784046</v>
      </c>
      <c r="D1628" s="5" t="n">
        <v>0.001691620593259103</v>
      </c>
      <c r="E1628" s="5" t="n">
        <v>0.00218267685168442</v>
      </c>
      <c r="F1628" s="5" t="n">
        <v>-0.001270469448382034</v>
      </c>
      <c r="G1628" s="5" t="n">
        <v>-0.006526804958665589</v>
      </c>
      <c r="H1628" s="5" t="n">
        <v>-0.0004125858396499264</v>
      </c>
      <c r="I1628" s="5" t="n">
        <v>0.0005158255455439016</v>
      </c>
      <c r="J1628" s="5" t="n">
        <v>0.005395554084988182</v>
      </c>
      <c r="K1628" s="5" t="n">
        <v>0.0005422873661195123</v>
      </c>
      <c r="L1628" s="5" t="n">
        <v>0.005793354383411293</v>
      </c>
      <c r="M1628" s="5">
        <f>SUMPRODUCT(Exposures!$B$6:$K$6,B1628:K1628)</f>
        <v/>
      </c>
      <c r="N1628" s="5">
        <f>IF(AND($A1628&gt;=DATE(2020,2,1),$A1628&lt;=DATE(2020,5,31)),$M1628,"")</f>
        <v/>
      </c>
      <c r="O1628" s="5">
        <f>IF(AND($A1628&gt;=DATE(2022,1,1),$A1628&lt;=DATE(2022,10,31)),$M1628,"")</f>
        <v/>
      </c>
      <c r="P1628" s="5">
        <f>IF(AND($A1628&gt;=DATE(2018,10,1),$A1628&lt;=DATE(2018,12,31)),$M1628,"")</f>
        <v/>
      </c>
      <c r="Q1628" s="5">
        <f>SUMPRODUCT(Exposures!$B$8:$K$8,B1628:K1628)</f>
        <v/>
      </c>
      <c r="R1628" s="5">
        <f>SUMPRODUCT(Exposures!$B$9:$K$9,B1628:K1628)</f>
        <v/>
      </c>
      <c r="S1628" s="5">
        <f>SUMPRODUCT(Exposures!$B$10:$K$10,B1628:K1628)</f>
        <v/>
      </c>
    </row>
    <row r="1629">
      <c r="A1629" s="1" t="n">
        <v>44820</v>
      </c>
      <c r="B1629" s="5" t="n">
        <v>-0.007277974006206387</v>
      </c>
      <c r="C1629" s="5" t="n">
        <v>-0.0009297764949168963</v>
      </c>
      <c r="D1629" s="5" t="n">
        <v>-0.001657355405795855</v>
      </c>
      <c r="E1629" s="5" t="n">
        <v>0.001635066554284949</v>
      </c>
      <c r="F1629" s="5" t="n">
        <v>0.00532885021019226</v>
      </c>
      <c r="G1629" s="5" t="n">
        <v>-0.01519517548190418</v>
      </c>
      <c r="H1629" s="5" t="n">
        <v>0.00101130297267969</v>
      </c>
      <c r="I1629" s="5" t="n">
        <v>0.002016309575448237</v>
      </c>
      <c r="J1629" s="5" t="n">
        <v>-0.005156452226595545</v>
      </c>
      <c r="K1629" s="5" t="n">
        <v>-0.004279202819189092</v>
      </c>
      <c r="L1629" s="5" t="n">
        <v>0.001582550812100685</v>
      </c>
      <c r="M1629" s="5">
        <f>SUMPRODUCT(Exposures!$B$6:$K$6,B1629:K1629)</f>
        <v/>
      </c>
      <c r="N1629" s="5">
        <f>IF(AND($A1629&gt;=DATE(2020,2,1),$A1629&lt;=DATE(2020,5,31)),$M1629,"")</f>
        <v/>
      </c>
      <c r="O1629" s="5">
        <f>IF(AND($A1629&gt;=DATE(2022,1,1),$A1629&lt;=DATE(2022,10,31)),$M1629,"")</f>
        <v/>
      </c>
      <c r="P1629" s="5">
        <f>IF(AND($A1629&gt;=DATE(2018,10,1),$A1629&lt;=DATE(2018,12,31)),$M1629,"")</f>
        <v/>
      </c>
      <c r="Q1629" s="5">
        <f>SUMPRODUCT(Exposures!$B$8:$K$8,B1629:K1629)</f>
        <v/>
      </c>
      <c r="R1629" s="5">
        <f>SUMPRODUCT(Exposures!$B$9:$K$9,B1629:K1629)</f>
        <v/>
      </c>
      <c r="S1629" s="5">
        <f>SUMPRODUCT(Exposures!$B$10:$K$10,B1629:K1629)</f>
        <v/>
      </c>
    </row>
    <row r="1630">
      <c r="A1630" s="1" t="n">
        <v>44823</v>
      </c>
      <c r="B1630" s="5" t="n">
        <v>0.004982025406666046</v>
      </c>
      <c r="C1630" s="5" t="n">
        <v>0.0001538143905858007</v>
      </c>
      <c r="D1630" s="5" t="n">
        <v>0.001289286836298017</v>
      </c>
      <c r="E1630" s="5" t="n">
        <v>0.004083751117073426</v>
      </c>
      <c r="F1630" s="5" t="n">
        <v>0.0002712133866653202</v>
      </c>
      <c r="G1630" s="5" t="n">
        <v>0.009041193083755979</v>
      </c>
      <c r="H1630" s="5" t="n">
        <v>0.00327382192915466</v>
      </c>
      <c r="I1630" s="5" t="n">
        <v>-0.003395563802074631</v>
      </c>
      <c r="J1630" s="5" t="n">
        <v>0.0009959328510148332</v>
      </c>
      <c r="K1630" s="5" t="n">
        <v>-0.0001117916004149404</v>
      </c>
      <c r="L1630" s="5" t="n">
        <v>0.0008367291635384562</v>
      </c>
      <c r="M1630" s="5">
        <f>SUMPRODUCT(Exposures!$B$6:$K$6,B1630:K1630)</f>
        <v/>
      </c>
      <c r="N1630" s="5">
        <f>IF(AND($A1630&gt;=DATE(2020,2,1),$A1630&lt;=DATE(2020,5,31)),$M1630,"")</f>
        <v/>
      </c>
      <c r="O1630" s="5">
        <f>IF(AND($A1630&gt;=DATE(2022,1,1),$A1630&lt;=DATE(2022,10,31)),$M1630,"")</f>
        <v/>
      </c>
      <c r="P1630" s="5">
        <f>IF(AND($A1630&gt;=DATE(2018,10,1),$A1630&lt;=DATE(2018,12,31)),$M1630,"")</f>
        <v/>
      </c>
      <c r="Q1630" s="5">
        <f>SUMPRODUCT(Exposures!$B$8:$K$8,B1630:K1630)</f>
        <v/>
      </c>
      <c r="R1630" s="5">
        <f>SUMPRODUCT(Exposures!$B$9:$K$9,B1630:K1630)</f>
        <v/>
      </c>
      <c r="S1630" s="5">
        <f>SUMPRODUCT(Exposures!$B$10:$K$10,B1630:K1630)</f>
        <v/>
      </c>
    </row>
    <row r="1631">
      <c r="A1631" s="1" t="n">
        <v>44824</v>
      </c>
      <c r="B1631" s="5" t="n">
        <v>0.0003678789721422769</v>
      </c>
      <c r="C1631" s="5" t="n">
        <v>1.57512250947044e-05</v>
      </c>
      <c r="D1631" s="5" t="n">
        <v>0.00167700759830756</v>
      </c>
      <c r="E1631" s="5" t="n">
        <v>-0.002524269811686382</v>
      </c>
      <c r="F1631" s="5" t="n">
        <v>1.581904262054536e-05</v>
      </c>
      <c r="G1631" s="5" t="n">
        <v>-0.01709744528082201</v>
      </c>
      <c r="H1631" s="5" t="n">
        <v>0.006710114783255911</v>
      </c>
      <c r="I1631" s="5" t="n">
        <v>0.0003923137181314941</v>
      </c>
      <c r="J1631" s="5" t="n">
        <v>-0.0008123775917168881</v>
      </c>
      <c r="K1631" s="5" t="n">
        <v>0.001083434830215273</v>
      </c>
      <c r="L1631" s="5" t="n">
        <v>0.001922696165034438</v>
      </c>
      <c r="M1631" s="5">
        <f>SUMPRODUCT(Exposures!$B$6:$K$6,B1631:K1631)</f>
        <v/>
      </c>
      <c r="N1631" s="5">
        <f>IF(AND($A1631&gt;=DATE(2020,2,1),$A1631&lt;=DATE(2020,5,31)),$M1631,"")</f>
        <v/>
      </c>
      <c r="O1631" s="5">
        <f>IF(AND($A1631&gt;=DATE(2022,1,1),$A1631&lt;=DATE(2022,10,31)),$M1631,"")</f>
        <v/>
      </c>
      <c r="P1631" s="5">
        <f>IF(AND($A1631&gt;=DATE(2018,10,1),$A1631&lt;=DATE(2018,12,31)),$M1631,"")</f>
        <v/>
      </c>
      <c r="Q1631" s="5">
        <f>SUMPRODUCT(Exposures!$B$8:$K$8,B1631:K1631)</f>
        <v/>
      </c>
      <c r="R1631" s="5">
        <f>SUMPRODUCT(Exposures!$B$9:$K$9,B1631:K1631)</f>
        <v/>
      </c>
      <c r="S1631" s="5">
        <f>SUMPRODUCT(Exposures!$B$10:$K$10,B1631:K1631)</f>
        <v/>
      </c>
    </row>
    <row r="1632">
      <c r="A1632" s="1" t="n">
        <v>44825</v>
      </c>
      <c r="B1632" s="5" t="n">
        <v>0.0009287685390649112</v>
      </c>
      <c r="C1632" s="5" t="n">
        <v>8.700744341440231e-05</v>
      </c>
      <c r="D1632" s="5" t="n">
        <v>-0.001706222674920732</v>
      </c>
      <c r="E1632" s="5" t="n">
        <v>-0.0003662890307682111</v>
      </c>
      <c r="F1632" s="5" t="n">
        <v>1.056077196127101e-05</v>
      </c>
      <c r="G1632" s="5" t="n">
        <v>-0.0169841355888687</v>
      </c>
      <c r="H1632" s="5" t="n">
        <v>0.002170162966253946</v>
      </c>
      <c r="I1632" s="5" t="n">
        <v>0.002004232870046036</v>
      </c>
      <c r="J1632" s="5" t="n">
        <v>-0.006982770597967417</v>
      </c>
      <c r="K1632" s="5" t="n">
        <v>-0.005703853278561977</v>
      </c>
      <c r="L1632" s="5" t="n">
        <v>-0.002985678196706342</v>
      </c>
      <c r="M1632" s="5">
        <f>SUMPRODUCT(Exposures!$B$6:$K$6,B1632:K1632)</f>
        <v/>
      </c>
      <c r="N1632" s="5">
        <f>IF(AND($A1632&gt;=DATE(2020,2,1),$A1632&lt;=DATE(2020,5,31)),$M1632,"")</f>
        <v/>
      </c>
      <c r="O1632" s="5">
        <f>IF(AND($A1632&gt;=DATE(2022,1,1),$A1632&lt;=DATE(2022,10,31)),$M1632,"")</f>
        <v/>
      </c>
      <c r="P1632" s="5">
        <f>IF(AND($A1632&gt;=DATE(2018,10,1),$A1632&lt;=DATE(2018,12,31)),$M1632,"")</f>
        <v/>
      </c>
      <c r="Q1632" s="5">
        <f>SUMPRODUCT(Exposures!$B$8:$K$8,B1632:K1632)</f>
        <v/>
      </c>
      <c r="R1632" s="5">
        <f>SUMPRODUCT(Exposures!$B$9:$K$9,B1632:K1632)</f>
        <v/>
      </c>
      <c r="S1632" s="5">
        <f>SUMPRODUCT(Exposures!$B$10:$K$10,B1632:K1632)</f>
        <v/>
      </c>
    </row>
    <row r="1633">
      <c r="A1633" s="1" t="n">
        <v>44826</v>
      </c>
      <c r="B1633" s="5" t="n">
        <v>-0.01049011084047432</v>
      </c>
      <c r="C1633" s="5" t="n">
        <v>0.001319000196130156</v>
      </c>
      <c r="D1633" s="5" t="n">
        <v>0.001223192298992327</v>
      </c>
      <c r="E1633" s="5" t="n">
        <v>-0.003006382641401183</v>
      </c>
      <c r="F1633" s="5" t="n">
        <v>-0.008763551121757867</v>
      </c>
      <c r="G1633" s="5" t="n">
        <v>-0.02164269295797538</v>
      </c>
      <c r="H1633" s="5" t="n">
        <v>0.002826564407527796</v>
      </c>
      <c r="I1633" s="5" t="n">
        <v>-0.0001472989472311127</v>
      </c>
      <c r="J1633" s="5" t="n">
        <v>-0.002094426121155118</v>
      </c>
      <c r="K1633" s="5" t="n">
        <v>0.01379062482968393</v>
      </c>
      <c r="L1633" s="5" t="n">
        <v>-0.0002787534423103271</v>
      </c>
      <c r="M1633" s="5">
        <f>SUMPRODUCT(Exposures!$B$6:$K$6,B1633:K1633)</f>
        <v/>
      </c>
      <c r="N1633" s="5">
        <f>IF(AND($A1633&gt;=DATE(2020,2,1),$A1633&lt;=DATE(2020,5,31)),$M1633,"")</f>
        <v/>
      </c>
      <c r="O1633" s="5">
        <f>IF(AND($A1633&gt;=DATE(2022,1,1),$A1633&lt;=DATE(2022,10,31)),$M1633,"")</f>
        <v/>
      </c>
      <c r="P1633" s="5">
        <f>IF(AND($A1633&gt;=DATE(2018,10,1),$A1633&lt;=DATE(2018,12,31)),$M1633,"")</f>
        <v/>
      </c>
      <c r="Q1633" s="5">
        <f>SUMPRODUCT(Exposures!$B$8:$K$8,B1633:K1633)</f>
        <v/>
      </c>
      <c r="R1633" s="5">
        <f>SUMPRODUCT(Exposures!$B$9:$K$9,B1633:K1633)</f>
        <v/>
      </c>
      <c r="S1633" s="5">
        <f>SUMPRODUCT(Exposures!$B$10:$K$10,B1633:K1633)</f>
        <v/>
      </c>
    </row>
    <row r="1634">
      <c r="A1634" s="1" t="n">
        <v>44827</v>
      </c>
      <c r="B1634" s="5" t="n">
        <v>-0.0006862091795787574</v>
      </c>
      <c r="C1634" s="5" t="n">
        <v>0.0009554641257153311</v>
      </c>
      <c r="D1634" s="5" t="n">
        <v>-0.001368687438016029</v>
      </c>
      <c r="E1634" s="5" t="n">
        <v>-0.0009964200184297324</v>
      </c>
      <c r="F1634" s="5" t="n">
        <v>-0.00239418773049705</v>
      </c>
      <c r="G1634" s="5" t="n">
        <v>-0.02209419331298971</v>
      </c>
      <c r="H1634" s="5" t="n">
        <v>-0.003326412563687195</v>
      </c>
      <c r="I1634" s="5" t="n">
        <v>-0.002690254694802076</v>
      </c>
      <c r="J1634" s="5" t="n">
        <v>-0.007990279494149549</v>
      </c>
      <c r="K1634" s="5" t="n">
        <v>0.003962349647759867</v>
      </c>
      <c r="L1634" s="5" t="n">
        <v>-0.001878808387575969</v>
      </c>
      <c r="M1634" s="5">
        <f>SUMPRODUCT(Exposures!$B$6:$K$6,B1634:K1634)</f>
        <v/>
      </c>
      <c r="N1634" s="5">
        <f>IF(AND($A1634&gt;=DATE(2020,2,1),$A1634&lt;=DATE(2020,5,31)),$M1634,"")</f>
        <v/>
      </c>
      <c r="O1634" s="5">
        <f>IF(AND($A1634&gt;=DATE(2022,1,1),$A1634&lt;=DATE(2022,10,31)),$M1634,"")</f>
        <v/>
      </c>
      <c r="P1634" s="5">
        <f>IF(AND($A1634&gt;=DATE(2018,10,1),$A1634&lt;=DATE(2018,12,31)),$M1634,"")</f>
        <v/>
      </c>
      <c r="Q1634" s="5">
        <f>SUMPRODUCT(Exposures!$B$8:$K$8,B1634:K1634)</f>
        <v/>
      </c>
      <c r="R1634" s="5">
        <f>SUMPRODUCT(Exposures!$B$9:$K$9,B1634:K1634)</f>
        <v/>
      </c>
      <c r="S1634" s="5">
        <f>SUMPRODUCT(Exposures!$B$10:$K$10,B1634:K1634)</f>
        <v/>
      </c>
    </row>
    <row r="1635">
      <c r="A1635" s="1" t="n">
        <v>44830</v>
      </c>
      <c r="B1635" s="5" t="n">
        <v>0.003091272638299553</v>
      </c>
      <c r="C1635" s="5" t="n">
        <v>0.0002701515719198464</v>
      </c>
      <c r="D1635" s="5" t="n">
        <v>0.001163334203634373</v>
      </c>
      <c r="E1635" s="5" t="n">
        <v>-0.001607878340350618</v>
      </c>
      <c r="F1635" s="5" t="n">
        <v>-0.006132327071491724</v>
      </c>
      <c r="G1635" s="5" t="n">
        <v>-0.01623757371547228</v>
      </c>
      <c r="H1635" s="5" t="n">
        <v>0.002075172661677858</v>
      </c>
      <c r="I1635" s="5" t="n">
        <v>-0.00014675219668701</v>
      </c>
      <c r="J1635" s="5" t="n">
        <v>0.000924018439459201</v>
      </c>
      <c r="K1635" s="5" t="n">
        <v>0.008385182397184712</v>
      </c>
      <c r="L1635" s="5" t="n">
        <v>-0.001848650595553386</v>
      </c>
      <c r="M1635" s="5">
        <f>SUMPRODUCT(Exposures!$B$6:$K$6,B1635:K1635)</f>
        <v/>
      </c>
      <c r="N1635" s="5">
        <f>IF(AND($A1635&gt;=DATE(2020,2,1),$A1635&lt;=DATE(2020,5,31)),$M1635,"")</f>
        <v/>
      </c>
      <c r="O1635" s="5">
        <f>IF(AND($A1635&gt;=DATE(2022,1,1),$A1635&lt;=DATE(2022,10,31)),$M1635,"")</f>
        <v/>
      </c>
      <c r="P1635" s="5">
        <f>IF(AND($A1635&gt;=DATE(2018,10,1),$A1635&lt;=DATE(2018,12,31)),$M1635,"")</f>
        <v/>
      </c>
      <c r="Q1635" s="5">
        <f>SUMPRODUCT(Exposures!$B$8:$K$8,B1635:K1635)</f>
        <v/>
      </c>
      <c r="R1635" s="5">
        <f>SUMPRODUCT(Exposures!$B$9:$K$9,B1635:K1635)</f>
        <v/>
      </c>
      <c r="S1635" s="5">
        <f>SUMPRODUCT(Exposures!$B$10:$K$10,B1635:K1635)</f>
        <v/>
      </c>
    </row>
    <row r="1636">
      <c r="A1636" s="1" t="n">
        <v>44831</v>
      </c>
      <c r="B1636" s="5" t="n">
        <v>0.005965623678720869</v>
      </c>
      <c r="C1636" s="5" t="n">
        <v>0.0002897223158015046</v>
      </c>
      <c r="D1636" s="5" t="n">
        <v>-0.002014064036280407</v>
      </c>
      <c r="E1636" s="5" t="n">
        <v>-0.0006811277678282007</v>
      </c>
      <c r="F1636" s="5" t="n">
        <v>0.007060943652856389</v>
      </c>
      <c r="G1636" s="5" t="n">
        <v>0.0008763275323330116</v>
      </c>
      <c r="H1636" s="5" t="n">
        <v>0.007258572638372386</v>
      </c>
      <c r="I1636" s="5" t="n">
        <v>0.001968395053157883</v>
      </c>
      <c r="J1636" s="5" t="n">
        <v>0.00584584711488082</v>
      </c>
      <c r="K1636" s="5" t="n">
        <v>-0.009653987708347765</v>
      </c>
      <c r="L1636" s="5" t="n">
        <v>-0.004569931029268953</v>
      </c>
      <c r="M1636" s="5">
        <f>SUMPRODUCT(Exposures!$B$6:$K$6,B1636:K1636)</f>
        <v/>
      </c>
      <c r="N1636" s="5">
        <f>IF(AND($A1636&gt;=DATE(2020,2,1),$A1636&lt;=DATE(2020,5,31)),$M1636,"")</f>
        <v/>
      </c>
      <c r="O1636" s="5">
        <f>IF(AND($A1636&gt;=DATE(2022,1,1),$A1636&lt;=DATE(2022,10,31)),$M1636,"")</f>
        <v/>
      </c>
      <c r="P1636" s="5">
        <f>IF(AND($A1636&gt;=DATE(2018,10,1),$A1636&lt;=DATE(2018,12,31)),$M1636,"")</f>
        <v/>
      </c>
      <c r="Q1636" s="5">
        <f>SUMPRODUCT(Exposures!$B$8:$K$8,B1636:K1636)</f>
        <v/>
      </c>
      <c r="R1636" s="5">
        <f>SUMPRODUCT(Exposures!$B$9:$K$9,B1636:K1636)</f>
        <v/>
      </c>
      <c r="S1636" s="5">
        <f>SUMPRODUCT(Exposures!$B$10:$K$10,B1636:K1636)</f>
        <v/>
      </c>
    </row>
    <row r="1637">
      <c r="A1637" s="1" t="n">
        <v>44832</v>
      </c>
      <c r="B1637" s="5" t="n">
        <v>-0.001970860742911953</v>
      </c>
      <c r="C1637" s="5" t="n">
        <v>0.00141233483467105</v>
      </c>
      <c r="D1637" s="5" t="n">
        <v>0.004984442774090552</v>
      </c>
      <c r="E1637" s="5" t="n">
        <v>-0.002577268441367993</v>
      </c>
      <c r="F1637" s="5" t="n">
        <v>0.0007194781571731131</v>
      </c>
      <c r="G1637" s="5" t="n">
        <v>0.03026383703836019</v>
      </c>
      <c r="H1637" s="5" t="n">
        <v>-0.004099051800452297</v>
      </c>
      <c r="I1637" s="5" t="n">
        <v>-0.0003028938869209743</v>
      </c>
      <c r="J1637" s="5" t="n">
        <v>0.005864185554249841</v>
      </c>
      <c r="K1637" s="5" t="n">
        <v>-0.003070463661267722</v>
      </c>
      <c r="L1637" s="5" t="n">
        <v>-0.002871928418657274</v>
      </c>
      <c r="M1637" s="5">
        <f>SUMPRODUCT(Exposures!$B$6:$K$6,B1637:K1637)</f>
        <v/>
      </c>
      <c r="N1637" s="5">
        <f>IF(AND($A1637&gt;=DATE(2020,2,1),$A1637&lt;=DATE(2020,5,31)),$M1637,"")</f>
        <v/>
      </c>
      <c r="O1637" s="5">
        <f>IF(AND($A1637&gt;=DATE(2022,1,1),$A1637&lt;=DATE(2022,10,31)),$M1637,"")</f>
        <v/>
      </c>
      <c r="P1637" s="5">
        <f>IF(AND($A1637&gt;=DATE(2018,10,1),$A1637&lt;=DATE(2018,12,31)),$M1637,"")</f>
        <v/>
      </c>
      <c r="Q1637" s="5">
        <f>SUMPRODUCT(Exposures!$B$8:$K$8,B1637:K1637)</f>
        <v/>
      </c>
      <c r="R1637" s="5">
        <f>SUMPRODUCT(Exposures!$B$9:$K$9,B1637:K1637)</f>
        <v/>
      </c>
      <c r="S1637" s="5">
        <f>SUMPRODUCT(Exposures!$B$10:$K$10,B1637:K1637)</f>
        <v/>
      </c>
    </row>
    <row r="1638">
      <c r="A1638" s="1" t="n">
        <v>44833</v>
      </c>
      <c r="B1638" s="5" t="n">
        <v>-0.003335658436577228</v>
      </c>
      <c r="C1638" s="5" t="n">
        <v>0.0027056336472804</v>
      </c>
      <c r="D1638" s="5" t="n">
        <v>-0.0008156803808678551</v>
      </c>
      <c r="E1638" s="5" t="n">
        <v>0.0005130499828797639</v>
      </c>
      <c r="F1638" s="5" t="n">
        <v>-0.005968343163891024</v>
      </c>
      <c r="G1638" s="5" t="n">
        <v>-0.02490698193293546</v>
      </c>
      <c r="H1638" s="5" t="n">
        <v>0.002262945638982641</v>
      </c>
      <c r="I1638" s="5" t="n">
        <v>0.000698718644608674</v>
      </c>
      <c r="J1638" s="5" t="n">
        <v>-0.002493778358691614</v>
      </c>
      <c r="K1638" s="5" t="n">
        <v>0.00584253076994936</v>
      </c>
      <c r="L1638" s="5" t="n">
        <v>-0.001189450904209452</v>
      </c>
      <c r="M1638" s="5">
        <f>SUMPRODUCT(Exposures!$B$6:$K$6,B1638:K1638)</f>
        <v/>
      </c>
      <c r="N1638" s="5">
        <f>IF(AND($A1638&gt;=DATE(2020,2,1),$A1638&lt;=DATE(2020,5,31)),$M1638,"")</f>
        <v/>
      </c>
      <c r="O1638" s="5">
        <f>IF(AND($A1638&gt;=DATE(2022,1,1),$A1638&lt;=DATE(2022,10,31)),$M1638,"")</f>
        <v/>
      </c>
      <c r="P1638" s="5">
        <f>IF(AND($A1638&gt;=DATE(2018,10,1),$A1638&lt;=DATE(2018,12,31)),$M1638,"")</f>
        <v/>
      </c>
      <c r="Q1638" s="5">
        <f>SUMPRODUCT(Exposures!$B$8:$K$8,B1638:K1638)</f>
        <v/>
      </c>
      <c r="R1638" s="5">
        <f>SUMPRODUCT(Exposures!$B$9:$K$9,B1638:K1638)</f>
        <v/>
      </c>
      <c r="S1638" s="5">
        <f>SUMPRODUCT(Exposures!$B$10:$K$10,B1638:K1638)</f>
        <v/>
      </c>
    </row>
    <row r="1639">
      <c r="A1639" s="1" t="n">
        <v>44834</v>
      </c>
      <c r="B1639" s="5" t="n">
        <v>0.002067027199005032</v>
      </c>
      <c r="C1639" s="5" t="n">
        <v>0.001279590099138905</v>
      </c>
      <c r="D1639" s="5" t="n">
        <v>-0.0009926702462611015</v>
      </c>
      <c r="E1639" s="5" t="n">
        <v>-0.003254114480402353</v>
      </c>
      <c r="F1639" s="5" t="n">
        <v>-0.008600409492566486</v>
      </c>
      <c r="G1639" s="5" t="n">
        <v>-0.007370321654492269</v>
      </c>
      <c r="H1639" s="5" t="n">
        <v>0.0001079008396926667</v>
      </c>
      <c r="I1639" s="5" t="n">
        <v>-0.001612770144152598</v>
      </c>
      <c r="J1639" s="5" t="n">
        <v>0.001539611639510057</v>
      </c>
      <c r="K1639" s="5" t="n">
        <v>0.005379506548595934</v>
      </c>
      <c r="L1639" s="5" t="n">
        <v>0.001078869187620983</v>
      </c>
      <c r="M1639" s="5">
        <f>SUMPRODUCT(Exposures!$B$6:$K$6,B1639:K1639)</f>
        <v/>
      </c>
      <c r="N1639" s="5">
        <f>IF(AND($A1639&gt;=DATE(2020,2,1),$A1639&lt;=DATE(2020,5,31)),$M1639,"")</f>
        <v/>
      </c>
      <c r="O1639" s="5">
        <f>IF(AND($A1639&gt;=DATE(2022,1,1),$A1639&lt;=DATE(2022,10,31)),$M1639,"")</f>
        <v/>
      </c>
      <c r="P1639" s="5">
        <f>IF(AND($A1639&gt;=DATE(2018,10,1),$A1639&lt;=DATE(2018,12,31)),$M1639,"")</f>
        <v/>
      </c>
      <c r="Q1639" s="5">
        <f>SUMPRODUCT(Exposures!$B$8:$K$8,B1639:K1639)</f>
        <v/>
      </c>
      <c r="R1639" s="5">
        <f>SUMPRODUCT(Exposures!$B$9:$K$9,B1639:K1639)</f>
        <v/>
      </c>
      <c r="S1639" s="5">
        <f>SUMPRODUCT(Exposures!$B$10:$K$10,B1639:K1639)</f>
        <v/>
      </c>
    </row>
    <row r="1640">
      <c r="A1640" s="1" t="n">
        <v>44837</v>
      </c>
      <c r="B1640" s="5" t="n">
        <v>0.006817751057573842</v>
      </c>
      <c r="C1640" s="5" t="n">
        <v>-0.001092782470662327</v>
      </c>
      <c r="D1640" s="5" t="n">
        <v>-0.003593739535578227</v>
      </c>
      <c r="E1640" s="5" t="n">
        <v>0.0004166507374935621</v>
      </c>
      <c r="F1640" s="5" t="n">
        <v>-0.006342229590281795</v>
      </c>
      <c r="G1640" s="5" t="n">
        <v>0.03008689472961211</v>
      </c>
      <c r="H1640" s="5" t="n">
        <v>0.001122203420703284</v>
      </c>
      <c r="I1640" s="5" t="n">
        <v>-0.0004745071560956352</v>
      </c>
      <c r="J1640" s="5" t="n">
        <v>-0.004800579143191382</v>
      </c>
      <c r="K1640" s="5" t="n">
        <v>0.004979106164920438</v>
      </c>
      <c r="L1640" s="5" t="n">
        <v>0.003255538608857235</v>
      </c>
      <c r="M1640" s="5">
        <f>SUMPRODUCT(Exposures!$B$6:$K$6,B1640:K1640)</f>
        <v/>
      </c>
      <c r="N1640" s="5">
        <f>IF(AND($A1640&gt;=DATE(2020,2,1),$A1640&lt;=DATE(2020,5,31)),$M1640,"")</f>
        <v/>
      </c>
      <c r="O1640" s="5">
        <f>IF(AND($A1640&gt;=DATE(2022,1,1),$A1640&lt;=DATE(2022,10,31)),$M1640,"")</f>
        <v/>
      </c>
      <c r="P1640" s="5">
        <f>IF(AND($A1640&gt;=DATE(2018,10,1),$A1640&lt;=DATE(2018,12,31)),$M1640,"")</f>
        <v/>
      </c>
      <c r="Q1640" s="5">
        <f>SUMPRODUCT(Exposures!$B$8:$K$8,B1640:K1640)</f>
        <v/>
      </c>
      <c r="R1640" s="5">
        <f>SUMPRODUCT(Exposures!$B$9:$K$9,B1640:K1640)</f>
        <v/>
      </c>
      <c r="S1640" s="5">
        <f>SUMPRODUCT(Exposures!$B$10:$K$10,B1640:K1640)</f>
        <v/>
      </c>
    </row>
    <row r="1641">
      <c r="A1641" s="1" t="n">
        <v>44838</v>
      </c>
      <c r="B1641" s="5" t="n">
        <v>0.01341879665704165</v>
      </c>
      <c r="C1641" s="5" t="n">
        <v>-0.00169906817148483</v>
      </c>
      <c r="D1641" s="5" t="n">
        <v>-0.005759906055439265</v>
      </c>
      <c r="E1641" s="5" t="n">
        <v>0.0008207299564068269</v>
      </c>
      <c r="F1641" s="5" t="n">
        <v>0.0002326656066122344</v>
      </c>
      <c r="G1641" s="5" t="n">
        <v>0.03944766293238677</v>
      </c>
      <c r="H1641" s="5" t="n">
        <v>-0.002930900568531119</v>
      </c>
      <c r="I1641" s="5" t="n">
        <v>-0.0004957501321630952</v>
      </c>
      <c r="J1641" s="5" t="n">
        <v>0.0008050891560852725</v>
      </c>
      <c r="K1641" s="5" t="n">
        <v>-0.002433568715698417</v>
      </c>
      <c r="L1641" s="5" t="n">
        <v>0.004185864900874018</v>
      </c>
      <c r="M1641" s="5">
        <f>SUMPRODUCT(Exposures!$B$6:$K$6,B1641:K1641)</f>
        <v/>
      </c>
      <c r="N1641" s="5">
        <f>IF(AND($A1641&gt;=DATE(2020,2,1),$A1641&lt;=DATE(2020,5,31)),$M1641,"")</f>
        <v/>
      </c>
      <c r="O1641" s="5">
        <f>IF(AND($A1641&gt;=DATE(2022,1,1),$A1641&lt;=DATE(2022,10,31)),$M1641,"")</f>
        <v/>
      </c>
      <c r="P1641" s="5">
        <f>IF(AND($A1641&gt;=DATE(2018,10,1),$A1641&lt;=DATE(2018,12,31)),$M1641,"")</f>
        <v/>
      </c>
      <c r="Q1641" s="5">
        <f>SUMPRODUCT(Exposures!$B$8:$K$8,B1641:K1641)</f>
        <v/>
      </c>
      <c r="R1641" s="5">
        <f>SUMPRODUCT(Exposures!$B$9:$K$9,B1641:K1641)</f>
        <v/>
      </c>
      <c r="S1641" s="5">
        <f>SUMPRODUCT(Exposures!$B$10:$K$10,B1641:K1641)</f>
        <v/>
      </c>
    </row>
    <row r="1642">
      <c r="A1642" s="1" t="n">
        <v>44839</v>
      </c>
      <c r="B1642" s="5" t="n">
        <v>0.001625108410828789</v>
      </c>
      <c r="C1642" s="5" t="n">
        <v>0.002099684621638851</v>
      </c>
      <c r="D1642" s="5" t="n">
        <v>-0.00174007750265744</v>
      </c>
      <c r="E1642" s="5" t="n">
        <v>-0.0008550651839569134</v>
      </c>
      <c r="F1642" s="5" t="n">
        <v>-0.00107012577101995</v>
      </c>
      <c r="G1642" s="5" t="n">
        <v>-0.005876055504718175</v>
      </c>
      <c r="H1642" s="5" t="n">
        <v>-0.0004449069902563564</v>
      </c>
      <c r="I1642" s="5" t="n">
        <v>0.000713090961963098</v>
      </c>
      <c r="J1642" s="5" t="n">
        <v>3.469648686533041e-07</v>
      </c>
      <c r="K1642" s="5" t="n">
        <v>0.002167627882924071</v>
      </c>
      <c r="L1642" s="5" t="n">
        <v>-0.003343879576284617</v>
      </c>
      <c r="M1642" s="5">
        <f>SUMPRODUCT(Exposures!$B$6:$K$6,B1642:K1642)</f>
        <v/>
      </c>
      <c r="N1642" s="5">
        <f>IF(AND($A1642&gt;=DATE(2020,2,1),$A1642&lt;=DATE(2020,5,31)),$M1642,"")</f>
        <v/>
      </c>
      <c r="O1642" s="5">
        <f>IF(AND($A1642&gt;=DATE(2022,1,1),$A1642&lt;=DATE(2022,10,31)),$M1642,"")</f>
        <v/>
      </c>
      <c r="P1642" s="5">
        <f>IF(AND($A1642&gt;=DATE(2018,10,1),$A1642&lt;=DATE(2018,12,31)),$M1642,"")</f>
        <v/>
      </c>
      <c r="Q1642" s="5">
        <f>SUMPRODUCT(Exposures!$B$8:$K$8,B1642:K1642)</f>
        <v/>
      </c>
      <c r="R1642" s="5">
        <f>SUMPRODUCT(Exposures!$B$9:$K$9,B1642:K1642)</f>
        <v/>
      </c>
      <c r="S1642" s="5">
        <f>SUMPRODUCT(Exposures!$B$10:$K$10,B1642:K1642)</f>
        <v/>
      </c>
    </row>
    <row r="1643">
      <c r="A1643" s="1" t="n">
        <v>44840</v>
      </c>
      <c r="B1643" s="5" t="n">
        <v>0.004183570123113427</v>
      </c>
      <c r="C1643" s="5" t="n">
        <v>-0.002464968004641553</v>
      </c>
      <c r="D1643" s="5" t="n">
        <v>-0.00235057189894867</v>
      </c>
      <c r="E1643" s="5" t="n">
        <v>-0.002224564110886743</v>
      </c>
      <c r="F1643" s="5" t="n">
        <v>-0.002419184395209187</v>
      </c>
      <c r="G1643" s="5" t="n">
        <v>-0.01016730508738414</v>
      </c>
      <c r="H1643" s="5" t="n">
        <v>0.003838096235393936</v>
      </c>
      <c r="I1643" s="5" t="n">
        <v>-0.001667484406493648</v>
      </c>
      <c r="J1643" s="5" t="n">
        <v>0.002830197412952085</v>
      </c>
      <c r="K1643" s="5" t="n">
        <v>0.006044365659768442</v>
      </c>
      <c r="L1643" s="5" t="n">
        <v>0.002626308631833358</v>
      </c>
      <c r="M1643" s="5">
        <f>SUMPRODUCT(Exposures!$B$6:$K$6,B1643:K1643)</f>
        <v/>
      </c>
      <c r="N1643" s="5">
        <f>IF(AND($A1643&gt;=DATE(2020,2,1),$A1643&lt;=DATE(2020,5,31)),$M1643,"")</f>
        <v/>
      </c>
      <c r="O1643" s="5">
        <f>IF(AND($A1643&gt;=DATE(2022,1,1),$A1643&lt;=DATE(2022,10,31)),$M1643,"")</f>
        <v/>
      </c>
      <c r="P1643" s="5">
        <f>IF(AND($A1643&gt;=DATE(2018,10,1),$A1643&lt;=DATE(2018,12,31)),$M1643,"")</f>
        <v/>
      </c>
      <c r="Q1643" s="5">
        <f>SUMPRODUCT(Exposures!$B$8:$K$8,B1643:K1643)</f>
        <v/>
      </c>
      <c r="R1643" s="5">
        <f>SUMPRODUCT(Exposures!$B$9:$K$9,B1643:K1643)</f>
        <v/>
      </c>
      <c r="S1643" s="5">
        <f>SUMPRODUCT(Exposures!$B$10:$K$10,B1643:K1643)</f>
        <v/>
      </c>
    </row>
    <row r="1644">
      <c r="A1644" s="1" t="n">
        <v>44841</v>
      </c>
      <c r="B1644" s="5" t="n">
        <v>-0.006092055525532472</v>
      </c>
      <c r="C1644" s="5" t="n">
        <v>-0.0001285718016715982</v>
      </c>
      <c r="D1644" s="5" t="n">
        <v>-0.007178921276549386</v>
      </c>
      <c r="E1644" s="5" t="n">
        <v>0.002046279961068062</v>
      </c>
      <c r="F1644" s="5" t="n">
        <v>-0.00773305519994575</v>
      </c>
      <c r="G1644" s="5" t="n">
        <v>-0.02977819850559841</v>
      </c>
      <c r="H1644" s="5" t="n">
        <v>0.003746980855057351</v>
      </c>
      <c r="I1644" s="5" t="n">
        <v>-0.001143639791364302</v>
      </c>
      <c r="J1644" s="5" t="n">
        <v>-0.001986700071793224</v>
      </c>
      <c r="K1644" s="5" t="n">
        <v>0.00524708104252178</v>
      </c>
      <c r="L1644" s="5" t="n">
        <v>0.0009933428990425625</v>
      </c>
      <c r="M1644" s="5">
        <f>SUMPRODUCT(Exposures!$B$6:$K$6,B1644:K1644)</f>
        <v/>
      </c>
      <c r="N1644" s="5">
        <f>IF(AND($A1644&gt;=DATE(2020,2,1),$A1644&lt;=DATE(2020,5,31)),$M1644,"")</f>
        <v/>
      </c>
      <c r="O1644" s="5">
        <f>IF(AND($A1644&gt;=DATE(2022,1,1),$A1644&lt;=DATE(2022,10,31)),$M1644,"")</f>
        <v/>
      </c>
      <c r="P1644" s="5">
        <f>IF(AND($A1644&gt;=DATE(2018,10,1),$A1644&lt;=DATE(2018,12,31)),$M1644,"")</f>
        <v/>
      </c>
      <c r="Q1644" s="5">
        <f>SUMPRODUCT(Exposures!$B$8:$K$8,B1644:K1644)</f>
        <v/>
      </c>
      <c r="R1644" s="5">
        <f>SUMPRODUCT(Exposures!$B$9:$K$9,B1644:K1644)</f>
        <v/>
      </c>
      <c r="S1644" s="5">
        <f>SUMPRODUCT(Exposures!$B$10:$K$10,B1644:K1644)</f>
        <v/>
      </c>
    </row>
    <row r="1645">
      <c r="A1645" s="1" t="n">
        <v>44844</v>
      </c>
      <c r="B1645" s="5" t="n">
        <v>-0.00619400258568489</v>
      </c>
      <c r="C1645" s="5" t="n">
        <v>0.001578706987717582</v>
      </c>
      <c r="D1645" s="5" t="n">
        <v>0.002115760887744853</v>
      </c>
      <c r="E1645" s="5" t="n">
        <v>0.002882320198001262</v>
      </c>
      <c r="F1645" s="5" t="n">
        <v>0.001422072104431234</v>
      </c>
      <c r="G1645" s="5" t="n">
        <v>-0.009156384098333012</v>
      </c>
      <c r="H1645" s="5" t="n">
        <v>0.00187986634206397</v>
      </c>
      <c r="I1645" s="5" t="n">
        <v>0.002153673785183813</v>
      </c>
      <c r="J1645" s="5" t="n">
        <v>-0.001757823573329468</v>
      </c>
      <c r="K1645" s="5" t="n">
        <v>-0.004613415085760711</v>
      </c>
      <c r="L1645" s="5" t="n">
        <v>-0.005480595488631869</v>
      </c>
      <c r="M1645" s="5">
        <f>SUMPRODUCT(Exposures!$B$6:$K$6,B1645:K1645)</f>
        <v/>
      </c>
      <c r="N1645" s="5">
        <f>IF(AND($A1645&gt;=DATE(2020,2,1),$A1645&lt;=DATE(2020,5,31)),$M1645,"")</f>
        <v/>
      </c>
      <c r="O1645" s="5">
        <f>IF(AND($A1645&gt;=DATE(2022,1,1),$A1645&lt;=DATE(2022,10,31)),$M1645,"")</f>
        <v/>
      </c>
      <c r="P1645" s="5">
        <f>IF(AND($A1645&gt;=DATE(2018,10,1),$A1645&lt;=DATE(2018,12,31)),$M1645,"")</f>
        <v/>
      </c>
      <c r="Q1645" s="5">
        <f>SUMPRODUCT(Exposures!$B$8:$K$8,B1645:K1645)</f>
        <v/>
      </c>
      <c r="R1645" s="5">
        <f>SUMPRODUCT(Exposures!$B$9:$K$9,B1645:K1645)</f>
        <v/>
      </c>
      <c r="S1645" s="5">
        <f>SUMPRODUCT(Exposures!$B$10:$K$10,B1645:K1645)</f>
        <v/>
      </c>
    </row>
    <row r="1646">
      <c r="A1646" s="1" t="n">
        <v>44845</v>
      </c>
      <c r="B1646" s="5" t="n">
        <v>-0.008314669047699744</v>
      </c>
      <c r="C1646" s="5" t="n">
        <v>0.0008256201846993127</v>
      </c>
      <c r="D1646" s="5" t="n">
        <v>-0.0003764547114612592</v>
      </c>
      <c r="E1646" s="5" t="n">
        <v>0.0004632387193048733</v>
      </c>
      <c r="F1646" s="5" t="n">
        <v>0.009094833345012123</v>
      </c>
      <c r="G1646" s="5" t="n">
        <v>-0.003277466630175538</v>
      </c>
      <c r="H1646" s="5" t="n">
        <v>0.002865446876196384</v>
      </c>
      <c r="I1646" s="5" t="n">
        <v>0.0003324690692398109</v>
      </c>
      <c r="J1646" s="5" t="n">
        <v>-0.001869733350945124</v>
      </c>
      <c r="K1646" s="5" t="n">
        <v>-0.01196612704593624</v>
      </c>
      <c r="L1646" s="5" t="n">
        <v>-0.003269324860136148</v>
      </c>
      <c r="M1646" s="5">
        <f>SUMPRODUCT(Exposures!$B$6:$K$6,B1646:K1646)</f>
        <v/>
      </c>
      <c r="N1646" s="5">
        <f>IF(AND($A1646&gt;=DATE(2020,2,1),$A1646&lt;=DATE(2020,5,31)),$M1646,"")</f>
        <v/>
      </c>
      <c r="O1646" s="5">
        <f>IF(AND($A1646&gt;=DATE(2022,1,1),$A1646&lt;=DATE(2022,10,31)),$M1646,"")</f>
        <v/>
      </c>
      <c r="P1646" s="5">
        <f>IF(AND($A1646&gt;=DATE(2018,10,1),$A1646&lt;=DATE(2018,12,31)),$M1646,"")</f>
        <v/>
      </c>
      <c r="Q1646" s="5">
        <f>SUMPRODUCT(Exposures!$B$8:$K$8,B1646:K1646)</f>
        <v/>
      </c>
      <c r="R1646" s="5">
        <f>SUMPRODUCT(Exposures!$B$9:$K$9,B1646:K1646)</f>
        <v/>
      </c>
      <c r="S1646" s="5">
        <f>SUMPRODUCT(Exposures!$B$10:$K$10,B1646:K1646)</f>
        <v/>
      </c>
    </row>
    <row r="1647">
      <c r="A1647" s="1" t="n">
        <v>44846</v>
      </c>
      <c r="B1647" s="5" t="n">
        <v>0.001147555591464729</v>
      </c>
      <c r="C1647" s="5" t="n">
        <v>0.002591339934391107</v>
      </c>
      <c r="D1647" s="5" t="n">
        <v>-0.003322629990116564</v>
      </c>
      <c r="E1647" s="5" t="n">
        <v>-0.0006271826019995125</v>
      </c>
      <c r="F1647" s="5" t="n">
        <v>0.005652874802967092</v>
      </c>
      <c r="G1647" s="5" t="n">
        <v>-0.002879314722933984</v>
      </c>
      <c r="H1647" s="5" t="n">
        <v>-0.002700306039243743</v>
      </c>
      <c r="I1647" s="5" t="n">
        <v>0.0009296071013561444</v>
      </c>
      <c r="J1647" s="5" t="n">
        <v>0.003337113308819099</v>
      </c>
      <c r="K1647" s="5" t="n">
        <v>-0.004391561787072241</v>
      </c>
      <c r="L1647" s="5" t="n">
        <v>-0.0005606543965715311</v>
      </c>
      <c r="M1647" s="5">
        <f>SUMPRODUCT(Exposures!$B$6:$K$6,B1647:K1647)</f>
        <v/>
      </c>
      <c r="N1647" s="5">
        <f>IF(AND($A1647&gt;=DATE(2020,2,1),$A1647&lt;=DATE(2020,5,31)),$M1647,"")</f>
        <v/>
      </c>
      <c r="O1647" s="5">
        <f>IF(AND($A1647&gt;=DATE(2022,1,1),$A1647&lt;=DATE(2022,10,31)),$M1647,"")</f>
        <v/>
      </c>
      <c r="P1647" s="5">
        <f>IF(AND($A1647&gt;=DATE(2018,10,1),$A1647&lt;=DATE(2018,12,31)),$M1647,"")</f>
        <v/>
      </c>
      <c r="Q1647" s="5">
        <f>SUMPRODUCT(Exposures!$B$8:$K$8,B1647:K1647)</f>
        <v/>
      </c>
      <c r="R1647" s="5">
        <f>SUMPRODUCT(Exposures!$B$9:$K$9,B1647:K1647)</f>
        <v/>
      </c>
      <c r="S1647" s="5">
        <f>SUMPRODUCT(Exposures!$B$10:$K$10,B1647:K1647)</f>
        <v/>
      </c>
    </row>
    <row r="1648">
      <c r="A1648" s="1" t="n">
        <v>44847</v>
      </c>
      <c r="B1648" s="5" t="n">
        <v>-0.001894490602381379</v>
      </c>
      <c r="C1648" s="5" t="n">
        <v>0.004223780610947551</v>
      </c>
      <c r="D1648" s="5" t="n">
        <v>0.0001182149954770232</v>
      </c>
      <c r="E1648" s="5" t="n">
        <v>0.002698482912549749</v>
      </c>
      <c r="F1648" s="5" t="n">
        <v>0.0005694364512850664</v>
      </c>
      <c r="G1648" s="5" t="n">
        <v>0.02222389973397638</v>
      </c>
      <c r="H1648" s="5" t="n">
        <v>0.002640823475593303</v>
      </c>
      <c r="I1648" s="5" t="n">
        <v>0.004301654443164759</v>
      </c>
      <c r="J1648" s="5" t="n">
        <v>-0.002818885667490814</v>
      </c>
      <c r="K1648" s="5" t="n">
        <v>-0.003704426881276029</v>
      </c>
      <c r="L1648" s="5" t="n">
        <v>0.002855991646574572</v>
      </c>
      <c r="M1648" s="5">
        <f>SUMPRODUCT(Exposures!$B$6:$K$6,B1648:K1648)</f>
        <v/>
      </c>
      <c r="N1648" s="5">
        <f>IF(AND($A1648&gt;=DATE(2020,2,1),$A1648&lt;=DATE(2020,5,31)),$M1648,"")</f>
        <v/>
      </c>
      <c r="O1648" s="5">
        <f>IF(AND($A1648&gt;=DATE(2022,1,1),$A1648&lt;=DATE(2022,10,31)),$M1648,"")</f>
        <v/>
      </c>
      <c r="P1648" s="5">
        <f>IF(AND($A1648&gt;=DATE(2018,10,1),$A1648&lt;=DATE(2018,12,31)),$M1648,"")</f>
        <v/>
      </c>
      <c r="Q1648" s="5">
        <f>SUMPRODUCT(Exposures!$B$8:$K$8,B1648:K1648)</f>
        <v/>
      </c>
      <c r="R1648" s="5">
        <f>SUMPRODUCT(Exposures!$B$9:$K$9,B1648:K1648)</f>
        <v/>
      </c>
      <c r="S1648" s="5">
        <f>SUMPRODUCT(Exposures!$B$10:$K$10,B1648:K1648)</f>
        <v/>
      </c>
    </row>
    <row r="1649">
      <c r="A1649" s="1" t="n">
        <v>44848</v>
      </c>
      <c r="B1649" s="5" t="n">
        <v>-0.01130777376249972</v>
      </c>
      <c r="C1649" s="5" t="n">
        <v>0.0003047282311927127</v>
      </c>
      <c r="D1649" s="5" t="n">
        <v>0.001082234407922791</v>
      </c>
      <c r="E1649" s="5" t="n">
        <v>-0.002185937339009787</v>
      </c>
      <c r="F1649" s="5" t="n">
        <v>-0.003772074263472759</v>
      </c>
      <c r="G1649" s="5" t="n">
        <v>-0.0233767463477596</v>
      </c>
      <c r="H1649" s="5" t="n">
        <v>-0.006196994558320295</v>
      </c>
      <c r="I1649" s="5" t="n">
        <v>0.002501683302067025</v>
      </c>
      <c r="J1649" s="5" t="n">
        <v>-0.002290936926152178</v>
      </c>
      <c r="K1649" s="5" t="n">
        <v>0.002043480680544584</v>
      </c>
      <c r="L1649" s="5" t="n">
        <v>0.00224615427272714</v>
      </c>
      <c r="M1649" s="5">
        <f>SUMPRODUCT(Exposures!$B$6:$K$6,B1649:K1649)</f>
        <v/>
      </c>
      <c r="N1649" s="5">
        <f>IF(AND($A1649&gt;=DATE(2020,2,1),$A1649&lt;=DATE(2020,5,31)),$M1649,"")</f>
        <v/>
      </c>
      <c r="O1649" s="5">
        <f>IF(AND($A1649&gt;=DATE(2022,1,1),$A1649&lt;=DATE(2022,10,31)),$M1649,"")</f>
        <v/>
      </c>
      <c r="P1649" s="5">
        <f>IF(AND($A1649&gt;=DATE(2018,10,1),$A1649&lt;=DATE(2018,12,31)),$M1649,"")</f>
        <v/>
      </c>
      <c r="Q1649" s="5">
        <f>SUMPRODUCT(Exposures!$B$8:$K$8,B1649:K1649)</f>
        <v/>
      </c>
      <c r="R1649" s="5">
        <f>SUMPRODUCT(Exposures!$B$9:$K$9,B1649:K1649)</f>
        <v/>
      </c>
      <c r="S1649" s="5">
        <f>SUMPRODUCT(Exposures!$B$10:$K$10,B1649:K1649)</f>
        <v/>
      </c>
    </row>
    <row r="1650">
      <c r="A1650" s="1" t="n">
        <v>44851</v>
      </c>
      <c r="B1650" s="5" t="n">
        <v>0.01079142171275727</v>
      </c>
      <c r="C1650" s="5" t="n">
        <v>-0.0005603955069275805</v>
      </c>
      <c r="D1650" s="5" t="n">
        <v>-0.001760628535558517</v>
      </c>
      <c r="E1650" s="5" t="n">
        <v>0.0005044111871838769</v>
      </c>
      <c r="F1650" s="5" t="n">
        <v>-0.002678652983444984</v>
      </c>
      <c r="G1650" s="5" t="n">
        <v>0.02723356722589008</v>
      </c>
      <c r="H1650" s="5" t="n">
        <v>-0.001842232435266575</v>
      </c>
      <c r="I1650" s="5" t="n">
        <v>-0.002255483412130487</v>
      </c>
      <c r="J1650" s="5" t="n">
        <v>0.0003962887554056255</v>
      </c>
      <c r="K1650" s="5" t="n">
        <v>0.005686733532848568</v>
      </c>
      <c r="L1650" s="5" t="n">
        <v>-0.0003314920485793364</v>
      </c>
      <c r="M1650" s="5">
        <f>SUMPRODUCT(Exposures!$B$6:$K$6,B1650:K1650)</f>
        <v/>
      </c>
      <c r="N1650" s="5">
        <f>IF(AND($A1650&gt;=DATE(2020,2,1),$A1650&lt;=DATE(2020,5,31)),$M1650,"")</f>
        <v/>
      </c>
      <c r="O1650" s="5">
        <f>IF(AND($A1650&gt;=DATE(2022,1,1),$A1650&lt;=DATE(2022,10,31)),$M1650,"")</f>
        <v/>
      </c>
      <c r="P1650" s="5">
        <f>IF(AND($A1650&gt;=DATE(2018,10,1),$A1650&lt;=DATE(2018,12,31)),$M1650,"")</f>
        <v/>
      </c>
      <c r="Q1650" s="5">
        <f>SUMPRODUCT(Exposures!$B$8:$K$8,B1650:K1650)</f>
        <v/>
      </c>
      <c r="R1650" s="5">
        <f>SUMPRODUCT(Exposures!$B$9:$K$9,B1650:K1650)</f>
        <v/>
      </c>
      <c r="S1650" s="5">
        <f>SUMPRODUCT(Exposures!$B$10:$K$10,B1650:K1650)</f>
        <v/>
      </c>
    </row>
    <row r="1651">
      <c r="A1651" s="1" t="n">
        <v>44852</v>
      </c>
      <c r="B1651" s="5" t="n">
        <v>0.003325415532765473</v>
      </c>
      <c r="C1651" s="5" t="n">
        <v>-0.00147199243093388</v>
      </c>
      <c r="D1651" s="5" t="n">
        <v>0.001197362021925275</v>
      </c>
      <c r="E1651" s="5" t="n">
        <v>0.001440279007418485</v>
      </c>
      <c r="F1651" s="5" t="n">
        <v>0.0027156705454483</v>
      </c>
      <c r="G1651" s="5" t="n">
        <v>0.01238127634439502</v>
      </c>
      <c r="H1651" s="5" t="n">
        <v>0.0008437563469123432</v>
      </c>
      <c r="I1651" s="5" t="n">
        <v>-0.001899384522143698</v>
      </c>
      <c r="J1651" s="5" t="n">
        <v>-0.003949911471967027</v>
      </c>
      <c r="K1651" s="5" t="n">
        <v>-0.003901042995948</v>
      </c>
      <c r="L1651" s="5" t="n">
        <v>-0.001165246603347347</v>
      </c>
      <c r="M1651" s="5">
        <f>SUMPRODUCT(Exposures!$B$6:$K$6,B1651:K1651)</f>
        <v/>
      </c>
      <c r="N1651" s="5">
        <f>IF(AND($A1651&gt;=DATE(2020,2,1),$A1651&lt;=DATE(2020,5,31)),$M1651,"")</f>
        <v/>
      </c>
      <c r="O1651" s="5">
        <f>IF(AND($A1651&gt;=DATE(2022,1,1),$A1651&lt;=DATE(2022,10,31)),$M1651,"")</f>
        <v/>
      </c>
      <c r="P1651" s="5">
        <f>IF(AND($A1651&gt;=DATE(2018,10,1),$A1651&lt;=DATE(2018,12,31)),$M1651,"")</f>
        <v/>
      </c>
      <c r="Q1651" s="5">
        <f>SUMPRODUCT(Exposures!$B$8:$K$8,B1651:K1651)</f>
        <v/>
      </c>
      <c r="R1651" s="5">
        <f>SUMPRODUCT(Exposures!$B$9:$K$9,B1651:K1651)</f>
        <v/>
      </c>
      <c r="S1651" s="5">
        <f>SUMPRODUCT(Exposures!$B$10:$K$10,B1651:K1651)</f>
        <v/>
      </c>
    </row>
    <row r="1652">
      <c r="A1652" s="1" t="n">
        <v>44853</v>
      </c>
      <c r="B1652" s="5" t="n">
        <v>-0.001384089127758154</v>
      </c>
      <c r="C1652" s="5" t="n">
        <v>3.155032525326582e-05</v>
      </c>
      <c r="D1652" s="5" t="n">
        <v>0.002617415032186581</v>
      </c>
      <c r="E1652" s="5" t="n">
        <v>-0.003374741558025944</v>
      </c>
      <c r="F1652" s="5" t="n">
        <v>0.00527002497657057</v>
      </c>
      <c r="G1652" s="5" t="n">
        <v>-0.01652834299449535</v>
      </c>
      <c r="H1652" s="5" t="n">
        <v>0.007102451836575915</v>
      </c>
      <c r="I1652" s="5" t="n">
        <v>0.006353095791315865</v>
      </c>
      <c r="J1652" s="5" t="n">
        <v>-0.006757232098413734</v>
      </c>
      <c r="K1652" s="5" t="n">
        <v>-0.0105229246633263</v>
      </c>
      <c r="L1652" s="5" t="n">
        <v>-0.004019894235676715</v>
      </c>
      <c r="M1652" s="5">
        <f>SUMPRODUCT(Exposures!$B$6:$K$6,B1652:K1652)</f>
        <v/>
      </c>
      <c r="N1652" s="5">
        <f>IF(AND($A1652&gt;=DATE(2020,2,1),$A1652&lt;=DATE(2020,5,31)),$M1652,"")</f>
        <v/>
      </c>
      <c r="O1652" s="5">
        <f>IF(AND($A1652&gt;=DATE(2022,1,1),$A1652&lt;=DATE(2022,10,31)),$M1652,"")</f>
        <v/>
      </c>
      <c r="P1652" s="5">
        <f>IF(AND($A1652&gt;=DATE(2018,10,1),$A1652&lt;=DATE(2018,12,31)),$M1652,"")</f>
        <v/>
      </c>
      <c r="Q1652" s="5">
        <f>SUMPRODUCT(Exposures!$B$8:$K$8,B1652:K1652)</f>
        <v/>
      </c>
      <c r="R1652" s="5">
        <f>SUMPRODUCT(Exposures!$B$9:$K$9,B1652:K1652)</f>
        <v/>
      </c>
      <c r="S1652" s="5">
        <f>SUMPRODUCT(Exposures!$B$10:$K$10,B1652:K1652)</f>
        <v/>
      </c>
    </row>
    <row r="1653">
      <c r="A1653" s="1" t="n">
        <v>44854</v>
      </c>
      <c r="B1653" s="5" t="n">
        <v>0.001628494782930473</v>
      </c>
      <c r="C1653" s="5" t="n">
        <v>0.001102252416253281</v>
      </c>
      <c r="D1653" s="5" t="n">
        <v>0.0004211356192091718</v>
      </c>
      <c r="E1653" s="5" t="n">
        <v>-0.002441247806867203</v>
      </c>
      <c r="F1653" s="5" t="n">
        <v>0.002469016816723905</v>
      </c>
      <c r="G1653" s="5" t="n">
        <v>-0.008180956789083748</v>
      </c>
      <c r="H1653" s="5" t="n">
        <v>0.002034916862239399</v>
      </c>
      <c r="I1653" s="5" t="n">
        <v>0.002396743612904983</v>
      </c>
      <c r="J1653" s="5" t="n">
        <v>0.008086324157923286</v>
      </c>
      <c r="K1653" s="5" t="n">
        <v>0.001054783087635066</v>
      </c>
      <c r="L1653" s="5" t="n">
        <v>0.0004785528466576935</v>
      </c>
      <c r="M1653" s="5">
        <f>SUMPRODUCT(Exposures!$B$6:$K$6,B1653:K1653)</f>
        <v/>
      </c>
      <c r="N1653" s="5">
        <f>IF(AND($A1653&gt;=DATE(2020,2,1),$A1653&lt;=DATE(2020,5,31)),$M1653,"")</f>
        <v/>
      </c>
      <c r="O1653" s="5">
        <f>IF(AND($A1653&gt;=DATE(2022,1,1),$A1653&lt;=DATE(2022,10,31)),$M1653,"")</f>
        <v/>
      </c>
      <c r="P1653" s="5">
        <f>IF(AND($A1653&gt;=DATE(2018,10,1),$A1653&lt;=DATE(2018,12,31)),$M1653,"")</f>
        <v/>
      </c>
      <c r="Q1653" s="5">
        <f>SUMPRODUCT(Exposures!$B$8:$K$8,B1653:K1653)</f>
        <v/>
      </c>
      <c r="R1653" s="5">
        <f>SUMPRODUCT(Exposures!$B$9:$K$9,B1653:K1653)</f>
        <v/>
      </c>
      <c r="S1653" s="5">
        <f>SUMPRODUCT(Exposures!$B$10:$K$10,B1653:K1653)</f>
        <v/>
      </c>
    </row>
    <row r="1654">
      <c r="A1654" s="1" t="n">
        <v>44855</v>
      </c>
      <c r="B1654" s="5" t="n">
        <v>0.004699910884813006</v>
      </c>
      <c r="C1654" s="5" t="n">
        <v>0.002087835569768237</v>
      </c>
      <c r="D1654" s="5" t="n">
        <v>0.0008679972023237766</v>
      </c>
      <c r="E1654" s="5" t="n">
        <v>0.002904787336663581</v>
      </c>
      <c r="F1654" s="5" t="n">
        <v>0.00406126769576897</v>
      </c>
      <c r="G1654" s="5" t="n">
        <v>0.02019041956838657</v>
      </c>
      <c r="H1654" s="5" t="n">
        <v>0.003953492790336832</v>
      </c>
      <c r="I1654" s="5" t="n">
        <v>-0.001783965707882203</v>
      </c>
      <c r="J1654" s="5" t="n">
        <v>-0.00105376856828545</v>
      </c>
      <c r="K1654" s="5" t="n">
        <v>-0.003525425863316997</v>
      </c>
      <c r="L1654" s="5" t="n">
        <v>0.0003430515135679187</v>
      </c>
      <c r="M1654" s="5">
        <f>SUMPRODUCT(Exposures!$B$6:$K$6,B1654:K1654)</f>
        <v/>
      </c>
      <c r="N1654" s="5">
        <f>IF(AND($A1654&gt;=DATE(2020,2,1),$A1654&lt;=DATE(2020,5,31)),$M1654,"")</f>
        <v/>
      </c>
      <c r="O1654" s="5">
        <f>IF(AND($A1654&gt;=DATE(2022,1,1),$A1654&lt;=DATE(2022,10,31)),$M1654,"")</f>
        <v/>
      </c>
      <c r="P1654" s="5">
        <f>IF(AND($A1654&gt;=DATE(2018,10,1),$A1654&lt;=DATE(2018,12,31)),$M1654,"")</f>
        <v/>
      </c>
      <c r="Q1654" s="5">
        <f>SUMPRODUCT(Exposures!$B$8:$K$8,B1654:K1654)</f>
        <v/>
      </c>
      <c r="R1654" s="5">
        <f>SUMPRODUCT(Exposures!$B$9:$K$9,B1654:K1654)</f>
        <v/>
      </c>
      <c r="S1654" s="5">
        <f>SUMPRODUCT(Exposures!$B$10:$K$10,B1654:K1654)</f>
        <v/>
      </c>
    </row>
    <row r="1655">
      <c r="A1655" s="1" t="n">
        <v>44858</v>
      </c>
      <c r="B1655" s="5" t="n">
        <v>0.005965551175563291</v>
      </c>
      <c r="C1655" s="5" t="n">
        <v>0.001162338029270902</v>
      </c>
      <c r="D1655" s="5" t="n">
        <v>-0.002320019739246198</v>
      </c>
      <c r="E1655" s="5" t="n">
        <v>0.001678773518797076</v>
      </c>
      <c r="F1655" s="5" t="n">
        <v>0.01009630240139283</v>
      </c>
      <c r="G1655" s="5" t="n">
        <v>0.006448613558021348</v>
      </c>
      <c r="H1655" s="5" t="n">
        <v>0.002513872676033682</v>
      </c>
      <c r="I1655" s="5" t="n">
        <v>0.005203984519879624</v>
      </c>
      <c r="J1655" s="5" t="n">
        <v>-0.01868146617760227</v>
      </c>
      <c r="K1655" s="5" t="n">
        <v>-0.02135359668118442</v>
      </c>
      <c r="L1655" s="5" t="n">
        <v>-0.008385418515733028</v>
      </c>
      <c r="M1655" s="5">
        <f>SUMPRODUCT(Exposures!$B$6:$K$6,B1655:K1655)</f>
        <v/>
      </c>
      <c r="N1655" s="5">
        <f>IF(AND($A1655&gt;=DATE(2020,2,1),$A1655&lt;=DATE(2020,5,31)),$M1655,"")</f>
        <v/>
      </c>
      <c r="O1655" s="5">
        <f>IF(AND($A1655&gt;=DATE(2022,1,1),$A1655&lt;=DATE(2022,10,31)),$M1655,"")</f>
        <v/>
      </c>
      <c r="P1655" s="5">
        <f>IF(AND($A1655&gt;=DATE(2018,10,1),$A1655&lt;=DATE(2018,12,31)),$M1655,"")</f>
        <v/>
      </c>
      <c r="Q1655" s="5">
        <f>SUMPRODUCT(Exposures!$B$8:$K$8,B1655:K1655)</f>
        <v/>
      </c>
      <c r="R1655" s="5">
        <f>SUMPRODUCT(Exposures!$B$9:$K$9,B1655:K1655)</f>
        <v/>
      </c>
      <c r="S1655" s="5">
        <f>SUMPRODUCT(Exposures!$B$10:$K$10,B1655:K1655)</f>
        <v/>
      </c>
    </row>
    <row r="1656">
      <c r="A1656" s="1" t="n">
        <v>44859</v>
      </c>
      <c r="B1656" s="5" t="n">
        <v>0.007571141640415596</v>
      </c>
      <c r="C1656" s="5" t="n">
        <v>-0.001278666798241118</v>
      </c>
      <c r="D1656" s="5" t="n">
        <v>-0.001652673699188186</v>
      </c>
      <c r="E1656" s="5" t="n">
        <v>0.001075039663682125</v>
      </c>
      <c r="F1656" s="5" t="n">
        <v>0.005671918740484452</v>
      </c>
      <c r="G1656" s="5" t="n">
        <v>0.02809406693530205</v>
      </c>
      <c r="H1656" s="5" t="n">
        <v>-0.002133253101616925</v>
      </c>
      <c r="I1656" s="5" t="n">
        <v>-1.52259942303311e-05</v>
      </c>
      <c r="J1656" s="5" t="n">
        <v>0.00259820739954446</v>
      </c>
      <c r="K1656" s="5" t="n">
        <v>-0.01135672334537774</v>
      </c>
      <c r="L1656" s="5" t="n">
        <v>-0.0001561435500731006</v>
      </c>
      <c r="M1656" s="5">
        <f>SUMPRODUCT(Exposures!$B$6:$K$6,B1656:K1656)</f>
        <v/>
      </c>
      <c r="N1656" s="5">
        <f>IF(AND($A1656&gt;=DATE(2020,2,1),$A1656&lt;=DATE(2020,5,31)),$M1656,"")</f>
        <v/>
      </c>
      <c r="O1656" s="5">
        <f>IF(AND($A1656&gt;=DATE(2022,1,1),$A1656&lt;=DATE(2022,10,31)),$M1656,"")</f>
        <v/>
      </c>
      <c r="P1656" s="5">
        <f>IF(AND($A1656&gt;=DATE(2018,10,1),$A1656&lt;=DATE(2018,12,31)),$M1656,"")</f>
        <v/>
      </c>
      <c r="Q1656" s="5">
        <f>SUMPRODUCT(Exposures!$B$8:$K$8,B1656:K1656)</f>
        <v/>
      </c>
      <c r="R1656" s="5">
        <f>SUMPRODUCT(Exposures!$B$9:$K$9,B1656:K1656)</f>
        <v/>
      </c>
      <c r="S1656" s="5">
        <f>SUMPRODUCT(Exposures!$B$10:$K$10,B1656:K1656)</f>
        <v/>
      </c>
    </row>
    <row r="1657">
      <c r="A1657" s="1" t="n">
        <v>44860</v>
      </c>
      <c r="B1657" s="5" t="n">
        <v>-0.007896964419339021</v>
      </c>
      <c r="C1657" s="5" t="n">
        <v>0.0003480289997791198</v>
      </c>
      <c r="D1657" s="5" t="n">
        <v>0.0004995597849771984</v>
      </c>
      <c r="E1657" s="5" t="n">
        <v>0.004573639117388929</v>
      </c>
      <c r="F1657" s="5" t="n">
        <v>-0.01606122197563123</v>
      </c>
      <c r="G1657" s="5" t="n">
        <v>0.006000235132647727</v>
      </c>
      <c r="H1657" s="5" t="n">
        <v>0.00273850989911147</v>
      </c>
      <c r="I1657" s="5" t="n">
        <v>0.0008643583726198349</v>
      </c>
      <c r="J1657" s="5" t="n">
        <v>0.01668363503451537</v>
      </c>
      <c r="K1657" s="5" t="n">
        <v>0.01030649023271006</v>
      </c>
      <c r="L1657" s="5" t="n">
        <v>0.003432096651487018</v>
      </c>
      <c r="M1657" s="5">
        <f>SUMPRODUCT(Exposures!$B$6:$K$6,B1657:K1657)</f>
        <v/>
      </c>
      <c r="N1657" s="5">
        <f>IF(AND($A1657&gt;=DATE(2020,2,1),$A1657&lt;=DATE(2020,5,31)),$M1657,"")</f>
        <v/>
      </c>
      <c r="O1657" s="5">
        <f>IF(AND($A1657&gt;=DATE(2022,1,1),$A1657&lt;=DATE(2022,10,31)),$M1657,"")</f>
        <v/>
      </c>
      <c r="P1657" s="5">
        <f>IF(AND($A1657&gt;=DATE(2018,10,1),$A1657&lt;=DATE(2018,12,31)),$M1657,"")</f>
        <v/>
      </c>
      <c r="Q1657" s="5">
        <f>SUMPRODUCT(Exposures!$B$8:$K$8,B1657:K1657)</f>
        <v/>
      </c>
      <c r="R1657" s="5">
        <f>SUMPRODUCT(Exposures!$B$9:$K$9,B1657:K1657)</f>
        <v/>
      </c>
      <c r="S1657" s="5">
        <f>SUMPRODUCT(Exposures!$B$10:$K$10,B1657:K1657)</f>
        <v/>
      </c>
    </row>
    <row r="1658">
      <c r="A1658" s="1" t="n">
        <v>44861</v>
      </c>
      <c r="B1658" s="5" t="n">
        <v>-0.004846173526148758</v>
      </c>
      <c r="C1658" s="5" t="n">
        <v>0.00307186974488355</v>
      </c>
      <c r="D1658" s="5" t="n">
        <v>0.00654858397191554</v>
      </c>
      <c r="E1658" s="5" t="n">
        <v>0.001924984919698893</v>
      </c>
      <c r="F1658" s="5" t="n">
        <v>0.0009146360551740788</v>
      </c>
      <c r="G1658" s="5" t="n">
        <v>0.0004117162771352654</v>
      </c>
      <c r="H1658" s="5" t="n">
        <v>0.003332173105320761</v>
      </c>
      <c r="I1658" s="5" t="n">
        <v>0.003686681069644486</v>
      </c>
      <c r="J1658" s="5" t="n">
        <v>-0.001164776351085024</v>
      </c>
      <c r="K1658" s="5" t="n">
        <v>-0.01197597794424354</v>
      </c>
      <c r="L1658" s="5" t="n">
        <v>-0.004705523986472482</v>
      </c>
      <c r="M1658" s="5">
        <f>SUMPRODUCT(Exposures!$B$6:$K$6,B1658:K1658)</f>
        <v/>
      </c>
      <c r="N1658" s="5">
        <f>IF(AND($A1658&gt;=DATE(2020,2,1),$A1658&lt;=DATE(2020,5,31)),$M1658,"")</f>
        <v/>
      </c>
      <c r="O1658" s="5">
        <f>IF(AND($A1658&gt;=DATE(2022,1,1),$A1658&lt;=DATE(2022,10,31)),$M1658,"")</f>
        <v/>
      </c>
      <c r="P1658" s="5">
        <f>IF(AND($A1658&gt;=DATE(2018,10,1),$A1658&lt;=DATE(2018,12,31)),$M1658,"")</f>
        <v/>
      </c>
      <c r="Q1658" s="5">
        <f>SUMPRODUCT(Exposures!$B$8:$K$8,B1658:K1658)</f>
        <v/>
      </c>
      <c r="R1658" s="5">
        <f>SUMPRODUCT(Exposures!$B$9:$K$9,B1658:K1658)</f>
        <v/>
      </c>
      <c r="S1658" s="5">
        <f>SUMPRODUCT(Exposures!$B$10:$K$10,B1658:K1658)</f>
        <v/>
      </c>
    </row>
    <row r="1659">
      <c r="A1659" s="1" t="n">
        <v>44862</v>
      </c>
      <c r="B1659" s="5" t="n">
        <v>0.003287805965102032</v>
      </c>
      <c r="C1659" s="5" t="n">
        <v>-0.002997224994755635</v>
      </c>
      <c r="D1659" s="5" t="n">
        <v>0.0008746303695677628</v>
      </c>
      <c r="E1659" s="5" t="n">
        <v>0.001940449844591148</v>
      </c>
      <c r="F1659" s="5" t="n">
        <v>0.005258376835518658</v>
      </c>
      <c r="G1659" s="5" t="n">
        <v>0.01826705240654717</v>
      </c>
      <c r="H1659" s="5" t="n">
        <v>2.152859218686751e-05</v>
      </c>
      <c r="I1659" s="5" t="n">
        <v>0.001853087791993263</v>
      </c>
      <c r="J1659" s="5" t="n">
        <v>-0.009734237385320024</v>
      </c>
      <c r="K1659" s="5" t="n">
        <v>-0.009063728635305265</v>
      </c>
      <c r="L1659" s="5" t="n">
        <v>-0.00127337303117108</v>
      </c>
      <c r="M1659" s="5">
        <f>SUMPRODUCT(Exposures!$B$6:$K$6,B1659:K1659)</f>
        <v/>
      </c>
      <c r="N1659" s="5">
        <f>IF(AND($A1659&gt;=DATE(2020,2,1),$A1659&lt;=DATE(2020,5,31)),$M1659,"")</f>
        <v/>
      </c>
      <c r="O1659" s="5">
        <f>IF(AND($A1659&gt;=DATE(2022,1,1),$A1659&lt;=DATE(2022,10,31)),$M1659,"")</f>
        <v/>
      </c>
      <c r="P1659" s="5">
        <f>IF(AND($A1659&gt;=DATE(2018,10,1),$A1659&lt;=DATE(2018,12,31)),$M1659,"")</f>
        <v/>
      </c>
      <c r="Q1659" s="5">
        <f>SUMPRODUCT(Exposures!$B$8:$K$8,B1659:K1659)</f>
        <v/>
      </c>
      <c r="R1659" s="5">
        <f>SUMPRODUCT(Exposures!$B$9:$K$9,B1659:K1659)</f>
        <v/>
      </c>
      <c r="S1659" s="5">
        <f>SUMPRODUCT(Exposures!$B$10:$K$10,B1659:K1659)</f>
        <v/>
      </c>
    </row>
    <row r="1660">
      <c r="A1660" s="1" t="n">
        <v>44865</v>
      </c>
      <c r="B1660" s="5" t="n">
        <v>-0.004106999823188965</v>
      </c>
      <c r="C1660" s="5" t="n">
        <v>-0.001180653060565241</v>
      </c>
      <c r="D1660" s="5" t="n">
        <v>6.969253458684335e-05</v>
      </c>
      <c r="E1660" s="5" t="n">
        <v>0.001110112341217753</v>
      </c>
      <c r="F1660" s="5" t="n">
        <v>-0.0008785009035014123</v>
      </c>
      <c r="G1660" s="5" t="n">
        <v>-0.003432510392781541</v>
      </c>
      <c r="H1660" s="5" t="n">
        <v>-0.0003922245717732209</v>
      </c>
      <c r="I1660" s="5" t="n">
        <v>-0.0003738638933026112</v>
      </c>
      <c r="J1660" s="5" t="n">
        <v>0.00311079877664314</v>
      </c>
      <c r="K1660" s="5" t="n">
        <v>-0.0006444114589151495</v>
      </c>
      <c r="L1660" s="5" t="n">
        <v>-0.0001151283049322313</v>
      </c>
      <c r="M1660" s="5">
        <f>SUMPRODUCT(Exposures!$B$6:$K$6,B1660:K1660)</f>
        <v/>
      </c>
      <c r="N1660" s="5">
        <f>IF(AND($A1660&gt;=DATE(2020,2,1),$A1660&lt;=DATE(2020,5,31)),$M1660,"")</f>
        <v/>
      </c>
      <c r="O1660" s="5">
        <f>IF(AND($A1660&gt;=DATE(2022,1,1),$A1660&lt;=DATE(2022,10,31)),$M1660,"")</f>
        <v/>
      </c>
      <c r="P1660" s="5">
        <f>IF(AND($A1660&gt;=DATE(2018,10,1),$A1660&lt;=DATE(2018,12,31)),$M1660,"")</f>
        <v/>
      </c>
      <c r="Q1660" s="5">
        <f>SUMPRODUCT(Exposures!$B$8:$K$8,B1660:K1660)</f>
        <v/>
      </c>
      <c r="R1660" s="5">
        <f>SUMPRODUCT(Exposures!$B$9:$K$9,B1660:K1660)</f>
        <v/>
      </c>
      <c r="S1660" s="5">
        <f>SUMPRODUCT(Exposures!$B$10:$K$10,B1660:K1660)</f>
        <v/>
      </c>
    </row>
    <row r="1661">
      <c r="A1661" s="1" t="n">
        <v>44866</v>
      </c>
      <c r="B1661" s="5" t="n">
        <v>-0.004022272205928733</v>
      </c>
      <c r="C1661" s="5" t="n">
        <v>0.002054143296772753</v>
      </c>
      <c r="D1661" s="5" t="n">
        <v>-0.0009618251215708995</v>
      </c>
      <c r="E1661" s="5" t="n">
        <v>0.002432157524154355</v>
      </c>
      <c r="F1661" s="5" t="n">
        <v>-0.0086289272973633</v>
      </c>
      <c r="G1661" s="5" t="n">
        <v>0.004596928423132605</v>
      </c>
      <c r="H1661" s="5" t="n">
        <v>0.001080895105398787</v>
      </c>
      <c r="I1661" s="5" t="n">
        <v>-0.001598169438691742</v>
      </c>
      <c r="J1661" s="5" t="n">
        <v>0.007294744248109419</v>
      </c>
      <c r="K1661" s="5" t="n">
        <v>0.005347303498483999</v>
      </c>
      <c r="L1661" s="5" t="n">
        <v>0.004306774198255251</v>
      </c>
      <c r="M1661" s="5">
        <f>SUMPRODUCT(Exposures!$B$6:$K$6,B1661:K1661)</f>
        <v/>
      </c>
      <c r="N1661" s="5">
        <f>IF(AND($A1661&gt;=DATE(2020,2,1),$A1661&lt;=DATE(2020,5,31)),$M1661,"")</f>
        <v/>
      </c>
      <c r="O1661" s="5">
        <f>IF(AND($A1661&gt;=DATE(2022,1,1),$A1661&lt;=DATE(2022,10,31)),$M1661,"")</f>
        <v/>
      </c>
      <c r="P1661" s="5">
        <f>IF(AND($A1661&gt;=DATE(2018,10,1),$A1661&lt;=DATE(2018,12,31)),$M1661,"")</f>
        <v/>
      </c>
      <c r="Q1661" s="5">
        <f>SUMPRODUCT(Exposures!$B$8:$K$8,B1661:K1661)</f>
        <v/>
      </c>
      <c r="R1661" s="5">
        <f>SUMPRODUCT(Exposures!$B$9:$K$9,B1661:K1661)</f>
        <v/>
      </c>
      <c r="S1661" s="5">
        <f>SUMPRODUCT(Exposures!$B$10:$K$10,B1661:K1661)</f>
        <v/>
      </c>
    </row>
    <row r="1662">
      <c r="A1662" s="1" t="n">
        <v>44867</v>
      </c>
      <c r="B1662" s="5" t="n">
        <v>-0.008733223597462323</v>
      </c>
      <c r="C1662" s="5" t="n">
        <v>-0.002724961490849675</v>
      </c>
      <c r="D1662" s="5" t="n">
        <v>0.001052260938642319</v>
      </c>
      <c r="E1662" s="5" t="n">
        <v>-0.001215559395264742</v>
      </c>
      <c r="F1662" s="5" t="n">
        <v>-0.007271397781431542</v>
      </c>
      <c r="G1662" s="5" t="n">
        <v>-0.02679414039295327</v>
      </c>
      <c r="H1662" s="5" t="n">
        <v>-0.00219885178387775</v>
      </c>
      <c r="I1662" s="5" t="n">
        <v>0.0004911765012743552</v>
      </c>
      <c r="J1662" s="5" t="n">
        <v>-0.001124843086389703</v>
      </c>
      <c r="K1662" s="5" t="n">
        <v>0.009459910927626831</v>
      </c>
      <c r="L1662" s="5" t="n">
        <v>0.004386082936889693</v>
      </c>
      <c r="M1662" s="5">
        <f>SUMPRODUCT(Exposures!$B$6:$K$6,B1662:K1662)</f>
        <v/>
      </c>
      <c r="N1662" s="5">
        <f>IF(AND($A1662&gt;=DATE(2020,2,1),$A1662&lt;=DATE(2020,5,31)),$M1662,"")</f>
        <v/>
      </c>
      <c r="O1662" s="5">
        <f>IF(AND($A1662&gt;=DATE(2022,1,1),$A1662&lt;=DATE(2022,10,31)),$M1662,"")</f>
        <v/>
      </c>
      <c r="P1662" s="5">
        <f>IF(AND($A1662&gt;=DATE(2018,10,1),$A1662&lt;=DATE(2018,12,31)),$M1662,"")</f>
        <v/>
      </c>
      <c r="Q1662" s="5">
        <f>SUMPRODUCT(Exposures!$B$8:$K$8,B1662:K1662)</f>
        <v/>
      </c>
      <c r="R1662" s="5">
        <f>SUMPRODUCT(Exposures!$B$9:$K$9,B1662:K1662)</f>
        <v/>
      </c>
      <c r="S1662" s="5">
        <f>SUMPRODUCT(Exposures!$B$10:$K$10,B1662:K1662)</f>
        <v/>
      </c>
    </row>
    <row r="1663">
      <c r="A1663" s="1" t="n">
        <v>44868</v>
      </c>
      <c r="B1663" s="5" t="n">
        <v>-0.001460050052271442</v>
      </c>
      <c r="C1663" s="5" t="n">
        <v>-0.005924323751777944</v>
      </c>
      <c r="D1663" s="5" t="n">
        <v>0.001776375047292311</v>
      </c>
      <c r="E1663" s="5" t="n">
        <v>0.0001003964595547749</v>
      </c>
      <c r="F1663" s="5" t="n">
        <v>0.0002984678170456346</v>
      </c>
      <c r="G1663" s="5" t="n">
        <v>-0.004177895893013701</v>
      </c>
      <c r="H1663" s="5" t="n">
        <v>0.007432378817312171</v>
      </c>
      <c r="I1663" s="5" t="n">
        <v>-0.002706230568122595</v>
      </c>
      <c r="J1663" s="5" t="n">
        <v>0.003994218654590696</v>
      </c>
      <c r="K1663" s="5" t="n">
        <v>-0.0002949901372111399</v>
      </c>
      <c r="L1663" s="5" t="n">
        <v>0.00417944476102773</v>
      </c>
      <c r="M1663" s="5">
        <f>SUMPRODUCT(Exposures!$B$6:$K$6,B1663:K1663)</f>
        <v/>
      </c>
      <c r="N1663" s="5">
        <f>IF(AND($A1663&gt;=DATE(2020,2,1),$A1663&lt;=DATE(2020,5,31)),$M1663,"")</f>
        <v/>
      </c>
      <c r="O1663" s="5">
        <f>IF(AND($A1663&gt;=DATE(2022,1,1),$A1663&lt;=DATE(2022,10,31)),$M1663,"")</f>
        <v/>
      </c>
      <c r="P1663" s="5">
        <f>IF(AND($A1663&gt;=DATE(2018,10,1),$A1663&lt;=DATE(2018,12,31)),$M1663,"")</f>
        <v/>
      </c>
      <c r="Q1663" s="5">
        <f>SUMPRODUCT(Exposures!$B$8:$K$8,B1663:K1663)</f>
        <v/>
      </c>
      <c r="R1663" s="5">
        <f>SUMPRODUCT(Exposures!$B$9:$K$9,B1663:K1663)</f>
        <v/>
      </c>
      <c r="S1663" s="5">
        <f>SUMPRODUCT(Exposures!$B$10:$K$10,B1663:K1663)</f>
        <v/>
      </c>
    </row>
    <row r="1664">
      <c r="A1664" s="1" t="n">
        <v>44869</v>
      </c>
      <c r="B1664" s="5" t="n">
        <v>0.003609978292467882</v>
      </c>
      <c r="C1664" s="5" t="n">
        <v>0.004221463862789488</v>
      </c>
      <c r="D1664" s="5" t="n">
        <v>-0.0013078176595586</v>
      </c>
      <c r="E1664" s="5" t="n">
        <v>0.001106010583768409</v>
      </c>
      <c r="F1664" s="5" t="n">
        <v>-0.004779395847309603</v>
      </c>
      <c r="G1664" s="5" t="n">
        <v>0.01725519294133937</v>
      </c>
      <c r="H1664" s="5" t="n">
        <v>-0.004615111312983193</v>
      </c>
      <c r="I1664" s="5" t="n">
        <v>0.001347989022869151</v>
      </c>
      <c r="J1664" s="5" t="n">
        <v>-0.001706142290624872</v>
      </c>
      <c r="K1664" s="5" t="n">
        <v>0.004906911954752796</v>
      </c>
      <c r="L1664" s="5" t="n">
        <v>0.005260687523714382</v>
      </c>
      <c r="M1664" s="5">
        <f>SUMPRODUCT(Exposures!$B$6:$K$6,B1664:K1664)</f>
        <v/>
      </c>
      <c r="N1664" s="5">
        <f>IF(AND($A1664&gt;=DATE(2020,2,1),$A1664&lt;=DATE(2020,5,31)),$M1664,"")</f>
        <v/>
      </c>
      <c r="O1664" s="5">
        <f>IF(AND($A1664&gt;=DATE(2022,1,1),$A1664&lt;=DATE(2022,10,31)),$M1664,"")</f>
        <v/>
      </c>
      <c r="P1664" s="5">
        <f>IF(AND($A1664&gt;=DATE(2018,10,1),$A1664&lt;=DATE(2018,12,31)),$M1664,"")</f>
        <v/>
      </c>
      <c r="Q1664" s="5">
        <f>SUMPRODUCT(Exposures!$B$8:$K$8,B1664:K1664)</f>
        <v/>
      </c>
      <c r="R1664" s="5">
        <f>SUMPRODUCT(Exposures!$B$9:$K$9,B1664:K1664)</f>
        <v/>
      </c>
      <c r="S1664" s="5">
        <f>SUMPRODUCT(Exposures!$B$10:$K$10,B1664:K1664)</f>
        <v/>
      </c>
    </row>
    <row r="1665">
      <c r="A1665" s="1" t="n">
        <v>44872</v>
      </c>
      <c r="B1665" s="5" t="n">
        <v>0.001788000071969941</v>
      </c>
      <c r="C1665" s="5" t="n">
        <v>0.001927734630369057</v>
      </c>
      <c r="D1665" s="5" t="n">
        <v>-0.001418985827019091</v>
      </c>
      <c r="E1665" s="5" t="n">
        <v>0.0004494026607844144</v>
      </c>
      <c r="F1665" s="5" t="n">
        <v>-0.0007698459654326196</v>
      </c>
      <c r="G1665" s="5" t="n">
        <v>0.006260757763512386</v>
      </c>
      <c r="H1665" s="5" t="n">
        <v>-0.004106679963590775</v>
      </c>
      <c r="I1665" s="5" t="n">
        <v>0.003138085285396274</v>
      </c>
      <c r="J1665" s="5" t="n">
        <v>-0.006932053886473442</v>
      </c>
      <c r="K1665" s="5" t="n">
        <v>-0.0007140149744051279</v>
      </c>
      <c r="L1665" s="5" t="n">
        <v>-0.001184639373209439</v>
      </c>
      <c r="M1665" s="5">
        <f>SUMPRODUCT(Exposures!$B$6:$K$6,B1665:K1665)</f>
        <v/>
      </c>
      <c r="N1665" s="5">
        <f>IF(AND($A1665&gt;=DATE(2020,2,1),$A1665&lt;=DATE(2020,5,31)),$M1665,"")</f>
        <v/>
      </c>
      <c r="O1665" s="5">
        <f>IF(AND($A1665&gt;=DATE(2022,1,1),$A1665&lt;=DATE(2022,10,31)),$M1665,"")</f>
        <v/>
      </c>
      <c r="P1665" s="5">
        <f>IF(AND($A1665&gt;=DATE(2018,10,1),$A1665&lt;=DATE(2018,12,31)),$M1665,"")</f>
        <v/>
      </c>
      <c r="Q1665" s="5">
        <f>SUMPRODUCT(Exposures!$B$8:$K$8,B1665:K1665)</f>
        <v/>
      </c>
      <c r="R1665" s="5">
        <f>SUMPRODUCT(Exposures!$B$9:$K$9,B1665:K1665)</f>
        <v/>
      </c>
      <c r="S1665" s="5">
        <f>SUMPRODUCT(Exposures!$B$10:$K$10,B1665:K1665)</f>
        <v/>
      </c>
    </row>
    <row r="1666">
      <c r="A1666" s="1" t="n">
        <v>44873</v>
      </c>
      <c r="B1666" s="5" t="n">
        <v>-0.002072161157991546</v>
      </c>
      <c r="C1666" s="5" t="n">
        <v>-0.001801989098105367</v>
      </c>
      <c r="D1666" s="5" t="n">
        <v>-0.001257529998932539</v>
      </c>
      <c r="E1666" s="5" t="n">
        <v>0.0004169766201544568</v>
      </c>
      <c r="F1666" s="5" t="n">
        <v>0.01093690294391795</v>
      </c>
      <c r="G1666" s="5" t="n">
        <v>0.004197346116347731</v>
      </c>
      <c r="H1666" s="5" t="n">
        <v>0.001908604142908382</v>
      </c>
      <c r="I1666" s="5" t="n">
        <v>-0.0005166789484537753</v>
      </c>
      <c r="J1666" s="5" t="n">
        <v>-0.001483213489605076</v>
      </c>
      <c r="K1666" s="5" t="n">
        <v>-0.009638973278981687</v>
      </c>
      <c r="L1666" s="5" t="n">
        <v>-0.002828794643006017</v>
      </c>
      <c r="M1666" s="5">
        <f>SUMPRODUCT(Exposures!$B$6:$K$6,B1666:K1666)</f>
        <v/>
      </c>
      <c r="N1666" s="5">
        <f>IF(AND($A1666&gt;=DATE(2020,2,1),$A1666&lt;=DATE(2020,5,31)),$M1666,"")</f>
        <v/>
      </c>
      <c r="O1666" s="5">
        <f>IF(AND($A1666&gt;=DATE(2022,1,1),$A1666&lt;=DATE(2022,10,31)),$M1666,"")</f>
        <v/>
      </c>
      <c r="P1666" s="5">
        <f>IF(AND($A1666&gt;=DATE(2018,10,1),$A1666&lt;=DATE(2018,12,31)),$M1666,"")</f>
        <v/>
      </c>
      <c r="Q1666" s="5">
        <f>SUMPRODUCT(Exposures!$B$8:$K$8,B1666:K1666)</f>
        <v/>
      </c>
      <c r="R1666" s="5">
        <f>SUMPRODUCT(Exposures!$B$9:$K$9,B1666:K1666)</f>
        <v/>
      </c>
      <c r="S1666" s="5">
        <f>SUMPRODUCT(Exposures!$B$10:$K$10,B1666:K1666)</f>
        <v/>
      </c>
    </row>
    <row r="1667">
      <c r="A1667" s="1" t="n">
        <v>44874</v>
      </c>
      <c r="B1667" s="5" t="n">
        <v>-0.01120009393384996</v>
      </c>
      <c r="C1667" s="5" t="n">
        <v>-0.0009221544814779893</v>
      </c>
      <c r="D1667" s="5" t="n">
        <v>0.0009371279465098502</v>
      </c>
      <c r="E1667" s="5" t="n">
        <v>0.001021256421392351</v>
      </c>
      <c r="F1667" s="5" t="n">
        <v>0.001731273606511107</v>
      </c>
      <c r="G1667" s="5" t="n">
        <v>-0.02538244329948598</v>
      </c>
      <c r="H1667" s="5" t="n">
        <v>-0.00441084709896335</v>
      </c>
      <c r="I1667" s="5" t="n">
        <v>-0.003180428755774413</v>
      </c>
      <c r="J1667" s="5" t="n">
        <v>-0.008672873253340031</v>
      </c>
      <c r="K1667" s="5" t="n">
        <v>-0.0001393041285791125</v>
      </c>
      <c r="L1667" s="5" t="n">
        <v>0.001654930874068418</v>
      </c>
      <c r="M1667" s="5">
        <f>SUMPRODUCT(Exposures!$B$6:$K$6,B1667:K1667)</f>
        <v/>
      </c>
      <c r="N1667" s="5">
        <f>IF(AND($A1667&gt;=DATE(2020,2,1),$A1667&lt;=DATE(2020,5,31)),$M1667,"")</f>
        <v/>
      </c>
      <c r="O1667" s="5">
        <f>IF(AND($A1667&gt;=DATE(2022,1,1),$A1667&lt;=DATE(2022,10,31)),$M1667,"")</f>
        <v/>
      </c>
      <c r="P1667" s="5">
        <f>IF(AND($A1667&gt;=DATE(2018,10,1),$A1667&lt;=DATE(2018,12,31)),$M1667,"")</f>
        <v/>
      </c>
      <c r="Q1667" s="5">
        <f>SUMPRODUCT(Exposures!$B$8:$K$8,B1667:K1667)</f>
        <v/>
      </c>
      <c r="R1667" s="5">
        <f>SUMPRODUCT(Exposures!$B$9:$K$9,B1667:K1667)</f>
        <v/>
      </c>
      <c r="S1667" s="5">
        <f>SUMPRODUCT(Exposures!$B$10:$K$10,B1667:K1667)</f>
        <v/>
      </c>
    </row>
    <row r="1668">
      <c r="A1668" s="1" t="n">
        <v>44875</v>
      </c>
      <c r="B1668" s="5" t="n">
        <v>0.01924743466691777</v>
      </c>
      <c r="C1668" s="5" t="n">
        <v>-0.002241000671180914</v>
      </c>
      <c r="D1668" s="5" t="n">
        <v>-0.003993987310709128</v>
      </c>
      <c r="E1668" s="5" t="n">
        <v>0.00153524392870207</v>
      </c>
      <c r="F1668" s="5" t="n">
        <v>0.01328740077005888</v>
      </c>
      <c r="G1668" s="5" t="n">
        <v>0.06178908324543778</v>
      </c>
      <c r="H1668" s="5" t="n">
        <v>-0.02023323122221575</v>
      </c>
      <c r="I1668" s="5" t="n">
        <v>-0.003404268469310642</v>
      </c>
      <c r="J1668" s="5" t="n">
        <v>-0.001699496203451513</v>
      </c>
      <c r="K1668" s="5" t="n">
        <v>-0.007778301630643692</v>
      </c>
      <c r="L1668" s="5" t="n">
        <v>-0.003298362854465301</v>
      </c>
      <c r="M1668" s="5">
        <f>SUMPRODUCT(Exposures!$B$6:$K$6,B1668:K1668)</f>
        <v/>
      </c>
      <c r="N1668" s="5">
        <f>IF(AND($A1668&gt;=DATE(2020,2,1),$A1668&lt;=DATE(2020,5,31)),$M1668,"")</f>
        <v/>
      </c>
      <c r="O1668" s="5">
        <f>IF(AND($A1668&gt;=DATE(2022,1,1),$A1668&lt;=DATE(2022,10,31)),$M1668,"")</f>
        <v/>
      </c>
      <c r="P1668" s="5">
        <f>IF(AND($A1668&gt;=DATE(2018,10,1),$A1668&lt;=DATE(2018,12,31)),$M1668,"")</f>
        <v/>
      </c>
      <c r="Q1668" s="5">
        <f>SUMPRODUCT(Exposures!$B$8:$K$8,B1668:K1668)</f>
        <v/>
      </c>
      <c r="R1668" s="5">
        <f>SUMPRODUCT(Exposures!$B$9:$K$9,B1668:K1668)</f>
        <v/>
      </c>
      <c r="S1668" s="5">
        <f>SUMPRODUCT(Exposures!$B$10:$K$10,B1668:K1668)</f>
        <v/>
      </c>
    </row>
    <row r="1669">
      <c r="A1669" s="1" t="n">
        <v>44876</v>
      </c>
      <c r="B1669" s="5" t="n">
        <v>0.01052253893509742</v>
      </c>
      <c r="C1669" s="5" t="n">
        <v>0.000606284394068275</v>
      </c>
      <c r="D1669" s="5" t="n">
        <v>-0.002984289179428678</v>
      </c>
      <c r="E1669" s="5" t="n">
        <v>0.002477389708327182</v>
      </c>
      <c r="F1669" s="5" t="n">
        <v>0.0109754492409521</v>
      </c>
      <c r="G1669" s="5" t="n">
        <v>0.01104282333274515</v>
      </c>
      <c r="H1669" s="5" t="n">
        <v>-0.01339129022357459</v>
      </c>
      <c r="I1669" s="5" t="n">
        <v>0.002880328635881147</v>
      </c>
      <c r="J1669" s="5" t="n">
        <v>0.001616196976982708</v>
      </c>
      <c r="K1669" s="5" t="n">
        <v>-0.01060467017891629</v>
      </c>
      <c r="L1669" s="5" t="n">
        <v>-0.0008273452686374883</v>
      </c>
      <c r="M1669" s="5">
        <f>SUMPRODUCT(Exposures!$B$6:$K$6,B1669:K1669)</f>
        <v/>
      </c>
      <c r="N1669" s="5">
        <f>IF(AND($A1669&gt;=DATE(2020,2,1),$A1669&lt;=DATE(2020,5,31)),$M1669,"")</f>
        <v/>
      </c>
      <c r="O1669" s="5">
        <f>IF(AND($A1669&gt;=DATE(2022,1,1),$A1669&lt;=DATE(2022,10,31)),$M1669,"")</f>
        <v/>
      </c>
      <c r="P1669" s="5">
        <f>IF(AND($A1669&gt;=DATE(2018,10,1),$A1669&lt;=DATE(2018,12,31)),$M1669,"")</f>
        <v/>
      </c>
      <c r="Q1669" s="5">
        <f>SUMPRODUCT(Exposures!$B$8:$K$8,B1669:K1669)</f>
        <v/>
      </c>
      <c r="R1669" s="5">
        <f>SUMPRODUCT(Exposures!$B$9:$K$9,B1669:K1669)</f>
        <v/>
      </c>
      <c r="S1669" s="5">
        <f>SUMPRODUCT(Exposures!$B$10:$K$10,B1669:K1669)</f>
        <v/>
      </c>
    </row>
    <row r="1670">
      <c r="A1670" s="1" t="n">
        <v>44879</v>
      </c>
      <c r="B1670" s="5" t="n">
        <v>-0.004745473662194613</v>
      </c>
      <c r="C1670" s="5" t="n">
        <v>0.003017003378380275</v>
      </c>
      <c r="D1670" s="5" t="n">
        <v>0.001937547709500314</v>
      </c>
      <c r="E1670" s="5" t="n">
        <v>-0.004017811979038231</v>
      </c>
      <c r="F1670" s="5" t="n">
        <v>0.003153202670102837</v>
      </c>
      <c r="G1670" s="5" t="n">
        <v>-0.01166795503556902</v>
      </c>
      <c r="H1670" s="5" t="n">
        <v>0.008051805879654742</v>
      </c>
      <c r="I1670" s="5" t="n">
        <v>0.001626126043951624</v>
      </c>
      <c r="J1670" s="5" t="n">
        <v>0.005786618128555129</v>
      </c>
      <c r="K1670" s="5" t="n">
        <v>-0.001327812465925603</v>
      </c>
      <c r="L1670" s="5" t="n">
        <v>-0.002545323517868138</v>
      </c>
      <c r="M1670" s="5">
        <f>SUMPRODUCT(Exposures!$B$6:$K$6,B1670:K1670)</f>
        <v/>
      </c>
      <c r="N1670" s="5">
        <f>IF(AND($A1670&gt;=DATE(2020,2,1),$A1670&lt;=DATE(2020,5,31)),$M1670,"")</f>
        <v/>
      </c>
      <c r="O1670" s="5">
        <f>IF(AND($A1670&gt;=DATE(2022,1,1),$A1670&lt;=DATE(2022,10,31)),$M1670,"")</f>
        <v/>
      </c>
      <c r="P1670" s="5">
        <f>IF(AND($A1670&gt;=DATE(2018,10,1),$A1670&lt;=DATE(2018,12,31)),$M1670,"")</f>
        <v/>
      </c>
      <c r="Q1670" s="5">
        <f>SUMPRODUCT(Exposures!$B$8:$K$8,B1670:K1670)</f>
        <v/>
      </c>
      <c r="R1670" s="5">
        <f>SUMPRODUCT(Exposures!$B$9:$K$9,B1670:K1670)</f>
        <v/>
      </c>
      <c r="S1670" s="5">
        <f>SUMPRODUCT(Exposures!$B$10:$K$10,B1670:K1670)</f>
        <v/>
      </c>
    </row>
    <row r="1671">
      <c r="A1671" s="1" t="n">
        <v>44880</v>
      </c>
      <c r="B1671" s="5" t="n">
        <v>0.003141943756115228</v>
      </c>
      <c r="C1671" s="5" t="n">
        <v>-0.002204927099087011</v>
      </c>
      <c r="D1671" s="5" t="n">
        <v>-0.0009391802830332819</v>
      </c>
      <c r="E1671" s="5" t="n">
        <v>-0.000478559122935672</v>
      </c>
      <c r="F1671" s="5" t="n">
        <v>-0.006365896652272282</v>
      </c>
      <c r="G1671" s="5" t="n">
        <v>0.01157641255870068</v>
      </c>
      <c r="H1671" s="5" t="n">
        <v>-0.00411392482379217</v>
      </c>
      <c r="I1671" s="5" t="n">
        <v>-0.001195049725294412</v>
      </c>
      <c r="J1671" s="5" t="n">
        <v>0.008183043601623245</v>
      </c>
      <c r="K1671" s="5" t="n">
        <v>0.01190169739074079</v>
      </c>
      <c r="L1671" s="5" t="n">
        <v>0.003527605926035668</v>
      </c>
      <c r="M1671" s="5">
        <f>SUMPRODUCT(Exposures!$B$6:$K$6,B1671:K1671)</f>
        <v/>
      </c>
      <c r="N1671" s="5">
        <f>IF(AND($A1671&gt;=DATE(2020,2,1),$A1671&lt;=DATE(2020,5,31)),$M1671,"")</f>
        <v/>
      </c>
      <c r="O1671" s="5">
        <f>IF(AND($A1671&gt;=DATE(2022,1,1),$A1671&lt;=DATE(2022,10,31)),$M1671,"")</f>
        <v/>
      </c>
      <c r="P1671" s="5">
        <f>IF(AND($A1671&gt;=DATE(2018,10,1),$A1671&lt;=DATE(2018,12,31)),$M1671,"")</f>
        <v/>
      </c>
      <c r="Q1671" s="5">
        <f>SUMPRODUCT(Exposures!$B$8:$K$8,B1671:K1671)</f>
        <v/>
      </c>
      <c r="R1671" s="5">
        <f>SUMPRODUCT(Exposures!$B$9:$K$9,B1671:K1671)</f>
        <v/>
      </c>
      <c r="S1671" s="5">
        <f>SUMPRODUCT(Exposures!$B$10:$K$10,B1671:K1671)</f>
        <v/>
      </c>
    </row>
    <row r="1672">
      <c r="A1672" s="1" t="n">
        <v>44881</v>
      </c>
      <c r="B1672" s="5" t="n">
        <v>-0.004222305120890756</v>
      </c>
      <c r="C1672" s="5" t="n">
        <v>0.004047362989191761</v>
      </c>
      <c r="D1672" s="5" t="n">
        <v>0.002534708960740907</v>
      </c>
      <c r="E1672" s="5" t="n">
        <v>-0.002801071113959684</v>
      </c>
      <c r="F1672" s="5" t="n">
        <v>-0.009126977852266788</v>
      </c>
      <c r="G1672" s="5" t="n">
        <v>-0.01921940293924456</v>
      </c>
      <c r="H1672" s="5" t="n">
        <v>0.006008303914766394</v>
      </c>
      <c r="I1672" s="5" t="n">
        <v>-0.002101691129160786</v>
      </c>
      <c r="J1672" s="5" t="n">
        <v>-0.007861145101851525</v>
      </c>
      <c r="K1672" s="5" t="n">
        <v>0.01234558237688447</v>
      </c>
      <c r="L1672" s="5" t="n">
        <v>-0.002126548062491091</v>
      </c>
      <c r="M1672" s="5">
        <f>SUMPRODUCT(Exposures!$B$6:$K$6,B1672:K1672)</f>
        <v/>
      </c>
      <c r="N1672" s="5">
        <f>IF(AND($A1672&gt;=DATE(2020,2,1),$A1672&lt;=DATE(2020,5,31)),$M1672,"")</f>
        <v/>
      </c>
      <c r="O1672" s="5">
        <f>IF(AND($A1672&gt;=DATE(2022,1,1),$A1672&lt;=DATE(2022,10,31)),$M1672,"")</f>
        <v/>
      </c>
      <c r="P1672" s="5">
        <f>IF(AND($A1672&gt;=DATE(2018,10,1),$A1672&lt;=DATE(2018,12,31)),$M1672,"")</f>
        <v/>
      </c>
      <c r="Q1672" s="5">
        <f>SUMPRODUCT(Exposures!$B$8:$K$8,B1672:K1672)</f>
        <v/>
      </c>
      <c r="R1672" s="5">
        <f>SUMPRODUCT(Exposures!$B$9:$K$9,B1672:K1672)</f>
        <v/>
      </c>
      <c r="S1672" s="5">
        <f>SUMPRODUCT(Exposures!$B$10:$K$10,B1672:K1672)</f>
        <v/>
      </c>
    </row>
    <row r="1673">
      <c r="A1673" s="1" t="n">
        <v>44882</v>
      </c>
      <c r="B1673" s="5" t="n">
        <v>-0.0045796419344891</v>
      </c>
      <c r="C1673" s="5" t="n">
        <v>0.005225922927184664</v>
      </c>
      <c r="D1673" s="5" t="n">
        <v>-0.002057409096361239</v>
      </c>
      <c r="E1673" s="5" t="n">
        <v>0.0002306769005873177</v>
      </c>
      <c r="F1673" s="5" t="n">
        <v>-0.001649655675595774</v>
      </c>
      <c r="G1673" s="5" t="n">
        <v>-0.008288914372902852</v>
      </c>
      <c r="H1673" s="5" t="n">
        <v>0.002735040618691212</v>
      </c>
      <c r="I1673" s="5" t="n">
        <v>0.002468824904296008</v>
      </c>
      <c r="J1673" s="5" t="n">
        <v>0.006281797484778546</v>
      </c>
      <c r="K1673" s="5" t="n">
        <v>0.007793684785508563</v>
      </c>
      <c r="L1673" s="5" t="n">
        <v>0.002742598298684304</v>
      </c>
      <c r="M1673" s="5">
        <f>SUMPRODUCT(Exposures!$B$6:$K$6,B1673:K1673)</f>
        <v/>
      </c>
      <c r="N1673" s="5">
        <f>IF(AND($A1673&gt;=DATE(2020,2,1),$A1673&lt;=DATE(2020,5,31)),$M1673,"")</f>
        <v/>
      </c>
      <c r="O1673" s="5">
        <f>IF(AND($A1673&gt;=DATE(2022,1,1),$A1673&lt;=DATE(2022,10,31)),$M1673,"")</f>
        <v/>
      </c>
      <c r="P1673" s="5">
        <f>IF(AND($A1673&gt;=DATE(2018,10,1),$A1673&lt;=DATE(2018,12,31)),$M1673,"")</f>
        <v/>
      </c>
      <c r="Q1673" s="5">
        <f>SUMPRODUCT(Exposures!$B$8:$K$8,B1673:K1673)</f>
        <v/>
      </c>
      <c r="R1673" s="5">
        <f>SUMPRODUCT(Exposures!$B$9:$K$9,B1673:K1673)</f>
        <v/>
      </c>
      <c r="S1673" s="5">
        <f>SUMPRODUCT(Exposures!$B$10:$K$10,B1673:K1673)</f>
        <v/>
      </c>
    </row>
    <row r="1674">
      <c r="A1674" s="1" t="n">
        <v>44883</v>
      </c>
      <c r="B1674" s="5" t="n">
        <v>0.001607587633624686</v>
      </c>
      <c r="C1674" s="5" t="n">
        <v>0.0007387384020334861</v>
      </c>
      <c r="D1674" s="5" t="n">
        <v>0.0002407667939340804</v>
      </c>
      <c r="E1674" s="5" t="n">
        <v>0.0001531639269885174</v>
      </c>
      <c r="F1674" s="5" t="n">
        <v>0.001432092045301512</v>
      </c>
      <c r="G1674" s="5" t="n">
        <v>0.006204731942307313</v>
      </c>
      <c r="H1674" s="5" t="n">
        <v>0.008392258260406207</v>
      </c>
      <c r="I1674" s="5" t="n">
        <v>-0.0004263498968119693</v>
      </c>
      <c r="J1674" s="5" t="n">
        <v>-0.007612400923242121</v>
      </c>
      <c r="K1674" s="5" t="n">
        <v>-0.007318036504252855</v>
      </c>
      <c r="L1674" s="5" t="n">
        <v>-0.002697526678049662</v>
      </c>
      <c r="M1674" s="5">
        <f>SUMPRODUCT(Exposures!$B$6:$K$6,B1674:K1674)</f>
        <v/>
      </c>
      <c r="N1674" s="5">
        <f>IF(AND($A1674&gt;=DATE(2020,2,1),$A1674&lt;=DATE(2020,5,31)),$M1674,"")</f>
        <v/>
      </c>
      <c r="O1674" s="5">
        <f>IF(AND($A1674&gt;=DATE(2022,1,1),$A1674&lt;=DATE(2022,10,31)),$M1674,"")</f>
        <v/>
      </c>
      <c r="P1674" s="5">
        <f>IF(AND($A1674&gt;=DATE(2018,10,1),$A1674&lt;=DATE(2018,12,31)),$M1674,"")</f>
        <v/>
      </c>
      <c r="Q1674" s="5">
        <f>SUMPRODUCT(Exposures!$B$8:$K$8,B1674:K1674)</f>
        <v/>
      </c>
      <c r="R1674" s="5">
        <f>SUMPRODUCT(Exposures!$B$9:$K$9,B1674:K1674)</f>
        <v/>
      </c>
      <c r="S1674" s="5">
        <f>SUMPRODUCT(Exposures!$B$10:$K$10,B1674:K1674)</f>
        <v/>
      </c>
    </row>
    <row r="1675">
      <c r="A1675" s="1" t="n">
        <v>44886</v>
      </c>
      <c r="B1675" s="5" t="n">
        <v>-0.006999638533690745</v>
      </c>
      <c r="C1675" s="5" t="n">
        <v>0.0009148763471546651</v>
      </c>
      <c r="D1675" s="5" t="n">
        <v>0.001404400603439978</v>
      </c>
      <c r="E1675" s="5" t="n">
        <v>0.001081267728476133</v>
      </c>
      <c r="F1675" s="5" t="n">
        <v>0.006386636998638142</v>
      </c>
      <c r="G1675" s="5" t="n">
        <v>-0.004172258079718448</v>
      </c>
      <c r="H1675" s="5" t="n">
        <v>0.000707244023313221</v>
      </c>
      <c r="I1675" s="5" t="n">
        <v>5.634397944203457e-05</v>
      </c>
      <c r="J1675" s="5" t="n">
        <v>-0.005357987937235371</v>
      </c>
      <c r="K1675" s="5" t="n">
        <v>-0.009396560819889564</v>
      </c>
      <c r="L1675" s="5" t="n">
        <v>0.0006040214456236937</v>
      </c>
      <c r="M1675" s="5">
        <f>SUMPRODUCT(Exposures!$B$6:$K$6,B1675:K1675)</f>
        <v/>
      </c>
      <c r="N1675" s="5">
        <f>IF(AND($A1675&gt;=DATE(2020,2,1),$A1675&lt;=DATE(2020,5,31)),$M1675,"")</f>
        <v/>
      </c>
      <c r="O1675" s="5">
        <f>IF(AND($A1675&gt;=DATE(2022,1,1),$A1675&lt;=DATE(2022,10,31)),$M1675,"")</f>
        <v/>
      </c>
      <c r="P1675" s="5">
        <f>IF(AND($A1675&gt;=DATE(2018,10,1),$A1675&lt;=DATE(2018,12,31)),$M1675,"")</f>
        <v/>
      </c>
      <c r="Q1675" s="5">
        <f>SUMPRODUCT(Exposures!$B$8:$K$8,B1675:K1675)</f>
        <v/>
      </c>
      <c r="R1675" s="5">
        <f>SUMPRODUCT(Exposures!$B$9:$K$9,B1675:K1675)</f>
        <v/>
      </c>
      <c r="S1675" s="5">
        <f>SUMPRODUCT(Exposures!$B$10:$K$10,B1675:K1675)</f>
        <v/>
      </c>
    </row>
    <row r="1676">
      <c r="A1676" s="1" t="n">
        <v>44887</v>
      </c>
      <c r="B1676" s="5" t="n">
        <v>0.001191456286466833</v>
      </c>
      <c r="C1676" s="5" t="n">
        <v>0.002434952928556407</v>
      </c>
      <c r="D1676" s="5" t="n">
        <v>-0.001961853549337723</v>
      </c>
      <c r="E1676" s="5" t="n">
        <v>0.001120246231841993</v>
      </c>
      <c r="F1676" s="5" t="n">
        <v>0.01143786951782342</v>
      </c>
      <c r="G1676" s="5" t="n">
        <v>0.01480947208028395</v>
      </c>
      <c r="H1676" s="5" t="n">
        <v>0.002685176675938903</v>
      </c>
      <c r="I1676" s="5" t="n">
        <v>0.001221470079239908</v>
      </c>
      <c r="J1676" s="5" t="n">
        <v>0.0005450867672020984</v>
      </c>
      <c r="K1676" s="5" t="n">
        <v>-0.01245876523962372</v>
      </c>
      <c r="L1676" s="5" t="n">
        <v>-0.0005726629549330774</v>
      </c>
      <c r="M1676" s="5">
        <f>SUMPRODUCT(Exposures!$B$6:$K$6,B1676:K1676)</f>
        <v/>
      </c>
      <c r="N1676" s="5">
        <f>IF(AND($A1676&gt;=DATE(2020,2,1),$A1676&lt;=DATE(2020,5,31)),$M1676,"")</f>
        <v/>
      </c>
      <c r="O1676" s="5">
        <f>IF(AND($A1676&gt;=DATE(2022,1,1),$A1676&lt;=DATE(2022,10,31)),$M1676,"")</f>
        <v/>
      </c>
      <c r="P1676" s="5">
        <f>IF(AND($A1676&gt;=DATE(2018,10,1),$A1676&lt;=DATE(2018,12,31)),$M1676,"")</f>
        <v/>
      </c>
      <c r="Q1676" s="5">
        <f>SUMPRODUCT(Exposures!$B$8:$K$8,B1676:K1676)</f>
        <v/>
      </c>
      <c r="R1676" s="5">
        <f>SUMPRODUCT(Exposures!$B$9:$K$9,B1676:K1676)</f>
        <v/>
      </c>
      <c r="S1676" s="5">
        <f>SUMPRODUCT(Exposures!$B$10:$K$10,B1676:K1676)</f>
        <v/>
      </c>
    </row>
    <row r="1677">
      <c r="A1677" s="1" t="n">
        <v>44888</v>
      </c>
      <c r="B1677" s="5" t="n">
        <v>0.0002359999080102772</v>
      </c>
      <c r="C1677" s="5" t="n">
        <v>-0.00167263628291387</v>
      </c>
      <c r="D1677" s="5" t="n">
        <v>0.0002299700007117523</v>
      </c>
      <c r="E1677" s="5" t="n">
        <v>-0.002005384420439237</v>
      </c>
      <c r="F1677" s="5" t="n">
        <v>0.003531858879554898</v>
      </c>
      <c r="G1677" s="5" t="n">
        <v>0.006024355930844078</v>
      </c>
      <c r="H1677" s="5" t="n">
        <v>-0.005322681404609089</v>
      </c>
      <c r="I1677" s="5" t="n">
        <v>0.0002043047599792127</v>
      </c>
      <c r="J1677" s="5" t="n">
        <v>0.002593923217844399</v>
      </c>
      <c r="K1677" s="5" t="n">
        <v>-0.001702153427829681</v>
      </c>
      <c r="L1677" s="5" t="n">
        <v>-0.001242271030590052</v>
      </c>
      <c r="M1677" s="5">
        <f>SUMPRODUCT(Exposures!$B$6:$K$6,B1677:K1677)</f>
        <v/>
      </c>
      <c r="N1677" s="5">
        <f>IF(AND($A1677&gt;=DATE(2020,2,1),$A1677&lt;=DATE(2020,5,31)),$M1677,"")</f>
        <v/>
      </c>
      <c r="O1677" s="5">
        <f>IF(AND($A1677&gt;=DATE(2022,1,1),$A1677&lt;=DATE(2022,10,31)),$M1677,"")</f>
        <v/>
      </c>
      <c r="P1677" s="5">
        <f>IF(AND($A1677&gt;=DATE(2018,10,1),$A1677&lt;=DATE(2018,12,31)),$M1677,"")</f>
        <v/>
      </c>
      <c r="Q1677" s="5">
        <f>SUMPRODUCT(Exposures!$B$8:$K$8,B1677:K1677)</f>
        <v/>
      </c>
      <c r="R1677" s="5">
        <f>SUMPRODUCT(Exposures!$B$9:$K$9,B1677:K1677)</f>
        <v/>
      </c>
      <c r="S1677" s="5">
        <f>SUMPRODUCT(Exposures!$B$10:$K$10,B1677:K1677)</f>
        <v/>
      </c>
    </row>
    <row r="1678">
      <c r="A1678" s="1" t="n">
        <v>44890</v>
      </c>
      <c r="B1678" s="5" t="n">
        <v>-0.00164878491342563</v>
      </c>
      <c r="C1678" s="5" t="n">
        <v>-0.001477219337289731</v>
      </c>
      <c r="D1678" s="5" t="n">
        <v>0.0002273088825282608</v>
      </c>
      <c r="E1678" s="5" t="n">
        <v>0.001047618136356779</v>
      </c>
      <c r="F1678" s="5" t="n">
        <v>0.001449024421151366</v>
      </c>
      <c r="G1678" s="5" t="n">
        <v>0.00245886515381418</v>
      </c>
      <c r="H1678" s="5" t="n">
        <v>0.001492329547254674</v>
      </c>
      <c r="I1678" s="5" t="n">
        <v>0.0005772121981240034</v>
      </c>
      <c r="J1678" s="5" t="n">
        <v>-0.004002364662876132</v>
      </c>
      <c r="K1678" s="5" t="n">
        <v>-0.006908086351535048</v>
      </c>
      <c r="L1678" s="5" t="n">
        <v>-0.00186233745887165</v>
      </c>
      <c r="M1678" s="5">
        <f>SUMPRODUCT(Exposures!$B$6:$K$6,B1678:K1678)</f>
        <v/>
      </c>
      <c r="N1678" s="5">
        <f>IF(AND($A1678&gt;=DATE(2020,2,1),$A1678&lt;=DATE(2020,5,31)),$M1678,"")</f>
        <v/>
      </c>
      <c r="O1678" s="5">
        <f>IF(AND($A1678&gt;=DATE(2022,1,1),$A1678&lt;=DATE(2022,10,31)),$M1678,"")</f>
        <v/>
      </c>
      <c r="P1678" s="5">
        <f>IF(AND($A1678&gt;=DATE(2018,10,1),$A1678&lt;=DATE(2018,12,31)),$M1678,"")</f>
        <v/>
      </c>
      <c r="Q1678" s="5">
        <f>SUMPRODUCT(Exposures!$B$8:$K$8,B1678:K1678)</f>
        <v/>
      </c>
      <c r="R1678" s="5">
        <f>SUMPRODUCT(Exposures!$B$9:$K$9,B1678:K1678)</f>
        <v/>
      </c>
      <c r="S1678" s="5">
        <f>SUMPRODUCT(Exposures!$B$10:$K$10,B1678:K1678)</f>
        <v/>
      </c>
    </row>
    <row r="1679">
      <c r="A1679" s="1" t="n">
        <v>44893</v>
      </c>
      <c r="B1679" s="5" t="n">
        <v>-0.008414569007292958</v>
      </c>
      <c r="C1679" s="5" t="n">
        <v>0.001289557582652346</v>
      </c>
      <c r="D1679" s="5" t="n">
        <v>-0.0008632350851053742</v>
      </c>
      <c r="E1679" s="5" t="n">
        <v>0.0002857680673147529</v>
      </c>
      <c r="F1679" s="5" t="n">
        <v>0.0002070364168279592</v>
      </c>
      <c r="G1679" s="5" t="n">
        <v>-0.01772198455478557</v>
      </c>
      <c r="H1679" s="5" t="n">
        <v>-0.002418156098196254</v>
      </c>
      <c r="I1679" s="5" t="n">
        <v>-0.0006121922453240459</v>
      </c>
      <c r="J1679" s="5" t="n">
        <v>0.002430004060385427</v>
      </c>
      <c r="K1679" s="5" t="n">
        <v>0.003227346014797323</v>
      </c>
      <c r="L1679" s="5" t="n">
        <v>-4.956699261296688e-05</v>
      </c>
      <c r="M1679" s="5">
        <f>SUMPRODUCT(Exposures!$B$6:$K$6,B1679:K1679)</f>
        <v/>
      </c>
      <c r="N1679" s="5">
        <f>IF(AND($A1679&gt;=DATE(2020,2,1),$A1679&lt;=DATE(2020,5,31)),$M1679,"")</f>
        <v/>
      </c>
      <c r="O1679" s="5">
        <f>IF(AND($A1679&gt;=DATE(2022,1,1),$A1679&lt;=DATE(2022,10,31)),$M1679,"")</f>
        <v/>
      </c>
      <c r="P1679" s="5">
        <f>IF(AND($A1679&gt;=DATE(2018,10,1),$A1679&lt;=DATE(2018,12,31)),$M1679,"")</f>
        <v/>
      </c>
      <c r="Q1679" s="5">
        <f>SUMPRODUCT(Exposures!$B$8:$K$8,B1679:K1679)</f>
        <v/>
      </c>
      <c r="R1679" s="5">
        <f>SUMPRODUCT(Exposures!$B$9:$K$9,B1679:K1679)</f>
        <v/>
      </c>
      <c r="S1679" s="5">
        <f>SUMPRODUCT(Exposures!$B$10:$K$10,B1679:K1679)</f>
        <v/>
      </c>
    </row>
    <row r="1680">
      <c r="A1680" s="1" t="n">
        <v>44894</v>
      </c>
      <c r="B1680" s="5" t="n">
        <v>-0.001614737895209785</v>
      </c>
      <c r="C1680" s="5" t="n">
        <v>0.003813585283631545</v>
      </c>
      <c r="D1680" s="5" t="n">
        <v>-0.001164199008987139</v>
      </c>
      <c r="E1680" s="5" t="n">
        <v>0.0002394932055405967</v>
      </c>
      <c r="F1680" s="5" t="n">
        <v>0.0006319626892977448</v>
      </c>
      <c r="G1680" s="5" t="n">
        <v>0.00513313030948006</v>
      </c>
      <c r="H1680" s="5" t="n">
        <v>0.001129768943427783</v>
      </c>
      <c r="I1680" s="5" t="n">
        <v>0.0001465782462123449</v>
      </c>
      <c r="J1680" s="5" t="n">
        <v>0.007238256552534666</v>
      </c>
      <c r="K1680" s="5" t="n">
        <v>0.0003470319667523992</v>
      </c>
      <c r="L1680" s="5" t="n">
        <v>0.004094762949663063</v>
      </c>
      <c r="M1680" s="5">
        <f>SUMPRODUCT(Exposures!$B$6:$K$6,B1680:K1680)</f>
        <v/>
      </c>
      <c r="N1680" s="5">
        <f>IF(AND($A1680&gt;=DATE(2020,2,1),$A1680&lt;=DATE(2020,5,31)),$M1680,"")</f>
        <v/>
      </c>
      <c r="O1680" s="5">
        <f>IF(AND($A1680&gt;=DATE(2022,1,1),$A1680&lt;=DATE(2022,10,31)),$M1680,"")</f>
        <v/>
      </c>
      <c r="P1680" s="5">
        <f>IF(AND($A1680&gt;=DATE(2018,10,1),$A1680&lt;=DATE(2018,12,31)),$M1680,"")</f>
        <v/>
      </c>
      <c r="Q1680" s="5">
        <f>SUMPRODUCT(Exposures!$B$8:$K$8,B1680:K1680)</f>
        <v/>
      </c>
      <c r="R1680" s="5">
        <f>SUMPRODUCT(Exposures!$B$9:$K$9,B1680:K1680)</f>
        <v/>
      </c>
      <c r="S1680" s="5">
        <f>SUMPRODUCT(Exposures!$B$10:$K$10,B1680:K1680)</f>
        <v/>
      </c>
    </row>
    <row r="1681">
      <c r="A1681" s="1" t="n">
        <v>44895</v>
      </c>
      <c r="B1681" s="5" t="n">
        <v>0.005378094147720508</v>
      </c>
      <c r="C1681" s="5" t="n">
        <v>-0.002927801235850176</v>
      </c>
      <c r="D1681" s="5" t="n">
        <v>0.00311443073467898</v>
      </c>
      <c r="E1681" s="5" t="n">
        <v>-0.004017121633417962</v>
      </c>
      <c r="F1681" s="5" t="n">
        <v>-0.004105949873261293</v>
      </c>
      <c r="G1681" s="5" t="n">
        <v>0.02741495063461028</v>
      </c>
      <c r="H1681" s="5" t="n">
        <v>-0.001096831489205269</v>
      </c>
      <c r="I1681" s="5" t="n">
        <v>-0.002201485254386809</v>
      </c>
      <c r="J1681" s="5" t="n">
        <v>0.005847687843383804</v>
      </c>
      <c r="K1681" s="5" t="n">
        <v>0.01501397422923159</v>
      </c>
      <c r="L1681" s="5" t="n">
        <v>0.0044367166543837</v>
      </c>
      <c r="M1681" s="5">
        <f>SUMPRODUCT(Exposures!$B$6:$K$6,B1681:K1681)</f>
        <v/>
      </c>
      <c r="N1681" s="5">
        <f>IF(AND($A1681&gt;=DATE(2020,2,1),$A1681&lt;=DATE(2020,5,31)),$M1681,"")</f>
        <v/>
      </c>
      <c r="O1681" s="5">
        <f>IF(AND($A1681&gt;=DATE(2022,1,1),$A1681&lt;=DATE(2022,10,31)),$M1681,"")</f>
        <v/>
      </c>
      <c r="P1681" s="5">
        <f>IF(AND($A1681&gt;=DATE(2018,10,1),$A1681&lt;=DATE(2018,12,31)),$M1681,"")</f>
        <v/>
      </c>
      <c r="Q1681" s="5">
        <f>SUMPRODUCT(Exposures!$B$8:$K$8,B1681:K1681)</f>
        <v/>
      </c>
      <c r="R1681" s="5">
        <f>SUMPRODUCT(Exposures!$B$9:$K$9,B1681:K1681)</f>
        <v/>
      </c>
      <c r="S1681" s="5">
        <f>SUMPRODUCT(Exposures!$B$10:$K$10,B1681:K1681)</f>
        <v/>
      </c>
    </row>
    <row r="1682">
      <c r="A1682" s="1" t="n">
        <v>44896</v>
      </c>
      <c r="B1682" s="5" t="n">
        <v>0.001224126268514818</v>
      </c>
      <c r="C1682" s="5" t="n">
        <v>-0.003862114859906201</v>
      </c>
      <c r="D1682" s="5" t="n">
        <v>-0.002627103410265343</v>
      </c>
      <c r="E1682" s="5" t="n">
        <v>0.0004357902030744271</v>
      </c>
      <c r="F1682" s="5" t="n">
        <v>-0.004364187783304424</v>
      </c>
      <c r="G1682" s="5" t="n">
        <v>-0.002920959849494048</v>
      </c>
      <c r="H1682" s="5" t="n">
        <v>-0.003949595080060192</v>
      </c>
      <c r="I1682" s="5" t="n">
        <v>0.0004744392928380109</v>
      </c>
      <c r="J1682" s="5" t="n">
        <v>-0.007740889384603396</v>
      </c>
      <c r="K1682" s="5" t="n">
        <v>-0.0006064918553087412</v>
      </c>
      <c r="L1682" s="5" t="n">
        <v>-0.002652870262790511</v>
      </c>
      <c r="M1682" s="5">
        <f>SUMPRODUCT(Exposures!$B$6:$K$6,B1682:K1682)</f>
        <v/>
      </c>
      <c r="N1682" s="5">
        <f>IF(AND($A1682&gt;=DATE(2020,2,1),$A1682&lt;=DATE(2020,5,31)),$M1682,"")</f>
        <v/>
      </c>
      <c r="O1682" s="5">
        <f>IF(AND($A1682&gt;=DATE(2022,1,1),$A1682&lt;=DATE(2022,10,31)),$M1682,"")</f>
        <v/>
      </c>
      <c r="P1682" s="5">
        <f>IF(AND($A1682&gt;=DATE(2018,10,1),$A1682&lt;=DATE(2018,12,31)),$M1682,"")</f>
        <v/>
      </c>
      <c r="Q1682" s="5">
        <f>SUMPRODUCT(Exposures!$B$8:$K$8,B1682:K1682)</f>
        <v/>
      </c>
      <c r="R1682" s="5">
        <f>SUMPRODUCT(Exposures!$B$9:$K$9,B1682:K1682)</f>
        <v/>
      </c>
      <c r="S1682" s="5">
        <f>SUMPRODUCT(Exposures!$B$10:$K$10,B1682:K1682)</f>
        <v/>
      </c>
    </row>
    <row r="1683">
      <c r="A1683" s="1" t="n">
        <v>44897</v>
      </c>
      <c r="B1683" s="5" t="n">
        <v>-0.008921718599649296</v>
      </c>
      <c r="C1683" s="5" t="n">
        <v>0.00273302382246877</v>
      </c>
      <c r="D1683" s="5" t="n">
        <v>8.10256192914068e-05</v>
      </c>
      <c r="E1683" s="5" t="n">
        <v>0.001040933998863736</v>
      </c>
      <c r="F1683" s="5" t="n">
        <v>-0.009244355806310162</v>
      </c>
      <c r="G1683" s="5" t="n">
        <v>0.005145441715737981</v>
      </c>
      <c r="H1683" s="5" t="n">
        <v>-0.002635272481842344</v>
      </c>
      <c r="I1683" s="5" t="n">
        <v>0.001086660720827082</v>
      </c>
      <c r="J1683" s="5" t="n">
        <v>0.0176859426994036</v>
      </c>
      <c r="K1683" s="5" t="n">
        <v>0.009579837026803057</v>
      </c>
      <c r="L1683" s="5" t="n">
        <v>-0.001119305413498288</v>
      </c>
      <c r="M1683" s="5">
        <f>SUMPRODUCT(Exposures!$B$6:$K$6,B1683:K1683)</f>
        <v/>
      </c>
      <c r="N1683" s="5">
        <f>IF(AND($A1683&gt;=DATE(2020,2,1),$A1683&lt;=DATE(2020,5,31)),$M1683,"")</f>
        <v/>
      </c>
      <c r="O1683" s="5">
        <f>IF(AND($A1683&gt;=DATE(2022,1,1),$A1683&lt;=DATE(2022,10,31)),$M1683,"")</f>
        <v/>
      </c>
      <c r="P1683" s="5">
        <f>IF(AND($A1683&gt;=DATE(2018,10,1),$A1683&lt;=DATE(2018,12,31)),$M1683,"")</f>
        <v/>
      </c>
      <c r="Q1683" s="5">
        <f>SUMPRODUCT(Exposures!$B$8:$K$8,B1683:K1683)</f>
        <v/>
      </c>
      <c r="R1683" s="5">
        <f>SUMPRODUCT(Exposures!$B$9:$K$9,B1683:K1683)</f>
        <v/>
      </c>
      <c r="S1683" s="5">
        <f>SUMPRODUCT(Exposures!$B$10:$K$10,B1683:K1683)</f>
        <v/>
      </c>
    </row>
    <row r="1684">
      <c r="A1684" s="1" t="n">
        <v>44900</v>
      </c>
      <c r="B1684" s="5" t="n">
        <v>-0.006329476255796003</v>
      </c>
      <c r="C1684" s="5" t="n">
        <v>-0.0004903665227524748</v>
      </c>
      <c r="D1684" s="5" t="n">
        <v>0.001997924773003171</v>
      </c>
      <c r="E1684" s="5" t="n">
        <v>-0.001028832943170811</v>
      </c>
      <c r="F1684" s="5" t="n">
        <v>-0.002625123774590381</v>
      </c>
      <c r="G1684" s="5" t="n">
        <v>-0.02316653067997906</v>
      </c>
      <c r="H1684" s="5" t="n">
        <v>-9.00764454795722e-05</v>
      </c>
      <c r="I1684" s="5" t="n">
        <v>0.0004784695477637157</v>
      </c>
      <c r="J1684" s="5" t="n">
        <v>-0.003293697457537536</v>
      </c>
      <c r="K1684" s="5" t="n">
        <v>0.005431528642717107</v>
      </c>
      <c r="L1684" s="5" t="n">
        <v>-0.001205231666609438</v>
      </c>
      <c r="M1684" s="5">
        <f>SUMPRODUCT(Exposures!$B$6:$K$6,B1684:K1684)</f>
        <v/>
      </c>
      <c r="N1684" s="5">
        <f>IF(AND($A1684&gt;=DATE(2020,2,1),$A1684&lt;=DATE(2020,5,31)),$M1684,"")</f>
        <v/>
      </c>
      <c r="O1684" s="5">
        <f>IF(AND($A1684&gt;=DATE(2022,1,1),$A1684&lt;=DATE(2022,10,31)),$M1684,"")</f>
        <v/>
      </c>
      <c r="P1684" s="5">
        <f>IF(AND($A1684&gt;=DATE(2018,10,1),$A1684&lt;=DATE(2018,12,31)),$M1684,"")</f>
        <v/>
      </c>
      <c r="Q1684" s="5">
        <f>SUMPRODUCT(Exposures!$B$8:$K$8,B1684:K1684)</f>
        <v/>
      </c>
      <c r="R1684" s="5">
        <f>SUMPRODUCT(Exposures!$B$9:$K$9,B1684:K1684)</f>
        <v/>
      </c>
      <c r="S1684" s="5">
        <f>SUMPRODUCT(Exposures!$B$10:$K$10,B1684:K1684)</f>
        <v/>
      </c>
    </row>
    <row r="1685">
      <c r="A1685" s="1" t="n">
        <v>44901</v>
      </c>
      <c r="B1685" s="5" t="n">
        <v>-0.003839786122586821</v>
      </c>
      <c r="C1685" s="5" t="n">
        <v>0.00259682204333472</v>
      </c>
      <c r="D1685" s="5" t="n">
        <v>-0.0002798458068715738</v>
      </c>
      <c r="E1685" s="5" t="n">
        <v>-0.00046212200332681</v>
      </c>
      <c r="F1685" s="5" t="n">
        <v>-0.009882148527828665</v>
      </c>
      <c r="G1685" s="5" t="n">
        <v>-0.01184075543281426</v>
      </c>
      <c r="H1685" s="5" t="n">
        <v>0.002739892258966425</v>
      </c>
      <c r="I1685" s="5" t="n">
        <v>-0.003948400023090216</v>
      </c>
      <c r="J1685" s="5" t="n">
        <v>-0.0008836556030126662</v>
      </c>
      <c r="K1685" s="5" t="n">
        <v>0.008854426281648184</v>
      </c>
      <c r="L1685" s="5" t="n">
        <v>0.002766135323694444</v>
      </c>
      <c r="M1685" s="5">
        <f>SUMPRODUCT(Exposures!$B$6:$K$6,B1685:K1685)</f>
        <v/>
      </c>
      <c r="N1685" s="5">
        <f>IF(AND($A1685&gt;=DATE(2020,2,1),$A1685&lt;=DATE(2020,5,31)),$M1685,"")</f>
        <v/>
      </c>
      <c r="O1685" s="5">
        <f>IF(AND($A1685&gt;=DATE(2022,1,1),$A1685&lt;=DATE(2022,10,31)),$M1685,"")</f>
        <v/>
      </c>
      <c r="P1685" s="5">
        <f>IF(AND($A1685&gt;=DATE(2018,10,1),$A1685&lt;=DATE(2018,12,31)),$M1685,"")</f>
        <v/>
      </c>
      <c r="Q1685" s="5">
        <f>SUMPRODUCT(Exposures!$B$8:$K$8,B1685:K1685)</f>
        <v/>
      </c>
      <c r="R1685" s="5">
        <f>SUMPRODUCT(Exposures!$B$9:$K$9,B1685:K1685)</f>
        <v/>
      </c>
      <c r="S1685" s="5">
        <f>SUMPRODUCT(Exposures!$B$10:$K$10,B1685:K1685)</f>
        <v/>
      </c>
    </row>
    <row r="1686">
      <c r="A1686" s="1" t="n">
        <v>44902</v>
      </c>
      <c r="B1686" s="5" t="n">
        <v>-0.004418880070629628</v>
      </c>
      <c r="C1686" s="5" t="n">
        <v>0.0004287164888667338</v>
      </c>
      <c r="D1686" s="5" t="n">
        <v>-0.0001749911473189614</v>
      </c>
      <c r="E1686" s="5" t="n">
        <v>0.001678912611311613</v>
      </c>
      <c r="F1686" s="5" t="n">
        <v>0.005019293622898543</v>
      </c>
      <c r="G1686" s="5" t="n">
        <v>-0.002454185922083007</v>
      </c>
      <c r="H1686" s="5" t="n">
        <v>0.0009398685188317126</v>
      </c>
      <c r="I1686" s="5" t="n">
        <v>0.000510579561418938</v>
      </c>
      <c r="J1686" s="5" t="n">
        <v>-0.001865018470072954</v>
      </c>
      <c r="K1686" s="5" t="n">
        <v>-0.006802168998649606</v>
      </c>
      <c r="L1686" s="5" t="n">
        <v>-0.001408819710849268</v>
      </c>
      <c r="M1686" s="5">
        <f>SUMPRODUCT(Exposures!$B$6:$K$6,B1686:K1686)</f>
        <v/>
      </c>
      <c r="N1686" s="5">
        <f>IF(AND($A1686&gt;=DATE(2020,2,1),$A1686&lt;=DATE(2020,5,31)),$M1686,"")</f>
        <v/>
      </c>
      <c r="O1686" s="5">
        <f>IF(AND($A1686&gt;=DATE(2022,1,1),$A1686&lt;=DATE(2022,10,31)),$M1686,"")</f>
        <v/>
      </c>
      <c r="P1686" s="5">
        <f>IF(AND($A1686&gt;=DATE(2018,10,1),$A1686&lt;=DATE(2018,12,31)),$M1686,"")</f>
        <v/>
      </c>
      <c r="Q1686" s="5">
        <f>SUMPRODUCT(Exposures!$B$8:$K$8,B1686:K1686)</f>
        <v/>
      </c>
      <c r="R1686" s="5">
        <f>SUMPRODUCT(Exposures!$B$9:$K$9,B1686:K1686)</f>
        <v/>
      </c>
      <c r="S1686" s="5">
        <f>SUMPRODUCT(Exposures!$B$10:$K$10,B1686:K1686)</f>
        <v/>
      </c>
    </row>
    <row r="1687">
      <c r="A1687" s="1" t="n">
        <v>44903</v>
      </c>
      <c r="B1687" s="5" t="n">
        <v>0.003269958505867794</v>
      </c>
      <c r="C1687" s="5" t="n">
        <v>-0.0002253606936900281</v>
      </c>
      <c r="D1687" s="5" t="n">
        <v>-0.001926161949683749</v>
      </c>
      <c r="E1687" s="5" t="n">
        <v>-0.002085820771492472</v>
      </c>
      <c r="F1687" s="5" t="n">
        <v>-0.00379257582616222</v>
      </c>
      <c r="G1687" s="5" t="n">
        <v>0.009648050599362922</v>
      </c>
      <c r="H1687" s="5" t="n">
        <v>-0.002847478916380373</v>
      </c>
      <c r="I1687" s="5" t="n">
        <v>-0.002652074077295676</v>
      </c>
      <c r="J1687" s="5" t="n">
        <v>0.004111016854802064</v>
      </c>
      <c r="K1687" s="5" t="n">
        <v>0.006985403832286982</v>
      </c>
      <c r="L1687" s="5" t="n">
        <v>0.002763673700629274</v>
      </c>
      <c r="M1687" s="5">
        <f>SUMPRODUCT(Exposures!$B$6:$K$6,B1687:K1687)</f>
        <v/>
      </c>
      <c r="N1687" s="5">
        <f>IF(AND($A1687&gt;=DATE(2020,2,1),$A1687&lt;=DATE(2020,5,31)),$M1687,"")</f>
        <v/>
      </c>
      <c r="O1687" s="5">
        <f>IF(AND($A1687&gt;=DATE(2022,1,1),$A1687&lt;=DATE(2022,10,31)),$M1687,"")</f>
        <v/>
      </c>
      <c r="P1687" s="5">
        <f>IF(AND($A1687&gt;=DATE(2018,10,1),$A1687&lt;=DATE(2018,12,31)),$M1687,"")</f>
        <v/>
      </c>
      <c r="Q1687" s="5">
        <f>SUMPRODUCT(Exposures!$B$8:$K$8,B1687:K1687)</f>
        <v/>
      </c>
      <c r="R1687" s="5">
        <f>SUMPRODUCT(Exposures!$B$9:$K$9,B1687:K1687)</f>
        <v/>
      </c>
      <c r="S1687" s="5">
        <f>SUMPRODUCT(Exposures!$B$10:$K$10,B1687:K1687)</f>
        <v/>
      </c>
    </row>
    <row r="1688">
      <c r="A1688" s="1" t="n">
        <v>44904</v>
      </c>
      <c r="B1688" s="5" t="n">
        <v>-0.002664380537553416</v>
      </c>
      <c r="C1688" s="5" t="n">
        <v>0.001761399000424772</v>
      </c>
      <c r="D1688" s="5" t="n">
        <v>0.0009698812402594509</v>
      </c>
      <c r="E1688" s="5" t="n">
        <v>0.0006824826126407316</v>
      </c>
      <c r="F1688" s="5" t="n">
        <v>0.0001132331200719558</v>
      </c>
      <c r="G1688" s="5" t="n">
        <v>-0.009419744128709634</v>
      </c>
      <c r="H1688" s="5" t="n">
        <v>-0.004921925230374919</v>
      </c>
      <c r="I1688" s="5" t="n">
        <v>-0.0007393883753128031</v>
      </c>
      <c r="J1688" s="5" t="n">
        <v>-0.004306856561127608</v>
      </c>
      <c r="K1688" s="5" t="n">
        <v>-0.00109214742000822</v>
      </c>
      <c r="L1688" s="5" t="n">
        <v>0.001561201266229863</v>
      </c>
      <c r="M1688" s="5">
        <f>SUMPRODUCT(Exposures!$B$6:$K$6,B1688:K1688)</f>
        <v/>
      </c>
      <c r="N1688" s="5">
        <f>IF(AND($A1688&gt;=DATE(2020,2,1),$A1688&lt;=DATE(2020,5,31)),$M1688,"")</f>
        <v/>
      </c>
      <c r="O1688" s="5">
        <f>IF(AND($A1688&gt;=DATE(2022,1,1),$A1688&lt;=DATE(2022,10,31)),$M1688,"")</f>
        <v/>
      </c>
      <c r="P1688" s="5">
        <f>IF(AND($A1688&gt;=DATE(2018,10,1),$A1688&lt;=DATE(2018,12,31)),$M1688,"")</f>
        <v/>
      </c>
      <c r="Q1688" s="5">
        <f>SUMPRODUCT(Exposures!$B$8:$K$8,B1688:K1688)</f>
        <v/>
      </c>
      <c r="R1688" s="5">
        <f>SUMPRODUCT(Exposures!$B$9:$K$9,B1688:K1688)</f>
        <v/>
      </c>
      <c r="S1688" s="5">
        <f>SUMPRODUCT(Exposures!$B$10:$K$10,B1688:K1688)</f>
        <v/>
      </c>
    </row>
    <row r="1689">
      <c r="A1689" s="1" t="n">
        <v>44907</v>
      </c>
      <c r="B1689" s="5" t="n">
        <v>0.006747854298963647</v>
      </c>
      <c r="C1689" s="5" t="n">
        <v>-0.001258684845416028</v>
      </c>
      <c r="D1689" s="5" t="n">
        <v>-0.002472738414129497</v>
      </c>
      <c r="E1689" s="5" t="n">
        <v>-0.0007224503143396183</v>
      </c>
      <c r="F1689" s="5" t="n">
        <v>0.01050015663628728</v>
      </c>
      <c r="G1689" s="5" t="n">
        <v>0.01336119105308524</v>
      </c>
      <c r="H1689" s="5" t="n">
        <v>0.002992184509851598</v>
      </c>
      <c r="I1689" s="5" t="n">
        <v>0.0008272572693821924</v>
      </c>
      <c r="J1689" s="5" t="n">
        <v>-0.004488151511689213</v>
      </c>
      <c r="K1689" s="5" t="n">
        <v>-0.01147675023862407</v>
      </c>
      <c r="L1689" s="5" t="n">
        <v>-0.002760338655696864</v>
      </c>
      <c r="M1689" s="5">
        <f>SUMPRODUCT(Exposures!$B$6:$K$6,B1689:K1689)</f>
        <v/>
      </c>
      <c r="N1689" s="5">
        <f>IF(AND($A1689&gt;=DATE(2020,2,1),$A1689&lt;=DATE(2020,5,31)),$M1689,"")</f>
        <v/>
      </c>
      <c r="O1689" s="5">
        <f>IF(AND($A1689&gt;=DATE(2022,1,1),$A1689&lt;=DATE(2022,10,31)),$M1689,"")</f>
        <v/>
      </c>
      <c r="P1689" s="5">
        <f>IF(AND($A1689&gt;=DATE(2018,10,1),$A1689&lt;=DATE(2018,12,31)),$M1689,"")</f>
        <v/>
      </c>
      <c r="Q1689" s="5">
        <f>SUMPRODUCT(Exposures!$B$8:$K$8,B1689:K1689)</f>
        <v/>
      </c>
      <c r="R1689" s="5">
        <f>SUMPRODUCT(Exposures!$B$9:$K$9,B1689:K1689)</f>
        <v/>
      </c>
      <c r="S1689" s="5">
        <f>SUMPRODUCT(Exposures!$B$10:$K$10,B1689:K1689)</f>
        <v/>
      </c>
    </row>
    <row r="1690">
      <c r="A1690" s="1" t="n">
        <v>44908</v>
      </c>
      <c r="B1690" s="5" t="n">
        <v>0.00393968679226581</v>
      </c>
      <c r="C1690" s="5" t="n">
        <v>-0.001198483115540956</v>
      </c>
      <c r="D1690" s="5" t="n">
        <v>-0.003679889070323973</v>
      </c>
      <c r="E1690" s="5" t="n">
        <v>-0.00105688736315188</v>
      </c>
      <c r="F1690" s="5" t="n">
        <v>-0.006817496259890672</v>
      </c>
      <c r="G1690" s="5" t="n">
        <v>0.007540323683640026</v>
      </c>
      <c r="H1690" s="5" t="n">
        <v>-0.006838284694672675</v>
      </c>
      <c r="I1690" s="5" t="n">
        <v>-0.001200470910663748</v>
      </c>
      <c r="J1690" s="5" t="n">
        <v>-0.0003938996825852154</v>
      </c>
      <c r="K1690" s="5" t="n">
        <v>0.0075939489781306</v>
      </c>
      <c r="L1690" s="5" t="n">
        <v>-0.0005577606325336501</v>
      </c>
      <c r="M1690" s="5">
        <f>SUMPRODUCT(Exposures!$B$6:$K$6,B1690:K1690)</f>
        <v/>
      </c>
      <c r="N1690" s="5">
        <f>IF(AND($A1690&gt;=DATE(2020,2,1),$A1690&lt;=DATE(2020,5,31)),$M1690,"")</f>
        <v/>
      </c>
      <c r="O1690" s="5">
        <f>IF(AND($A1690&gt;=DATE(2022,1,1),$A1690&lt;=DATE(2022,10,31)),$M1690,"")</f>
        <v/>
      </c>
      <c r="P1690" s="5">
        <f>IF(AND($A1690&gt;=DATE(2018,10,1),$A1690&lt;=DATE(2018,12,31)),$M1690,"")</f>
        <v/>
      </c>
      <c r="Q1690" s="5">
        <f>SUMPRODUCT(Exposures!$B$8:$K$8,B1690:K1690)</f>
        <v/>
      </c>
      <c r="R1690" s="5">
        <f>SUMPRODUCT(Exposures!$B$9:$K$9,B1690:K1690)</f>
        <v/>
      </c>
      <c r="S1690" s="5">
        <f>SUMPRODUCT(Exposures!$B$10:$K$10,B1690:K1690)</f>
        <v/>
      </c>
    </row>
    <row r="1691">
      <c r="A1691" s="1" t="n">
        <v>44909</v>
      </c>
      <c r="B1691" s="5" t="n">
        <v>0.001489479445333868</v>
      </c>
      <c r="C1691" s="5" t="n">
        <v>-0.001281189128088514</v>
      </c>
      <c r="D1691" s="5" t="n">
        <v>-0.0009293312983375721</v>
      </c>
      <c r="E1691" s="5" t="n">
        <v>-0.004362213038600739</v>
      </c>
      <c r="F1691" s="5" t="n">
        <v>-0.002641996808599828</v>
      </c>
      <c r="G1691" s="5" t="n">
        <v>-0.007386909919107622</v>
      </c>
      <c r="H1691" s="5" t="n">
        <v>0.005336192847277756</v>
      </c>
      <c r="I1691" s="5" t="n">
        <v>-0.002158741588876686</v>
      </c>
      <c r="J1691" s="5" t="n">
        <v>-0.0008950654189519567</v>
      </c>
      <c r="K1691" s="5" t="n">
        <v>0.001348212335531286</v>
      </c>
      <c r="L1691" s="5" t="n">
        <v>0.001229091236833251</v>
      </c>
      <c r="M1691" s="5">
        <f>SUMPRODUCT(Exposures!$B$6:$K$6,B1691:K1691)</f>
        <v/>
      </c>
      <c r="N1691" s="5">
        <f>IF(AND($A1691&gt;=DATE(2020,2,1),$A1691&lt;=DATE(2020,5,31)),$M1691,"")</f>
        <v/>
      </c>
      <c r="O1691" s="5">
        <f>IF(AND($A1691&gt;=DATE(2022,1,1),$A1691&lt;=DATE(2022,10,31)),$M1691,"")</f>
        <v/>
      </c>
      <c r="P1691" s="5">
        <f>IF(AND($A1691&gt;=DATE(2018,10,1),$A1691&lt;=DATE(2018,12,31)),$M1691,"")</f>
        <v/>
      </c>
      <c r="Q1691" s="5">
        <f>SUMPRODUCT(Exposures!$B$8:$K$8,B1691:K1691)</f>
        <v/>
      </c>
      <c r="R1691" s="5">
        <f>SUMPRODUCT(Exposures!$B$9:$K$9,B1691:K1691)</f>
        <v/>
      </c>
      <c r="S1691" s="5">
        <f>SUMPRODUCT(Exposures!$B$10:$K$10,B1691:K1691)</f>
        <v/>
      </c>
    </row>
    <row r="1692">
      <c r="A1692" s="1" t="n">
        <v>44910</v>
      </c>
      <c r="B1692" s="5" t="n">
        <v>-0.00928837005510103</v>
      </c>
      <c r="C1692" s="5" t="n">
        <v>0.002213328696111524</v>
      </c>
      <c r="D1692" s="5" t="n">
        <v>-0.0001902382130827389</v>
      </c>
      <c r="E1692" s="5" t="n">
        <v>-0.0008111744118086158</v>
      </c>
      <c r="F1692" s="5" t="n">
        <v>0.001361863918936494</v>
      </c>
      <c r="G1692" s="5" t="n">
        <v>-0.02270974878481279</v>
      </c>
      <c r="H1692" s="5" t="n">
        <v>0.0002339680498013999</v>
      </c>
      <c r="I1692" s="5" t="n">
        <v>0.0005762195851931173</v>
      </c>
      <c r="J1692" s="5" t="n">
        <v>-0.001895962867844926</v>
      </c>
      <c r="K1692" s="5" t="n">
        <v>-0.00669892794027273</v>
      </c>
      <c r="L1692" s="5" t="n">
        <v>-0.002524484547505344</v>
      </c>
      <c r="M1692" s="5">
        <f>SUMPRODUCT(Exposures!$B$6:$K$6,B1692:K1692)</f>
        <v/>
      </c>
      <c r="N1692" s="5">
        <f>IF(AND($A1692&gt;=DATE(2020,2,1),$A1692&lt;=DATE(2020,5,31)),$M1692,"")</f>
        <v/>
      </c>
      <c r="O1692" s="5">
        <f>IF(AND($A1692&gt;=DATE(2022,1,1),$A1692&lt;=DATE(2022,10,31)),$M1692,"")</f>
        <v/>
      </c>
      <c r="P1692" s="5">
        <f>IF(AND($A1692&gt;=DATE(2018,10,1),$A1692&lt;=DATE(2018,12,31)),$M1692,"")</f>
        <v/>
      </c>
      <c r="Q1692" s="5">
        <f>SUMPRODUCT(Exposures!$B$8:$K$8,B1692:K1692)</f>
        <v/>
      </c>
      <c r="R1692" s="5">
        <f>SUMPRODUCT(Exposures!$B$9:$K$9,B1692:K1692)</f>
        <v/>
      </c>
      <c r="S1692" s="5">
        <f>SUMPRODUCT(Exposures!$B$10:$K$10,B1692:K1692)</f>
        <v/>
      </c>
    </row>
    <row r="1693">
      <c r="A1693" s="1" t="n">
        <v>44911</v>
      </c>
      <c r="B1693" s="5" t="n">
        <v>-0.0002895325272942222</v>
      </c>
      <c r="C1693" s="5" t="n">
        <v>-0.001321918744834025</v>
      </c>
      <c r="D1693" s="5" t="n">
        <v>-0.002002973099686913</v>
      </c>
      <c r="E1693" s="5" t="n">
        <v>-0.001784675523701673</v>
      </c>
      <c r="F1693" s="5" t="n">
        <v>-0.002970567979810803</v>
      </c>
      <c r="G1693" s="5" t="n">
        <v>-0.008098603912925859</v>
      </c>
      <c r="H1693" s="5" t="n">
        <v>0.003288853260270663</v>
      </c>
      <c r="I1693" s="5" t="n">
        <v>-0.0001662844247738258</v>
      </c>
      <c r="J1693" s="5" t="n">
        <v>0.004779344825591813</v>
      </c>
      <c r="K1693" s="5" t="n">
        <v>0.005091328797119139</v>
      </c>
      <c r="L1693" s="5" t="n">
        <v>0.0008417043395112864</v>
      </c>
      <c r="M1693" s="5">
        <f>SUMPRODUCT(Exposures!$B$6:$K$6,B1693:K1693)</f>
        <v/>
      </c>
      <c r="N1693" s="5">
        <f>IF(AND($A1693&gt;=DATE(2020,2,1),$A1693&lt;=DATE(2020,5,31)),$M1693,"")</f>
        <v/>
      </c>
      <c r="O1693" s="5">
        <f>IF(AND($A1693&gt;=DATE(2022,1,1),$A1693&lt;=DATE(2022,10,31)),$M1693,"")</f>
        <v/>
      </c>
      <c r="P1693" s="5">
        <f>IF(AND($A1693&gt;=DATE(2018,10,1),$A1693&lt;=DATE(2018,12,31)),$M1693,"")</f>
        <v/>
      </c>
      <c r="Q1693" s="5">
        <f>SUMPRODUCT(Exposures!$B$8:$K$8,B1693:K1693)</f>
        <v/>
      </c>
      <c r="R1693" s="5">
        <f>SUMPRODUCT(Exposures!$B$9:$K$9,B1693:K1693)</f>
        <v/>
      </c>
      <c r="S1693" s="5">
        <f>SUMPRODUCT(Exposures!$B$10:$K$10,B1693:K1693)</f>
        <v/>
      </c>
    </row>
    <row r="1694">
      <c r="A1694" s="1" t="n">
        <v>44914</v>
      </c>
      <c r="B1694" s="5" t="n">
        <v>-0.008829888860732552</v>
      </c>
      <c r="C1694" s="5" t="n">
        <v>0.001902598677542291</v>
      </c>
      <c r="D1694" s="5" t="n">
        <v>-6.523280675299164e-05</v>
      </c>
      <c r="E1694" s="5" t="n">
        <v>-0.001870372684762309</v>
      </c>
      <c r="F1694" s="5" t="n">
        <v>-0.002431301641824296</v>
      </c>
      <c r="G1694" s="5" t="n">
        <v>-0.01429494446337925</v>
      </c>
      <c r="H1694" s="5" t="n">
        <v>-0.002272354391751713</v>
      </c>
      <c r="I1694" s="5" t="n">
        <v>-0.0001235376465559932</v>
      </c>
      <c r="J1694" s="5" t="n">
        <v>-0.0002249002385034627</v>
      </c>
      <c r="K1694" s="5" t="n">
        <v>0.005758066249608923</v>
      </c>
      <c r="L1694" s="5" t="n">
        <v>0.00304425493424664</v>
      </c>
      <c r="M1694" s="5">
        <f>SUMPRODUCT(Exposures!$B$6:$K$6,B1694:K1694)</f>
        <v/>
      </c>
      <c r="N1694" s="5">
        <f>IF(AND($A1694&gt;=DATE(2020,2,1),$A1694&lt;=DATE(2020,5,31)),$M1694,"")</f>
        <v/>
      </c>
      <c r="O1694" s="5">
        <f>IF(AND($A1694&gt;=DATE(2022,1,1),$A1694&lt;=DATE(2022,10,31)),$M1694,"")</f>
        <v/>
      </c>
      <c r="P1694" s="5">
        <f>IF(AND($A1694&gt;=DATE(2018,10,1),$A1694&lt;=DATE(2018,12,31)),$M1694,"")</f>
        <v/>
      </c>
      <c r="Q1694" s="5">
        <f>SUMPRODUCT(Exposures!$B$8:$K$8,B1694:K1694)</f>
        <v/>
      </c>
      <c r="R1694" s="5">
        <f>SUMPRODUCT(Exposures!$B$9:$K$9,B1694:K1694)</f>
        <v/>
      </c>
      <c r="S1694" s="5">
        <f>SUMPRODUCT(Exposures!$B$10:$K$10,B1694:K1694)</f>
        <v/>
      </c>
    </row>
    <row r="1695">
      <c r="A1695" s="1" t="n">
        <v>44915</v>
      </c>
      <c r="B1695" s="5" t="n">
        <v>0.004569311611351369</v>
      </c>
      <c r="C1695" s="5" t="n">
        <v>-1.366764193795443e-05</v>
      </c>
      <c r="D1695" s="5" t="n">
        <v>0.0006102071276377931</v>
      </c>
      <c r="E1695" s="5" t="n">
        <v>-0.00107495691828271</v>
      </c>
      <c r="F1695" s="5" t="n">
        <v>-0.0009969848021717871</v>
      </c>
      <c r="G1695" s="5" t="n">
        <v>0.004091430896953865</v>
      </c>
      <c r="H1695" s="5" t="n">
        <v>0.004386036911447908</v>
      </c>
      <c r="I1695" s="5" t="n">
        <v>0.00152239548714514</v>
      </c>
      <c r="J1695" s="5" t="n">
        <v>5.514774393176923e-05</v>
      </c>
      <c r="K1695" s="5" t="n">
        <v>-0.0005633349674652667</v>
      </c>
      <c r="L1695" s="5" t="n">
        <v>0.001901809986068598</v>
      </c>
      <c r="M1695" s="5">
        <f>SUMPRODUCT(Exposures!$B$6:$K$6,B1695:K1695)</f>
        <v/>
      </c>
      <c r="N1695" s="5">
        <f>IF(AND($A1695&gt;=DATE(2020,2,1),$A1695&lt;=DATE(2020,5,31)),$M1695,"")</f>
        <v/>
      </c>
      <c r="O1695" s="5">
        <f>IF(AND($A1695&gt;=DATE(2022,1,1),$A1695&lt;=DATE(2022,10,31)),$M1695,"")</f>
        <v/>
      </c>
      <c r="P1695" s="5">
        <f>IF(AND($A1695&gt;=DATE(2018,10,1),$A1695&lt;=DATE(2018,12,31)),$M1695,"")</f>
        <v/>
      </c>
      <c r="Q1695" s="5">
        <f>SUMPRODUCT(Exposures!$B$8:$K$8,B1695:K1695)</f>
        <v/>
      </c>
      <c r="R1695" s="5">
        <f>SUMPRODUCT(Exposures!$B$9:$K$9,B1695:K1695)</f>
        <v/>
      </c>
      <c r="S1695" s="5">
        <f>SUMPRODUCT(Exposures!$B$10:$K$10,B1695:K1695)</f>
        <v/>
      </c>
    </row>
    <row r="1696">
      <c r="A1696" s="1" t="n">
        <v>44916</v>
      </c>
      <c r="B1696" s="5" t="n">
        <v>0.001320642504366767</v>
      </c>
      <c r="C1696" s="5" t="n">
        <v>-0.0005419922370709743</v>
      </c>
      <c r="D1696" s="5" t="n">
        <v>0.001879322869629695</v>
      </c>
      <c r="E1696" s="5" t="n">
        <v>-0.0002001066131594615</v>
      </c>
      <c r="F1696" s="5" t="n">
        <v>0.001146928356522194</v>
      </c>
      <c r="G1696" s="5" t="n">
        <v>0.01331618414351454</v>
      </c>
      <c r="H1696" s="5" t="n">
        <v>-0.001623798729895015</v>
      </c>
      <c r="I1696" s="5" t="n">
        <v>-0.001624484040839963</v>
      </c>
      <c r="J1696" s="5" t="n">
        <v>-0.0005718207100780732</v>
      </c>
      <c r="K1696" s="5" t="n">
        <v>0.001054990180141717</v>
      </c>
      <c r="L1696" s="5" t="n">
        <v>-0.0001854990553693408</v>
      </c>
      <c r="M1696" s="5">
        <f>SUMPRODUCT(Exposures!$B$6:$K$6,B1696:K1696)</f>
        <v/>
      </c>
      <c r="N1696" s="5">
        <f>IF(AND($A1696&gt;=DATE(2020,2,1),$A1696&lt;=DATE(2020,5,31)),$M1696,"")</f>
        <v/>
      </c>
      <c r="O1696" s="5">
        <f>IF(AND($A1696&gt;=DATE(2022,1,1),$A1696&lt;=DATE(2022,10,31)),$M1696,"")</f>
        <v/>
      </c>
      <c r="P1696" s="5">
        <f>IF(AND($A1696&gt;=DATE(2018,10,1),$A1696&lt;=DATE(2018,12,31)),$M1696,"")</f>
        <v/>
      </c>
      <c r="Q1696" s="5">
        <f>SUMPRODUCT(Exposures!$B$8:$K$8,B1696:K1696)</f>
        <v/>
      </c>
      <c r="R1696" s="5">
        <f>SUMPRODUCT(Exposures!$B$9:$K$9,B1696:K1696)</f>
        <v/>
      </c>
      <c r="S1696" s="5">
        <f>SUMPRODUCT(Exposures!$B$10:$K$10,B1696:K1696)</f>
        <v/>
      </c>
    </row>
    <row r="1697">
      <c r="A1697" s="1" t="n">
        <v>44917</v>
      </c>
      <c r="B1697" s="5" t="n">
        <v>-0.01178806184845332</v>
      </c>
      <c r="C1697" s="5" t="n">
        <v>-0.0005573360214189861</v>
      </c>
      <c r="D1697" s="5" t="n">
        <v>0.0001667709813990226</v>
      </c>
      <c r="E1697" s="5" t="n">
        <v>0.001792687003355407</v>
      </c>
      <c r="F1697" s="5" t="n">
        <v>-0.004373873296972718</v>
      </c>
      <c r="G1697" s="5" t="n">
        <v>-0.01108391655732276</v>
      </c>
      <c r="H1697" s="5" t="n">
        <v>-0.003106867763850119</v>
      </c>
      <c r="I1697" s="5" t="n">
        <v>-0.0006801748178878308</v>
      </c>
      <c r="J1697" s="5" t="n">
        <v>0.004018103016124899</v>
      </c>
      <c r="K1697" s="5" t="n">
        <v>0.002919692098025111</v>
      </c>
      <c r="L1697" s="5" t="n">
        <v>0.0009491374752157891</v>
      </c>
      <c r="M1697" s="5">
        <f>SUMPRODUCT(Exposures!$B$6:$K$6,B1697:K1697)</f>
        <v/>
      </c>
      <c r="N1697" s="5">
        <f>IF(AND($A1697&gt;=DATE(2020,2,1),$A1697&lt;=DATE(2020,5,31)),$M1697,"")</f>
        <v/>
      </c>
      <c r="O1697" s="5">
        <f>IF(AND($A1697&gt;=DATE(2022,1,1),$A1697&lt;=DATE(2022,10,31)),$M1697,"")</f>
        <v/>
      </c>
      <c r="P1697" s="5">
        <f>IF(AND($A1697&gt;=DATE(2018,10,1),$A1697&lt;=DATE(2018,12,31)),$M1697,"")</f>
        <v/>
      </c>
      <c r="Q1697" s="5">
        <f>SUMPRODUCT(Exposures!$B$8:$K$8,B1697:K1697)</f>
        <v/>
      </c>
      <c r="R1697" s="5">
        <f>SUMPRODUCT(Exposures!$B$9:$K$9,B1697:K1697)</f>
        <v/>
      </c>
      <c r="S1697" s="5">
        <f>SUMPRODUCT(Exposures!$B$10:$K$10,B1697:K1697)</f>
        <v/>
      </c>
    </row>
    <row r="1698">
      <c r="A1698" s="1" t="n">
        <v>44918</v>
      </c>
      <c r="B1698" s="5" t="n">
        <v>0.0005366572172340033</v>
      </c>
      <c r="C1698" s="5" t="n">
        <v>0.001774617047791435</v>
      </c>
      <c r="D1698" s="5" t="n">
        <v>-0.001816964491801199</v>
      </c>
      <c r="E1698" s="5" t="n">
        <v>-0.001739524495568484</v>
      </c>
      <c r="F1698" s="5" t="n">
        <v>0.004653364091242815</v>
      </c>
      <c r="G1698" s="5" t="n">
        <v>0.004161855463898277</v>
      </c>
      <c r="H1698" s="5" t="n">
        <v>0.0005262188187567256</v>
      </c>
      <c r="I1698" s="5" t="n">
        <v>0.001452652534198282</v>
      </c>
      <c r="J1698" s="5" t="n">
        <v>-0.004694552195354466</v>
      </c>
      <c r="K1698" s="5" t="n">
        <v>-0.00579162550819222</v>
      </c>
      <c r="L1698" s="5" t="n">
        <v>-0.0005872542452792182</v>
      </c>
      <c r="M1698" s="5">
        <f>SUMPRODUCT(Exposures!$B$6:$K$6,B1698:K1698)</f>
        <v/>
      </c>
      <c r="N1698" s="5">
        <f>IF(AND($A1698&gt;=DATE(2020,2,1),$A1698&lt;=DATE(2020,5,31)),$M1698,"")</f>
        <v/>
      </c>
      <c r="O1698" s="5">
        <f>IF(AND($A1698&gt;=DATE(2022,1,1),$A1698&lt;=DATE(2022,10,31)),$M1698,"")</f>
        <v/>
      </c>
      <c r="P1698" s="5">
        <f>IF(AND($A1698&gt;=DATE(2018,10,1),$A1698&lt;=DATE(2018,12,31)),$M1698,"")</f>
        <v/>
      </c>
      <c r="Q1698" s="5">
        <f>SUMPRODUCT(Exposures!$B$8:$K$8,B1698:K1698)</f>
        <v/>
      </c>
      <c r="R1698" s="5">
        <f>SUMPRODUCT(Exposures!$B$9:$K$9,B1698:K1698)</f>
        <v/>
      </c>
      <c r="S1698" s="5">
        <f>SUMPRODUCT(Exposures!$B$10:$K$10,B1698:K1698)</f>
        <v/>
      </c>
    </row>
    <row r="1699">
      <c r="A1699" s="1" t="n">
        <v>44922</v>
      </c>
      <c r="B1699" s="5" t="n">
        <v>-0.008070080541466325</v>
      </c>
      <c r="C1699" s="5" t="n">
        <v>0.002856376834920661</v>
      </c>
      <c r="D1699" s="5" t="n">
        <v>-0.001467947050148682</v>
      </c>
      <c r="E1699" s="5" t="n">
        <v>0.0003512136337742254</v>
      </c>
      <c r="F1699" s="5" t="n">
        <v>-0.005867266727235552</v>
      </c>
      <c r="G1699" s="5" t="n">
        <v>-0.003360128361574974</v>
      </c>
      <c r="H1699" s="5" t="n">
        <v>-0.00282632050409127</v>
      </c>
      <c r="I1699" s="5" t="n">
        <v>-0.001668844131492555</v>
      </c>
      <c r="J1699" s="5" t="n">
        <v>0.003330711157920602</v>
      </c>
      <c r="K1699" s="5" t="n">
        <v>0.007516946793089101</v>
      </c>
      <c r="L1699" s="5" t="n">
        <v>0.002507232490073807</v>
      </c>
      <c r="M1699" s="5">
        <f>SUMPRODUCT(Exposures!$B$6:$K$6,B1699:K1699)</f>
        <v/>
      </c>
      <c r="N1699" s="5">
        <f>IF(AND($A1699&gt;=DATE(2020,2,1),$A1699&lt;=DATE(2020,5,31)),$M1699,"")</f>
        <v/>
      </c>
      <c r="O1699" s="5">
        <f>IF(AND($A1699&gt;=DATE(2022,1,1),$A1699&lt;=DATE(2022,10,31)),$M1699,"")</f>
        <v/>
      </c>
      <c r="P1699" s="5">
        <f>IF(AND($A1699&gt;=DATE(2018,10,1),$A1699&lt;=DATE(2018,12,31)),$M1699,"")</f>
        <v/>
      </c>
      <c r="Q1699" s="5">
        <f>SUMPRODUCT(Exposures!$B$8:$K$8,B1699:K1699)</f>
        <v/>
      </c>
      <c r="R1699" s="5">
        <f>SUMPRODUCT(Exposures!$B$9:$K$9,B1699:K1699)</f>
        <v/>
      </c>
      <c r="S1699" s="5">
        <f>SUMPRODUCT(Exposures!$B$10:$K$10,B1699:K1699)</f>
        <v/>
      </c>
    </row>
    <row r="1700">
      <c r="A1700" s="1" t="n">
        <v>44923</v>
      </c>
      <c r="B1700" s="5" t="n">
        <v>-0.001769698995121004</v>
      </c>
      <c r="C1700" s="5" t="n">
        <v>-0.0009091267590838613</v>
      </c>
      <c r="D1700" s="5" t="n">
        <v>0.00188506256977066</v>
      </c>
      <c r="E1700" s="5" t="n">
        <v>0.0006134526991346419</v>
      </c>
      <c r="F1700" s="5" t="n">
        <v>0.005214119217391244</v>
      </c>
      <c r="G1700" s="5" t="n">
        <v>-0.01462820820301917</v>
      </c>
      <c r="H1700" s="5" t="n">
        <v>0.0007538657214649266</v>
      </c>
      <c r="I1700" s="5" t="n">
        <v>0.002110622296595735</v>
      </c>
      <c r="J1700" s="5" t="n">
        <v>-0.00248321548422361</v>
      </c>
      <c r="K1700" s="5" t="n">
        <v>-0.004954829674105</v>
      </c>
      <c r="L1700" s="5" t="n">
        <v>0.001017780924586368</v>
      </c>
      <c r="M1700" s="5">
        <f>SUMPRODUCT(Exposures!$B$6:$K$6,B1700:K1700)</f>
        <v/>
      </c>
      <c r="N1700" s="5">
        <f>IF(AND($A1700&gt;=DATE(2020,2,1),$A1700&lt;=DATE(2020,5,31)),$M1700,"")</f>
        <v/>
      </c>
      <c r="O1700" s="5">
        <f>IF(AND($A1700&gt;=DATE(2022,1,1),$A1700&lt;=DATE(2022,10,31)),$M1700,"")</f>
        <v/>
      </c>
      <c r="P1700" s="5">
        <f>IF(AND($A1700&gt;=DATE(2018,10,1),$A1700&lt;=DATE(2018,12,31)),$M1700,"")</f>
        <v/>
      </c>
      <c r="Q1700" s="5">
        <f>SUMPRODUCT(Exposures!$B$8:$K$8,B1700:K1700)</f>
        <v/>
      </c>
      <c r="R1700" s="5">
        <f>SUMPRODUCT(Exposures!$B$9:$K$9,B1700:K1700)</f>
        <v/>
      </c>
      <c r="S1700" s="5">
        <f>SUMPRODUCT(Exposures!$B$10:$K$10,B1700:K1700)</f>
        <v/>
      </c>
    </row>
    <row r="1701">
      <c r="A1701" s="1" t="n">
        <v>44924</v>
      </c>
      <c r="B1701" s="5" t="n">
        <v>0.01035818921906264</v>
      </c>
      <c r="C1701" s="5" t="n">
        <v>-0.0001174328409493523</v>
      </c>
      <c r="D1701" s="5" t="n">
        <v>-0.002068515117220604</v>
      </c>
      <c r="E1701" s="5" t="n">
        <v>0.0001828009533152146</v>
      </c>
      <c r="F1701" s="5" t="n">
        <v>-0.005163207624803519</v>
      </c>
      <c r="G1701" s="5" t="n">
        <v>0.02395010808233518</v>
      </c>
      <c r="H1701" s="5" t="n">
        <v>-0.004736058738436815</v>
      </c>
      <c r="I1701" s="5" t="n">
        <v>9.462582818757503e-05</v>
      </c>
      <c r="J1701" s="5" t="n">
        <v>0.0009333126318495197</v>
      </c>
      <c r="K1701" s="5" t="n">
        <v>0.001287602927407304</v>
      </c>
      <c r="L1701" s="5" t="n">
        <v>7.177284756481076e-05</v>
      </c>
      <c r="M1701" s="5">
        <f>SUMPRODUCT(Exposures!$B$6:$K$6,B1701:K1701)</f>
        <v/>
      </c>
      <c r="N1701" s="5">
        <f>IF(AND($A1701&gt;=DATE(2020,2,1),$A1701&lt;=DATE(2020,5,31)),$M1701,"")</f>
        <v/>
      </c>
      <c r="O1701" s="5">
        <f>IF(AND($A1701&gt;=DATE(2022,1,1),$A1701&lt;=DATE(2022,10,31)),$M1701,"")</f>
        <v/>
      </c>
      <c r="P1701" s="5">
        <f>IF(AND($A1701&gt;=DATE(2018,10,1),$A1701&lt;=DATE(2018,12,31)),$M1701,"")</f>
        <v/>
      </c>
      <c r="Q1701" s="5">
        <f>SUMPRODUCT(Exposures!$B$8:$K$8,B1701:K1701)</f>
        <v/>
      </c>
      <c r="R1701" s="5">
        <f>SUMPRODUCT(Exposures!$B$9:$K$9,B1701:K1701)</f>
        <v/>
      </c>
      <c r="S1701" s="5">
        <f>SUMPRODUCT(Exposures!$B$10:$K$10,B1701:K1701)</f>
        <v/>
      </c>
    </row>
    <row r="1702">
      <c r="A1702" s="1" t="n">
        <v>44925</v>
      </c>
      <c r="B1702" s="5" t="n">
        <v>-0.003147406044108489</v>
      </c>
      <c r="C1702" s="5" t="n">
        <v>0.0006193189683076062</v>
      </c>
      <c r="D1702" s="5" t="n">
        <v>-0.0004009446604988163</v>
      </c>
      <c r="E1702" s="5" t="n">
        <v>-0.001251879355204115</v>
      </c>
      <c r="F1702" s="5" t="n">
        <v>-0.000946996709763217</v>
      </c>
      <c r="G1702" s="5" t="n">
        <v>-0.0009801396333420159</v>
      </c>
      <c r="H1702" s="5" t="n">
        <v>-0.003350432236172696</v>
      </c>
      <c r="I1702" s="5" t="n">
        <v>0.003287281678011574</v>
      </c>
      <c r="J1702" s="5" t="n">
        <v>0.004535965559411595</v>
      </c>
      <c r="K1702" s="5" t="n">
        <v>-0.001600003058288558</v>
      </c>
      <c r="L1702" s="5" t="n">
        <v>-0.001480066633484235</v>
      </c>
      <c r="M1702" s="5">
        <f>SUMPRODUCT(Exposures!$B$6:$K$6,B1702:K1702)</f>
        <v/>
      </c>
      <c r="N1702" s="5">
        <f>IF(AND($A1702&gt;=DATE(2020,2,1),$A1702&lt;=DATE(2020,5,31)),$M1702,"")</f>
        <v/>
      </c>
      <c r="O1702" s="5">
        <f>IF(AND($A1702&gt;=DATE(2022,1,1),$A1702&lt;=DATE(2022,10,31)),$M1702,"")</f>
        <v/>
      </c>
      <c r="P1702" s="5">
        <f>IF(AND($A1702&gt;=DATE(2018,10,1),$A1702&lt;=DATE(2018,12,31)),$M1702,"")</f>
        <v/>
      </c>
      <c r="Q1702" s="5">
        <f>SUMPRODUCT(Exposures!$B$8:$K$8,B1702:K1702)</f>
        <v/>
      </c>
      <c r="R1702" s="5">
        <f>SUMPRODUCT(Exposures!$B$9:$K$9,B1702:K1702)</f>
        <v/>
      </c>
      <c r="S1702" s="5">
        <f>SUMPRODUCT(Exposures!$B$10:$K$10,B1702:K1702)</f>
        <v/>
      </c>
    </row>
    <row r="1703">
      <c r="A1703" s="1" t="n">
        <v>44929</v>
      </c>
      <c r="B1703" s="5" t="n">
        <v>-0.003089597148077842</v>
      </c>
      <c r="C1703" s="5" t="n">
        <v>0.003896164165593065</v>
      </c>
      <c r="D1703" s="5" t="n">
        <v>0.001696639848551517</v>
      </c>
      <c r="E1703" s="5" t="n">
        <v>-0.0002032683954497262</v>
      </c>
      <c r="F1703" s="5" t="n">
        <v>-0.01138786065008815</v>
      </c>
      <c r="G1703" s="5" t="n">
        <v>-7.565063036537764e-05</v>
      </c>
      <c r="H1703" s="5" t="n">
        <v>-0.009621286759057801</v>
      </c>
      <c r="I1703" s="5" t="n">
        <v>0.0001806724133809718</v>
      </c>
      <c r="J1703" s="5" t="n">
        <v>0.00309430331071815</v>
      </c>
      <c r="K1703" s="5" t="n">
        <v>0.01181819075670877</v>
      </c>
      <c r="L1703" s="5" t="n">
        <v>0.0006754257520856278</v>
      </c>
      <c r="M1703" s="5">
        <f>SUMPRODUCT(Exposures!$B$6:$K$6,B1703:K1703)</f>
        <v/>
      </c>
      <c r="N1703" s="5">
        <f>IF(AND($A1703&gt;=DATE(2020,2,1),$A1703&lt;=DATE(2020,5,31)),$M1703,"")</f>
        <v/>
      </c>
      <c r="O1703" s="5">
        <f>IF(AND($A1703&gt;=DATE(2022,1,1),$A1703&lt;=DATE(2022,10,31)),$M1703,"")</f>
        <v/>
      </c>
      <c r="P1703" s="5">
        <f>IF(AND($A1703&gt;=DATE(2018,10,1),$A1703&lt;=DATE(2018,12,31)),$M1703,"")</f>
        <v/>
      </c>
      <c r="Q1703" s="5">
        <f>SUMPRODUCT(Exposures!$B$8:$K$8,B1703:K1703)</f>
        <v/>
      </c>
      <c r="R1703" s="5">
        <f>SUMPRODUCT(Exposures!$B$9:$K$9,B1703:K1703)</f>
        <v/>
      </c>
      <c r="S1703" s="5">
        <f>SUMPRODUCT(Exposures!$B$10:$K$10,B1703:K1703)</f>
        <v/>
      </c>
    </row>
    <row r="1704">
      <c r="A1704" s="1" t="n">
        <v>44930</v>
      </c>
      <c r="B1704" s="5" t="n">
        <v>-0.001413000110812744</v>
      </c>
      <c r="C1704" s="5" t="n">
        <v>-1.207381914461217e-05</v>
      </c>
      <c r="D1704" s="5" t="n">
        <v>0.0003228976788501992</v>
      </c>
      <c r="E1704" s="5" t="n">
        <v>-2.746794227173309e-05</v>
      </c>
      <c r="F1704" s="5" t="n">
        <v>-0.004473199702146442</v>
      </c>
      <c r="G1704" s="5" t="n">
        <v>0.01883013647278815</v>
      </c>
      <c r="H1704" s="5" t="n">
        <v>-0.005550731071292335</v>
      </c>
      <c r="I1704" s="5" t="n">
        <v>-0.00568166462729432</v>
      </c>
      <c r="J1704" s="5" t="n">
        <v>0.01541390196306714</v>
      </c>
      <c r="K1704" s="5" t="n">
        <v>0.01013743427521322</v>
      </c>
      <c r="L1704" s="5" t="n">
        <v>0.004945047313935042</v>
      </c>
      <c r="M1704" s="5">
        <f>SUMPRODUCT(Exposures!$B$6:$K$6,B1704:K1704)</f>
        <v/>
      </c>
      <c r="N1704" s="5">
        <f>IF(AND($A1704&gt;=DATE(2020,2,1),$A1704&lt;=DATE(2020,5,31)),$M1704,"")</f>
        <v/>
      </c>
      <c r="O1704" s="5">
        <f>IF(AND($A1704&gt;=DATE(2022,1,1),$A1704&lt;=DATE(2022,10,31)),$M1704,"")</f>
        <v/>
      </c>
      <c r="P1704" s="5">
        <f>IF(AND($A1704&gt;=DATE(2018,10,1),$A1704&lt;=DATE(2018,12,31)),$M1704,"")</f>
        <v/>
      </c>
      <c r="Q1704" s="5">
        <f>SUMPRODUCT(Exposures!$B$8:$K$8,B1704:K1704)</f>
        <v/>
      </c>
      <c r="R1704" s="5">
        <f>SUMPRODUCT(Exposures!$B$9:$K$9,B1704:K1704)</f>
        <v/>
      </c>
      <c r="S1704" s="5">
        <f>SUMPRODUCT(Exposures!$B$10:$K$10,B1704:K1704)</f>
        <v/>
      </c>
    </row>
    <row r="1705">
      <c r="A1705" s="1" t="n">
        <v>44931</v>
      </c>
      <c r="B1705" s="5" t="n">
        <v>-0.009746936194443053</v>
      </c>
      <c r="C1705" s="5" t="n">
        <v>0.00312146624672558</v>
      </c>
      <c r="D1705" s="5" t="n">
        <v>-0.00194270581753512</v>
      </c>
      <c r="E1705" s="5" t="n">
        <v>-0.001697061039325564</v>
      </c>
      <c r="F1705" s="5" t="n">
        <v>-0.00280588752714632</v>
      </c>
      <c r="G1705" s="5" t="n">
        <v>-0.008947609501791331</v>
      </c>
      <c r="H1705" s="5" t="n">
        <v>-0.001467359602833967</v>
      </c>
      <c r="I1705" s="5" t="n">
        <v>0.00094452970438409</v>
      </c>
      <c r="J1705" s="5" t="n">
        <v>0.008286426605348701</v>
      </c>
      <c r="K1705" s="5" t="n">
        <v>0.001318820200186675</v>
      </c>
      <c r="L1705" s="5" t="n">
        <v>-0.0002632604443269674</v>
      </c>
      <c r="M1705" s="5">
        <f>SUMPRODUCT(Exposures!$B$6:$K$6,B1705:K1705)</f>
        <v/>
      </c>
      <c r="N1705" s="5">
        <f>IF(AND($A1705&gt;=DATE(2020,2,1),$A1705&lt;=DATE(2020,5,31)),$M1705,"")</f>
        <v/>
      </c>
      <c r="O1705" s="5">
        <f>IF(AND($A1705&gt;=DATE(2022,1,1),$A1705&lt;=DATE(2022,10,31)),$M1705,"")</f>
        <v/>
      </c>
      <c r="P1705" s="5">
        <f>IF(AND($A1705&gt;=DATE(2018,10,1),$A1705&lt;=DATE(2018,12,31)),$M1705,"")</f>
        <v/>
      </c>
      <c r="Q1705" s="5">
        <f>SUMPRODUCT(Exposures!$B$8:$K$8,B1705:K1705)</f>
        <v/>
      </c>
      <c r="R1705" s="5">
        <f>SUMPRODUCT(Exposures!$B$9:$K$9,B1705:K1705)</f>
        <v/>
      </c>
      <c r="S1705" s="5">
        <f>SUMPRODUCT(Exposures!$B$10:$K$10,B1705:K1705)</f>
        <v/>
      </c>
    </row>
    <row r="1706">
      <c r="A1706" s="1" t="n">
        <v>44932</v>
      </c>
      <c r="B1706" s="5" t="n">
        <v>0.008017443162612992</v>
      </c>
      <c r="C1706" s="5" t="n">
        <v>0.005467088187150247</v>
      </c>
      <c r="D1706" s="5" t="n">
        <v>-0.0009085044587506059</v>
      </c>
      <c r="E1706" s="5" t="n">
        <v>0.001599183015908027</v>
      </c>
      <c r="F1706" s="5" t="n">
        <v>-0.00224880123625896</v>
      </c>
      <c r="G1706" s="5" t="n">
        <v>0.01855739082984684</v>
      </c>
      <c r="H1706" s="5" t="n">
        <v>0.002628724952463081</v>
      </c>
      <c r="I1706" s="5" t="n">
        <v>-0.0008324347933977509</v>
      </c>
      <c r="J1706" s="5" t="n">
        <v>-0.006362114233332453</v>
      </c>
      <c r="K1706" s="5" t="n">
        <v>0.001927660047675552</v>
      </c>
      <c r="L1706" s="5" t="n">
        <v>-0.00132384051898547</v>
      </c>
      <c r="M1706" s="5">
        <f>SUMPRODUCT(Exposures!$B$6:$K$6,B1706:K1706)</f>
        <v/>
      </c>
      <c r="N1706" s="5">
        <f>IF(AND($A1706&gt;=DATE(2020,2,1),$A1706&lt;=DATE(2020,5,31)),$M1706,"")</f>
        <v/>
      </c>
      <c r="O1706" s="5">
        <f>IF(AND($A1706&gt;=DATE(2022,1,1),$A1706&lt;=DATE(2022,10,31)),$M1706,"")</f>
        <v/>
      </c>
      <c r="P1706" s="5">
        <f>IF(AND($A1706&gt;=DATE(2018,10,1),$A1706&lt;=DATE(2018,12,31)),$M1706,"")</f>
        <v/>
      </c>
      <c r="Q1706" s="5">
        <f>SUMPRODUCT(Exposures!$B$8:$K$8,B1706:K1706)</f>
        <v/>
      </c>
      <c r="R1706" s="5">
        <f>SUMPRODUCT(Exposures!$B$9:$K$9,B1706:K1706)</f>
        <v/>
      </c>
      <c r="S1706" s="5">
        <f>SUMPRODUCT(Exposures!$B$10:$K$10,B1706:K1706)</f>
        <v/>
      </c>
    </row>
    <row r="1707">
      <c r="A1707" s="1" t="n">
        <v>44935</v>
      </c>
      <c r="B1707" s="5" t="n">
        <v>0.01077665822431001</v>
      </c>
      <c r="C1707" s="5" t="n">
        <v>0.002611911222621547</v>
      </c>
      <c r="D1707" s="5" t="n">
        <v>0.0007734659382588949</v>
      </c>
      <c r="E1707" s="5" t="n">
        <v>-0.0005936592907826961</v>
      </c>
      <c r="F1707" s="5" t="n">
        <v>0.002125638986213343</v>
      </c>
      <c r="G1707" s="5" t="n">
        <v>0.005223937205050659</v>
      </c>
      <c r="H1707" s="5" t="n">
        <v>-0.003696342561500739</v>
      </c>
      <c r="I1707" s="5" t="n">
        <v>0.0009616307000822806</v>
      </c>
      <c r="J1707" s="5" t="n">
        <v>0.001503885904398395</v>
      </c>
      <c r="K1707" s="5" t="n">
        <v>-0.00338761391447855</v>
      </c>
      <c r="L1707" s="5" t="n">
        <v>-0.001488691048418576</v>
      </c>
      <c r="M1707" s="5">
        <f>SUMPRODUCT(Exposures!$B$6:$K$6,B1707:K1707)</f>
        <v/>
      </c>
      <c r="N1707" s="5">
        <f>IF(AND($A1707&gt;=DATE(2020,2,1),$A1707&lt;=DATE(2020,5,31)),$M1707,"")</f>
        <v/>
      </c>
      <c r="O1707" s="5">
        <f>IF(AND($A1707&gt;=DATE(2022,1,1),$A1707&lt;=DATE(2022,10,31)),$M1707,"")</f>
        <v/>
      </c>
      <c r="P1707" s="5">
        <f>IF(AND($A1707&gt;=DATE(2018,10,1),$A1707&lt;=DATE(2018,12,31)),$M1707,"")</f>
        <v/>
      </c>
      <c r="Q1707" s="5">
        <f>SUMPRODUCT(Exposures!$B$8:$K$8,B1707:K1707)</f>
        <v/>
      </c>
      <c r="R1707" s="5">
        <f>SUMPRODUCT(Exposures!$B$9:$K$9,B1707:K1707)</f>
        <v/>
      </c>
      <c r="S1707" s="5">
        <f>SUMPRODUCT(Exposures!$B$10:$K$10,B1707:K1707)</f>
        <v/>
      </c>
    </row>
    <row r="1708">
      <c r="A1708" s="1" t="n">
        <v>44936</v>
      </c>
      <c r="B1708" s="5" t="n">
        <v>0.002480585329730979</v>
      </c>
      <c r="C1708" s="5" t="n">
        <v>-0.002092197250996417</v>
      </c>
      <c r="D1708" s="5" t="n">
        <v>-0.002897582086472981</v>
      </c>
      <c r="E1708" s="5" t="n">
        <v>-0.00103813015767448</v>
      </c>
      <c r="F1708" s="5" t="n">
        <v>0.001746035098159193</v>
      </c>
      <c r="G1708" s="5" t="n">
        <v>0.01131435406383852</v>
      </c>
      <c r="H1708" s="5" t="n">
        <v>-0.0009425685031013419</v>
      </c>
      <c r="I1708" s="5" t="n">
        <v>-0.001040982462697572</v>
      </c>
      <c r="J1708" s="5" t="n">
        <v>0.005989555368311081</v>
      </c>
      <c r="K1708" s="5" t="n">
        <v>-0.0006194898427410449</v>
      </c>
      <c r="L1708" s="5" t="n">
        <v>0.002131640756900279</v>
      </c>
      <c r="M1708" s="5">
        <f>SUMPRODUCT(Exposures!$B$6:$K$6,B1708:K1708)</f>
        <v/>
      </c>
      <c r="N1708" s="5">
        <f>IF(AND($A1708&gt;=DATE(2020,2,1),$A1708&lt;=DATE(2020,5,31)),$M1708,"")</f>
        <v/>
      </c>
      <c r="O1708" s="5">
        <f>IF(AND($A1708&gt;=DATE(2022,1,1),$A1708&lt;=DATE(2022,10,31)),$M1708,"")</f>
        <v/>
      </c>
      <c r="P1708" s="5">
        <f>IF(AND($A1708&gt;=DATE(2018,10,1),$A1708&lt;=DATE(2018,12,31)),$M1708,"")</f>
        <v/>
      </c>
      <c r="Q1708" s="5">
        <f>SUMPRODUCT(Exposures!$B$8:$K$8,B1708:K1708)</f>
        <v/>
      </c>
      <c r="R1708" s="5">
        <f>SUMPRODUCT(Exposures!$B$9:$K$9,B1708:K1708)</f>
        <v/>
      </c>
      <c r="S1708" s="5">
        <f>SUMPRODUCT(Exposures!$B$10:$K$10,B1708:K1708)</f>
        <v/>
      </c>
    </row>
    <row r="1709">
      <c r="A1709" s="1" t="n">
        <v>44937</v>
      </c>
      <c r="B1709" s="5" t="n">
        <v>0.00660443127535583</v>
      </c>
      <c r="C1709" s="5" t="n">
        <v>-0.003740745421852942</v>
      </c>
      <c r="D1709" s="5" t="n">
        <v>0.004108886642669974</v>
      </c>
      <c r="E1709" s="5" t="n">
        <v>0.0005916142401269516</v>
      </c>
      <c r="F1709" s="5" t="n">
        <v>0.001619393668902752</v>
      </c>
      <c r="G1709" s="5" t="n">
        <v>0.01265078440806818</v>
      </c>
      <c r="H1709" s="5" t="n">
        <v>-0.002477707201147961</v>
      </c>
      <c r="I1709" s="5" t="n">
        <v>-0.001139834578375169</v>
      </c>
      <c r="J1709" s="5" t="n">
        <v>-0.005975996917976421</v>
      </c>
      <c r="K1709" s="5" t="n">
        <v>-0.0001523571511069066</v>
      </c>
      <c r="L1709" s="5" t="n">
        <v>0.001416243807634896</v>
      </c>
      <c r="M1709" s="5">
        <f>SUMPRODUCT(Exposures!$B$6:$K$6,B1709:K1709)</f>
        <v/>
      </c>
      <c r="N1709" s="5">
        <f>IF(AND($A1709&gt;=DATE(2020,2,1),$A1709&lt;=DATE(2020,5,31)),$M1709,"")</f>
        <v/>
      </c>
      <c r="O1709" s="5">
        <f>IF(AND($A1709&gt;=DATE(2022,1,1),$A1709&lt;=DATE(2022,10,31)),$M1709,"")</f>
        <v/>
      </c>
      <c r="P1709" s="5">
        <f>IF(AND($A1709&gt;=DATE(2018,10,1),$A1709&lt;=DATE(2018,12,31)),$M1709,"")</f>
        <v/>
      </c>
      <c r="Q1709" s="5">
        <f>SUMPRODUCT(Exposures!$B$8:$K$8,B1709:K1709)</f>
        <v/>
      </c>
      <c r="R1709" s="5">
        <f>SUMPRODUCT(Exposures!$B$9:$K$9,B1709:K1709)</f>
        <v/>
      </c>
      <c r="S1709" s="5">
        <f>SUMPRODUCT(Exposures!$B$10:$K$10,B1709:K1709)</f>
        <v/>
      </c>
    </row>
    <row r="1710">
      <c r="A1710" s="1" t="n">
        <v>44938</v>
      </c>
      <c r="B1710" s="5" t="n">
        <v>0.005224817693586658</v>
      </c>
      <c r="C1710" s="5" t="n">
        <v>-0.001743422502787186</v>
      </c>
      <c r="D1710" s="5" t="n">
        <v>-0.001437530815800731</v>
      </c>
      <c r="E1710" s="5" t="n">
        <v>-0.0007934586757255973</v>
      </c>
      <c r="F1710" s="5" t="n">
        <v>0.007453693476266338</v>
      </c>
      <c r="G1710" s="5" t="n">
        <v>0.00985316075982629</v>
      </c>
      <c r="H1710" s="5" t="n">
        <v>0.001854167500770495</v>
      </c>
      <c r="I1710" s="5" t="n">
        <v>0.001970796168122114</v>
      </c>
      <c r="J1710" s="5" t="n">
        <v>0.00329244099061574</v>
      </c>
      <c r="K1710" s="5" t="n">
        <v>-0.01339148260497525</v>
      </c>
      <c r="L1710" s="5" t="n">
        <v>-0.001232486493866904</v>
      </c>
      <c r="M1710" s="5">
        <f>SUMPRODUCT(Exposures!$B$6:$K$6,B1710:K1710)</f>
        <v/>
      </c>
      <c r="N1710" s="5">
        <f>IF(AND($A1710&gt;=DATE(2020,2,1),$A1710&lt;=DATE(2020,5,31)),$M1710,"")</f>
        <v/>
      </c>
      <c r="O1710" s="5">
        <f>IF(AND($A1710&gt;=DATE(2022,1,1),$A1710&lt;=DATE(2022,10,31)),$M1710,"")</f>
        <v/>
      </c>
      <c r="P1710" s="5">
        <f>IF(AND($A1710&gt;=DATE(2018,10,1),$A1710&lt;=DATE(2018,12,31)),$M1710,"")</f>
        <v/>
      </c>
      <c r="Q1710" s="5">
        <f>SUMPRODUCT(Exposures!$B$8:$K$8,B1710:K1710)</f>
        <v/>
      </c>
      <c r="R1710" s="5">
        <f>SUMPRODUCT(Exposures!$B$9:$K$9,B1710:K1710)</f>
        <v/>
      </c>
      <c r="S1710" s="5">
        <f>SUMPRODUCT(Exposures!$B$10:$K$10,B1710:K1710)</f>
        <v/>
      </c>
    </row>
    <row r="1711">
      <c r="A1711" s="1" t="n">
        <v>44939</v>
      </c>
      <c r="B1711" s="5" t="n">
        <v>0.001624003007007896</v>
      </c>
      <c r="C1711" s="5" t="n">
        <v>-0.003883162158223116</v>
      </c>
      <c r="D1711" s="5" t="n">
        <v>-0.001058282216952494</v>
      </c>
      <c r="E1711" s="5" t="n">
        <v>0.001477492162872197</v>
      </c>
      <c r="F1711" s="5" t="n">
        <v>-0.002445903148830023</v>
      </c>
      <c r="G1711" s="5" t="n">
        <v>0.005812006871893657</v>
      </c>
      <c r="H1711" s="5" t="n">
        <v>0.001391018751455212</v>
      </c>
      <c r="I1711" s="5" t="n">
        <v>0.0006619519734261906</v>
      </c>
      <c r="J1711" s="5" t="n">
        <v>0.00456828321425634</v>
      </c>
      <c r="K1711" s="5" t="n">
        <v>0.005715194718269228</v>
      </c>
      <c r="L1711" s="5" t="n">
        <v>0.0009782921109589735</v>
      </c>
      <c r="M1711" s="5">
        <f>SUMPRODUCT(Exposures!$B$6:$K$6,B1711:K1711)</f>
        <v/>
      </c>
      <c r="N1711" s="5">
        <f>IF(AND($A1711&gt;=DATE(2020,2,1),$A1711&lt;=DATE(2020,5,31)),$M1711,"")</f>
        <v/>
      </c>
      <c r="O1711" s="5">
        <f>IF(AND($A1711&gt;=DATE(2022,1,1),$A1711&lt;=DATE(2022,10,31)),$M1711,"")</f>
        <v/>
      </c>
      <c r="P1711" s="5">
        <f>IF(AND($A1711&gt;=DATE(2018,10,1),$A1711&lt;=DATE(2018,12,31)),$M1711,"")</f>
        <v/>
      </c>
      <c r="Q1711" s="5">
        <f>SUMPRODUCT(Exposures!$B$8:$K$8,B1711:K1711)</f>
        <v/>
      </c>
      <c r="R1711" s="5">
        <f>SUMPRODUCT(Exposures!$B$9:$K$9,B1711:K1711)</f>
        <v/>
      </c>
      <c r="S1711" s="5">
        <f>SUMPRODUCT(Exposures!$B$10:$K$10,B1711:K1711)</f>
        <v/>
      </c>
    </row>
    <row r="1712">
      <c r="A1712" s="1" t="n">
        <v>44943</v>
      </c>
      <c r="B1712" s="5" t="n">
        <v>-0.0009720027992115033</v>
      </c>
      <c r="C1712" s="5" t="n">
        <v>-0.0002878443317295345</v>
      </c>
      <c r="D1712" s="5" t="n">
        <v>-0.0006250101613001786</v>
      </c>
      <c r="E1712" s="5" t="n">
        <v>5.8836818494708e-05</v>
      </c>
      <c r="F1712" s="5" t="n">
        <v>0.00142961321461019</v>
      </c>
      <c r="G1712" s="5" t="n">
        <v>-0.001109050720816462</v>
      </c>
      <c r="H1712" s="5" t="n">
        <v>-0.004854831497664754</v>
      </c>
      <c r="I1712" s="5" t="n">
        <v>9.367300096909623e-06</v>
      </c>
      <c r="J1712" s="5" t="n">
        <v>-0.0005688688094831019</v>
      </c>
      <c r="K1712" s="5" t="n">
        <v>-0.004228775799474034</v>
      </c>
      <c r="L1712" s="5" t="n">
        <v>-0.0006907419781823461</v>
      </c>
      <c r="M1712" s="5">
        <f>SUMPRODUCT(Exposures!$B$6:$K$6,B1712:K1712)</f>
        <v/>
      </c>
      <c r="N1712" s="5">
        <f>IF(AND($A1712&gt;=DATE(2020,2,1),$A1712&lt;=DATE(2020,5,31)),$M1712,"")</f>
        <v/>
      </c>
      <c r="O1712" s="5">
        <f>IF(AND($A1712&gt;=DATE(2022,1,1),$A1712&lt;=DATE(2022,10,31)),$M1712,"")</f>
        <v/>
      </c>
      <c r="P1712" s="5">
        <f>IF(AND($A1712&gt;=DATE(2018,10,1),$A1712&lt;=DATE(2018,12,31)),$M1712,"")</f>
        <v/>
      </c>
      <c r="Q1712" s="5">
        <f>SUMPRODUCT(Exposures!$B$8:$K$8,B1712:K1712)</f>
        <v/>
      </c>
      <c r="R1712" s="5">
        <f>SUMPRODUCT(Exposures!$B$9:$K$9,B1712:K1712)</f>
        <v/>
      </c>
      <c r="S1712" s="5">
        <f>SUMPRODUCT(Exposures!$B$10:$K$10,B1712:K1712)</f>
        <v/>
      </c>
    </row>
    <row r="1713">
      <c r="A1713" s="1" t="n">
        <v>44944</v>
      </c>
      <c r="B1713" s="5" t="n">
        <v>0.001634495719242785</v>
      </c>
      <c r="C1713" s="5" t="n">
        <v>0.001136575096306296</v>
      </c>
      <c r="D1713" s="5" t="n">
        <v>0.002287484242863153</v>
      </c>
      <c r="E1713" s="5" t="n">
        <v>-0.004922949110727932</v>
      </c>
      <c r="F1713" s="5" t="n">
        <v>0.002363527860540332</v>
      </c>
      <c r="G1713" s="5" t="n">
        <v>-0.01553597197452728</v>
      </c>
      <c r="H1713" s="5" t="n">
        <v>0.000725978955271496</v>
      </c>
      <c r="I1713" s="5" t="n">
        <v>-0.001703088206082098</v>
      </c>
      <c r="J1713" s="5" t="n">
        <v>-0.003120113707971387</v>
      </c>
      <c r="K1713" s="5" t="n">
        <v>-0.0002680030110195117</v>
      </c>
      <c r="L1713" s="5" t="n">
        <v>0.001427604262510835</v>
      </c>
      <c r="M1713" s="5">
        <f>SUMPRODUCT(Exposures!$B$6:$K$6,B1713:K1713)</f>
        <v/>
      </c>
      <c r="N1713" s="5">
        <f>IF(AND($A1713&gt;=DATE(2020,2,1),$A1713&lt;=DATE(2020,5,31)),$M1713,"")</f>
        <v/>
      </c>
      <c r="O1713" s="5">
        <f>IF(AND($A1713&gt;=DATE(2022,1,1),$A1713&lt;=DATE(2022,10,31)),$M1713,"")</f>
        <v/>
      </c>
      <c r="P1713" s="5">
        <f>IF(AND($A1713&gt;=DATE(2018,10,1),$A1713&lt;=DATE(2018,12,31)),$M1713,"")</f>
        <v/>
      </c>
      <c r="Q1713" s="5">
        <f>SUMPRODUCT(Exposures!$B$8:$K$8,B1713:K1713)</f>
        <v/>
      </c>
      <c r="R1713" s="5">
        <f>SUMPRODUCT(Exposures!$B$9:$K$9,B1713:K1713)</f>
        <v/>
      </c>
      <c r="S1713" s="5">
        <f>SUMPRODUCT(Exposures!$B$10:$K$10,B1713:K1713)</f>
        <v/>
      </c>
    </row>
    <row r="1714">
      <c r="A1714" s="1" t="n">
        <v>44945</v>
      </c>
      <c r="B1714" s="5" t="n">
        <v>-0.007271172649525605</v>
      </c>
      <c r="C1714" s="5" t="n">
        <v>0.0008000338938639074</v>
      </c>
      <c r="D1714" s="5" t="n">
        <v>0.001194537773498133</v>
      </c>
      <c r="E1714" s="5" t="n">
        <v>-0.003237929645539849</v>
      </c>
      <c r="F1714" s="5" t="n">
        <v>-0.01066813723203028</v>
      </c>
      <c r="G1714" s="5" t="n">
        <v>-0.01142339598941049</v>
      </c>
      <c r="H1714" s="5" t="n">
        <v>-0.0008691912694755456</v>
      </c>
      <c r="I1714" s="5" t="n">
        <v>-0.0005840266280957051</v>
      </c>
      <c r="J1714" s="5" t="n">
        <v>0.002214888044009122</v>
      </c>
      <c r="K1714" s="5" t="n">
        <v>0.01627349617234925</v>
      </c>
      <c r="L1714" s="5" t="n">
        <v>0.002078146508294033</v>
      </c>
      <c r="M1714" s="5">
        <f>SUMPRODUCT(Exposures!$B$6:$K$6,B1714:K1714)</f>
        <v/>
      </c>
      <c r="N1714" s="5">
        <f>IF(AND($A1714&gt;=DATE(2020,2,1),$A1714&lt;=DATE(2020,5,31)),$M1714,"")</f>
        <v/>
      </c>
      <c r="O1714" s="5">
        <f>IF(AND($A1714&gt;=DATE(2022,1,1),$A1714&lt;=DATE(2022,10,31)),$M1714,"")</f>
        <v/>
      </c>
      <c r="P1714" s="5">
        <f>IF(AND($A1714&gt;=DATE(2018,10,1),$A1714&lt;=DATE(2018,12,31)),$M1714,"")</f>
        <v/>
      </c>
      <c r="Q1714" s="5">
        <f>SUMPRODUCT(Exposures!$B$8:$K$8,B1714:K1714)</f>
        <v/>
      </c>
      <c r="R1714" s="5">
        <f>SUMPRODUCT(Exposures!$B$9:$K$9,B1714:K1714)</f>
        <v/>
      </c>
      <c r="S1714" s="5">
        <f>SUMPRODUCT(Exposures!$B$10:$K$10,B1714:K1714)</f>
        <v/>
      </c>
    </row>
    <row r="1715">
      <c r="A1715" s="1" t="n">
        <v>44946</v>
      </c>
      <c r="B1715" s="5" t="n">
        <v>0.01088049993017559</v>
      </c>
      <c r="C1715" s="5" t="n">
        <v>0.000362996868856672</v>
      </c>
      <c r="D1715" s="5" t="n">
        <v>0.001827273878073691</v>
      </c>
      <c r="E1715" s="5" t="n">
        <v>0.00248606828099313</v>
      </c>
      <c r="F1715" s="5" t="n">
        <v>-0.00195115870973502</v>
      </c>
      <c r="G1715" s="5" t="n">
        <v>0.0237251936420297</v>
      </c>
      <c r="H1715" s="5" t="n">
        <v>-0.004999218345026094</v>
      </c>
      <c r="I1715" s="5" t="n">
        <v>0.002830372612900199</v>
      </c>
      <c r="J1715" s="5" t="n">
        <v>0.001114568339509032</v>
      </c>
      <c r="K1715" s="5" t="n">
        <v>0.0005259509367342803</v>
      </c>
      <c r="L1715" s="5" t="n">
        <v>0.002860605752320398</v>
      </c>
      <c r="M1715" s="5">
        <f>SUMPRODUCT(Exposures!$B$6:$K$6,B1715:K1715)</f>
        <v/>
      </c>
      <c r="N1715" s="5">
        <f>IF(AND($A1715&gt;=DATE(2020,2,1),$A1715&lt;=DATE(2020,5,31)),$M1715,"")</f>
        <v/>
      </c>
      <c r="O1715" s="5">
        <f>IF(AND($A1715&gt;=DATE(2022,1,1),$A1715&lt;=DATE(2022,10,31)),$M1715,"")</f>
        <v/>
      </c>
      <c r="P1715" s="5">
        <f>IF(AND($A1715&gt;=DATE(2018,10,1),$A1715&lt;=DATE(2018,12,31)),$M1715,"")</f>
        <v/>
      </c>
      <c r="Q1715" s="5">
        <f>SUMPRODUCT(Exposures!$B$8:$K$8,B1715:K1715)</f>
        <v/>
      </c>
      <c r="R1715" s="5">
        <f>SUMPRODUCT(Exposures!$B$9:$K$9,B1715:K1715)</f>
        <v/>
      </c>
      <c r="S1715" s="5">
        <f>SUMPRODUCT(Exposures!$B$10:$K$10,B1715:K1715)</f>
        <v/>
      </c>
    </row>
    <row r="1716">
      <c r="A1716" s="1" t="n">
        <v>44949</v>
      </c>
      <c r="B1716" s="5" t="n">
        <v>0.01083044393126248</v>
      </c>
      <c r="C1716" s="5" t="n">
        <v>-0.004064150040047674</v>
      </c>
      <c r="D1716" s="5" t="n">
        <v>0.003510598591459913</v>
      </c>
      <c r="E1716" s="5" t="n">
        <v>0.0007018979191071809</v>
      </c>
      <c r="F1716" s="5" t="n">
        <v>0.008151419081119961</v>
      </c>
      <c r="G1716" s="5" t="n">
        <v>0.01473124170793743</v>
      </c>
      <c r="H1716" s="5" t="n">
        <v>-0.002025214747348546</v>
      </c>
      <c r="I1716" s="5" t="n">
        <v>0.0009512334118610354</v>
      </c>
      <c r="J1716" s="5" t="n">
        <v>-0.001196065645398017</v>
      </c>
      <c r="K1716" s="5" t="n">
        <v>-0.008869664790453686</v>
      </c>
      <c r="L1716" s="5" t="n">
        <v>0.0005337663275104463</v>
      </c>
      <c r="M1716" s="5">
        <f>SUMPRODUCT(Exposures!$B$6:$K$6,B1716:K1716)</f>
        <v/>
      </c>
      <c r="N1716" s="5">
        <f>IF(AND($A1716&gt;=DATE(2020,2,1),$A1716&lt;=DATE(2020,5,31)),$M1716,"")</f>
        <v/>
      </c>
      <c r="O1716" s="5">
        <f>IF(AND($A1716&gt;=DATE(2022,1,1),$A1716&lt;=DATE(2022,10,31)),$M1716,"")</f>
        <v/>
      </c>
      <c r="P1716" s="5">
        <f>IF(AND($A1716&gt;=DATE(2018,10,1),$A1716&lt;=DATE(2018,12,31)),$M1716,"")</f>
        <v/>
      </c>
      <c r="Q1716" s="5">
        <f>SUMPRODUCT(Exposures!$B$8:$K$8,B1716:K1716)</f>
        <v/>
      </c>
      <c r="R1716" s="5">
        <f>SUMPRODUCT(Exposures!$B$9:$K$9,B1716:K1716)</f>
        <v/>
      </c>
      <c r="S1716" s="5">
        <f>SUMPRODUCT(Exposures!$B$10:$K$10,B1716:K1716)</f>
        <v/>
      </c>
    </row>
    <row r="1717">
      <c r="A1717" s="1" t="n">
        <v>44950</v>
      </c>
      <c r="B1717" s="5" t="n">
        <v>-0.0005029013098926652</v>
      </c>
      <c r="C1717" s="5" t="n">
        <v>0.000544176018434979</v>
      </c>
      <c r="D1717" s="5" t="n">
        <v>0.0004940880781321537</v>
      </c>
      <c r="E1717" s="5" t="n">
        <v>0.002130018164469838</v>
      </c>
      <c r="F1717" s="5" t="n">
        <v>-0.002149028422590401</v>
      </c>
      <c r="G1717" s="5" t="n">
        <v>-0.003464634910553825</v>
      </c>
      <c r="H1717" s="5" t="n">
        <v>0.004250870394349212</v>
      </c>
      <c r="I1717" s="5" t="n">
        <v>-0.001475616834133445</v>
      </c>
      <c r="J1717" s="5" t="n">
        <v>0.0001280842939442056</v>
      </c>
      <c r="K1717" s="5" t="n">
        <v>0.001662353643443371</v>
      </c>
      <c r="L1717" s="5" t="n">
        <v>-0.0001388593678412538</v>
      </c>
      <c r="M1717" s="5">
        <f>SUMPRODUCT(Exposures!$B$6:$K$6,B1717:K1717)</f>
        <v/>
      </c>
      <c r="N1717" s="5">
        <f>IF(AND($A1717&gt;=DATE(2020,2,1),$A1717&lt;=DATE(2020,5,31)),$M1717,"")</f>
        <v/>
      </c>
      <c r="O1717" s="5">
        <f>IF(AND($A1717&gt;=DATE(2022,1,1),$A1717&lt;=DATE(2022,10,31)),$M1717,"")</f>
        <v/>
      </c>
      <c r="P1717" s="5">
        <f>IF(AND($A1717&gt;=DATE(2018,10,1),$A1717&lt;=DATE(2018,12,31)),$M1717,"")</f>
        <v/>
      </c>
      <c r="Q1717" s="5">
        <f>SUMPRODUCT(Exposures!$B$8:$K$8,B1717:K1717)</f>
        <v/>
      </c>
      <c r="R1717" s="5">
        <f>SUMPRODUCT(Exposures!$B$9:$K$9,B1717:K1717)</f>
        <v/>
      </c>
      <c r="S1717" s="5">
        <f>SUMPRODUCT(Exposures!$B$10:$K$10,B1717:K1717)</f>
        <v/>
      </c>
    </row>
    <row r="1718">
      <c r="A1718" s="1" t="n">
        <v>44951</v>
      </c>
      <c r="B1718" s="5" t="n">
        <v>-0.0008614770991486966</v>
      </c>
      <c r="C1718" s="5" t="n">
        <v>0.003223233838778125</v>
      </c>
      <c r="D1718" s="5" t="n">
        <v>0.002303136735067662</v>
      </c>
      <c r="E1718" s="5" t="n">
        <v>0.0007462392242318116</v>
      </c>
      <c r="F1718" s="5" t="n">
        <v>-0.0005410195967523195</v>
      </c>
      <c r="G1718" s="5" t="n">
        <v>0.002250165275188983</v>
      </c>
      <c r="H1718" s="5" t="n">
        <v>-0.000390367681918795</v>
      </c>
      <c r="I1718" s="5" t="n">
        <v>0.0007019643961712562</v>
      </c>
      <c r="J1718" s="5" t="n">
        <v>0.001210817794063667</v>
      </c>
      <c r="K1718" s="5" t="n">
        <v>-0.0003132615291367255</v>
      </c>
      <c r="L1718" s="5" t="n">
        <v>0.003925075885622273</v>
      </c>
      <c r="M1718" s="5">
        <f>SUMPRODUCT(Exposures!$B$6:$K$6,B1718:K1718)</f>
        <v/>
      </c>
      <c r="N1718" s="5">
        <f>IF(AND($A1718&gt;=DATE(2020,2,1),$A1718&lt;=DATE(2020,5,31)),$M1718,"")</f>
        <v/>
      </c>
      <c r="O1718" s="5">
        <f>IF(AND($A1718&gt;=DATE(2022,1,1),$A1718&lt;=DATE(2022,10,31)),$M1718,"")</f>
        <v/>
      </c>
      <c r="P1718" s="5">
        <f>IF(AND($A1718&gt;=DATE(2018,10,1),$A1718&lt;=DATE(2018,12,31)),$M1718,"")</f>
        <v/>
      </c>
      <c r="Q1718" s="5">
        <f>SUMPRODUCT(Exposures!$B$8:$K$8,B1718:K1718)</f>
        <v/>
      </c>
      <c r="R1718" s="5">
        <f>SUMPRODUCT(Exposures!$B$9:$K$9,B1718:K1718)</f>
        <v/>
      </c>
      <c r="S1718" s="5">
        <f>SUMPRODUCT(Exposures!$B$10:$K$10,B1718:K1718)</f>
        <v/>
      </c>
    </row>
    <row r="1719">
      <c r="A1719" s="1" t="n">
        <v>44952</v>
      </c>
      <c r="B1719" s="5" t="n">
        <v>0.006770491446142078</v>
      </c>
      <c r="C1719" s="5" t="n">
        <v>-0.002955098220172206</v>
      </c>
      <c r="D1719" s="5" t="n">
        <v>0.001272887029376767</v>
      </c>
      <c r="E1719" s="5" t="n">
        <v>-0.003614773258939294</v>
      </c>
      <c r="F1719" s="5" t="n">
        <v>-0.006099640505814494</v>
      </c>
      <c r="G1719" s="5" t="n">
        <v>0.01058083186735573</v>
      </c>
      <c r="H1719" s="5" t="n">
        <v>0.0005059062029075968</v>
      </c>
      <c r="I1719" s="5" t="n">
        <v>0.0007581139949537038</v>
      </c>
      <c r="J1719" s="5" t="n">
        <v>-0.002297461207933582</v>
      </c>
      <c r="K1719" s="5" t="n">
        <v>0.006173993105268679</v>
      </c>
      <c r="L1719" s="5" t="n">
        <v>0.002289936302839932</v>
      </c>
      <c r="M1719" s="5">
        <f>SUMPRODUCT(Exposures!$B$6:$K$6,B1719:K1719)</f>
        <v/>
      </c>
      <c r="N1719" s="5">
        <f>IF(AND($A1719&gt;=DATE(2020,2,1),$A1719&lt;=DATE(2020,5,31)),$M1719,"")</f>
        <v/>
      </c>
      <c r="O1719" s="5">
        <f>IF(AND($A1719&gt;=DATE(2022,1,1),$A1719&lt;=DATE(2022,10,31)),$M1719,"")</f>
        <v/>
      </c>
      <c r="P1719" s="5">
        <f>IF(AND($A1719&gt;=DATE(2018,10,1),$A1719&lt;=DATE(2018,12,31)),$M1719,"")</f>
        <v/>
      </c>
      <c r="Q1719" s="5">
        <f>SUMPRODUCT(Exposures!$B$8:$K$8,B1719:K1719)</f>
        <v/>
      </c>
      <c r="R1719" s="5">
        <f>SUMPRODUCT(Exposures!$B$9:$K$9,B1719:K1719)</f>
        <v/>
      </c>
      <c r="S1719" s="5">
        <f>SUMPRODUCT(Exposures!$B$10:$K$10,B1719:K1719)</f>
        <v/>
      </c>
    </row>
    <row r="1720">
      <c r="A1720" s="1" t="n">
        <v>44953</v>
      </c>
      <c r="B1720" s="5" t="n">
        <v>0.009371233342333595</v>
      </c>
      <c r="C1720" s="5" t="n">
        <v>-0.001082977479150105</v>
      </c>
      <c r="D1720" s="5" t="n">
        <v>0.0002276338603835294</v>
      </c>
      <c r="E1720" s="5" t="n">
        <v>0.001858516474744206</v>
      </c>
      <c r="F1720" s="5" t="n">
        <v>-0.002775818247381245</v>
      </c>
      <c r="G1720" s="5" t="n">
        <v>0.005970583672284098</v>
      </c>
      <c r="H1720" s="5" t="n">
        <v>-0.005182358405550249</v>
      </c>
      <c r="I1720" s="5" t="n">
        <v>0.002483204098653251</v>
      </c>
      <c r="J1720" s="5" t="n">
        <v>-0.002405689974490876</v>
      </c>
      <c r="K1720" s="5" t="n">
        <v>-0.002401841290900624</v>
      </c>
      <c r="L1720" s="5" t="n">
        <v>-0.0003719765319499266</v>
      </c>
      <c r="M1720" s="5">
        <f>SUMPRODUCT(Exposures!$B$6:$K$6,B1720:K1720)</f>
        <v/>
      </c>
      <c r="N1720" s="5">
        <f>IF(AND($A1720&gt;=DATE(2020,2,1),$A1720&lt;=DATE(2020,5,31)),$M1720,"")</f>
        <v/>
      </c>
      <c r="O1720" s="5">
        <f>IF(AND($A1720&gt;=DATE(2022,1,1),$A1720&lt;=DATE(2022,10,31)),$M1720,"")</f>
        <v/>
      </c>
      <c r="P1720" s="5">
        <f>IF(AND($A1720&gt;=DATE(2018,10,1),$A1720&lt;=DATE(2018,12,31)),$M1720,"")</f>
        <v/>
      </c>
      <c r="Q1720" s="5">
        <f>SUMPRODUCT(Exposures!$B$8:$K$8,B1720:K1720)</f>
        <v/>
      </c>
      <c r="R1720" s="5">
        <f>SUMPRODUCT(Exposures!$B$9:$K$9,B1720:K1720)</f>
        <v/>
      </c>
      <c r="S1720" s="5">
        <f>SUMPRODUCT(Exposures!$B$10:$K$10,B1720:K1720)</f>
        <v/>
      </c>
    </row>
    <row r="1721">
      <c r="A1721" s="1" t="n">
        <v>44956</v>
      </c>
      <c r="B1721" s="5" t="n">
        <v>-0.004999555470470877</v>
      </c>
      <c r="C1721" s="5" t="n">
        <v>0.002562284794885005</v>
      </c>
      <c r="D1721" s="5" t="n">
        <v>-0.001904093009775195</v>
      </c>
      <c r="E1721" s="5" t="n">
        <v>0.002072163670082575</v>
      </c>
      <c r="F1721" s="5" t="n">
        <v>0.002663548387099202</v>
      </c>
      <c r="G1721" s="5" t="n">
        <v>-0.01293446744224105</v>
      </c>
      <c r="H1721" s="5" t="n">
        <v>0.002330537051191401</v>
      </c>
      <c r="I1721" s="5" t="n">
        <v>0.001150830172972082</v>
      </c>
      <c r="J1721" s="5" t="n">
        <v>-0.007499352443650705</v>
      </c>
      <c r="K1721" s="5" t="n">
        <v>-0.008340303020159884</v>
      </c>
      <c r="L1721" s="5" t="n">
        <v>-0.004204089907719463</v>
      </c>
      <c r="M1721" s="5">
        <f>SUMPRODUCT(Exposures!$B$6:$K$6,B1721:K1721)</f>
        <v/>
      </c>
      <c r="N1721" s="5">
        <f>IF(AND($A1721&gt;=DATE(2020,2,1),$A1721&lt;=DATE(2020,5,31)),$M1721,"")</f>
        <v/>
      </c>
      <c r="O1721" s="5">
        <f>IF(AND($A1721&gt;=DATE(2022,1,1),$A1721&lt;=DATE(2022,10,31)),$M1721,"")</f>
        <v/>
      </c>
      <c r="P1721" s="5">
        <f>IF(AND($A1721&gt;=DATE(2018,10,1),$A1721&lt;=DATE(2018,12,31)),$M1721,"")</f>
        <v/>
      </c>
      <c r="Q1721" s="5">
        <f>SUMPRODUCT(Exposures!$B$8:$K$8,B1721:K1721)</f>
        <v/>
      </c>
      <c r="R1721" s="5">
        <f>SUMPRODUCT(Exposures!$B$9:$K$9,B1721:K1721)</f>
        <v/>
      </c>
      <c r="S1721" s="5">
        <f>SUMPRODUCT(Exposures!$B$10:$K$10,B1721:K1721)</f>
        <v/>
      </c>
    </row>
    <row r="1722">
      <c r="A1722" s="1" t="n">
        <v>44957</v>
      </c>
      <c r="B1722" s="5" t="n">
        <v>0.004481967735394624</v>
      </c>
      <c r="C1722" s="5" t="n">
        <v>-0.0004326623085514871</v>
      </c>
      <c r="D1722" s="5" t="n">
        <v>-0.0007241775400364083</v>
      </c>
      <c r="E1722" s="5" t="n">
        <v>0.001193099130679899</v>
      </c>
      <c r="F1722" s="5" t="n">
        <v>0.00684461470073033</v>
      </c>
      <c r="G1722" s="5" t="n">
        <v>0.01887311586893622</v>
      </c>
      <c r="H1722" s="5" t="n">
        <v>-0.0003709763641706038</v>
      </c>
      <c r="I1722" s="5" t="n">
        <v>0.0006639952014899522</v>
      </c>
      <c r="J1722" s="5" t="n">
        <v>-0.002066676320694796</v>
      </c>
      <c r="K1722" s="5" t="n">
        <v>-0.0105614347291137</v>
      </c>
      <c r="L1722" s="5" t="n">
        <v>-0.001705297493531452</v>
      </c>
      <c r="M1722" s="5">
        <f>SUMPRODUCT(Exposures!$B$6:$K$6,B1722:K1722)</f>
        <v/>
      </c>
      <c r="N1722" s="5">
        <f>IF(AND($A1722&gt;=DATE(2020,2,1),$A1722&lt;=DATE(2020,5,31)),$M1722,"")</f>
        <v/>
      </c>
      <c r="O1722" s="5">
        <f>IF(AND($A1722&gt;=DATE(2022,1,1),$A1722&lt;=DATE(2022,10,31)),$M1722,"")</f>
        <v/>
      </c>
      <c r="P1722" s="5">
        <f>IF(AND($A1722&gt;=DATE(2018,10,1),$A1722&lt;=DATE(2018,12,31)),$M1722,"")</f>
        <v/>
      </c>
      <c r="Q1722" s="5">
        <f>SUMPRODUCT(Exposures!$B$8:$K$8,B1722:K1722)</f>
        <v/>
      </c>
      <c r="R1722" s="5">
        <f>SUMPRODUCT(Exposures!$B$9:$K$9,B1722:K1722)</f>
        <v/>
      </c>
      <c r="S1722" s="5">
        <f>SUMPRODUCT(Exposures!$B$10:$K$10,B1722:K1722)</f>
        <v/>
      </c>
    </row>
    <row r="1723">
      <c r="A1723" s="1" t="n">
        <v>44958</v>
      </c>
      <c r="B1723" s="5" t="n">
        <v>0.009298620781633946</v>
      </c>
      <c r="C1723" s="5" t="n">
        <v>-0.00162632845979428</v>
      </c>
      <c r="D1723" s="5" t="n">
        <v>0.0007256094702464359</v>
      </c>
      <c r="E1723" s="5" t="n">
        <v>-0.003225136639931969</v>
      </c>
      <c r="F1723" s="5" t="n">
        <v>0.004811948610691622</v>
      </c>
      <c r="G1723" s="5" t="n">
        <v>0.0146763325650484</v>
      </c>
      <c r="H1723" s="5" t="n">
        <v>-0.00623111550042327</v>
      </c>
      <c r="I1723" s="5" t="n">
        <v>0.0005840100686956404</v>
      </c>
      <c r="J1723" s="5" t="n">
        <v>0.00101483237291906</v>
      </c>
      <c r="K1723" s="5" t="n">
        <v>-0.006019826640221264</v>
      </c>
      <c r="L1723" s="5" t="n">
        <v>-0.001420845415061046</v>
      </c>
      <c r="M1723" s="5">
        <f>SUMPRODUCT(Exposures!$B$6:$K$6,B1723:K1723)</f>
        <v/>
      </c>
      <c r="N1723" s="5">
        <f>IF(AND($A1723&gt;=DATE(2020,2,1),$A1723&lt;=DATE(2020,5,31)),$M1723,"")</f>
        <v/>
      </c>
      <c r="O1723" s="5">
        <f>IF(AND($A1723&gt;=DATE(2022,1,1),$A1723&lt;=DATE(2022,10,31)),$M1723,"")</f>
        <v/>
      </c>
      <c r="P1723" s="5">
        <f>IF(AND($A1723&gt;=DATE(2018,10,1),$A1723&lt;=DATE(2018,12,31)),$M1723,"")</f>
        <v/>
      </c>
      <c r="Q1723" s="5">
        <f>SUMPRODUCT(Exposures!$B$8:$K$8,B1723:K1723)</f>
        <v/>
      </c>
      <c r="R1723" s="5">
        <f>SUMPRODUCT(Exposures!$B$9:$K$9,B1723:K1723)</f>
        <v/>
      </c>
      <c r="S1723" s="5">
        <f>SUMPRODUCT(Exposures!$B$10:$K$10,B1723:K1723)</f>
        <v/>
      </c>
    </row>
    <row r="1724">
      <c r="A1724" s="1" t="n">
        <v>44959</v>
      </c>
      <c r="B1724" s="5" t="n">
        <v>0.01284846307862623</v>
      </c>
      <c r="C1724" s="5" t="n">
        <v>0.002189268063449455</v>
      </c>
      <c r="D1724" s="5" t="n">
        <v>0.005688473665435415</v>
      </c>
      <c r="E1724" s="5" t="n">
        <v>-0.002408109149908905</v>
      </c>
      <c r="F1724" s="5" t="n">
        <v>-0.0002760657519377645</v>
      </c>
      <c r="G1724" s="5" t="n">
        <v>0.01545585539610808</v>
      </c>
      <c r="H1724" s="5" t="n">
        <v>-0.01924270481795736</v>
      </c>
      <c r="I1724" s="5" t="n">
        <v>0.003077079535269378</v>
      </c>
      <c r="J1724" s="5" t="n">
        <v>-0.00217985225692924</v>
      </c>
      <c r="K1724" s="5" t="n">
        <v>-0.004762518403646643</v>
      </c>
      <c r="L1724" s="5" t="n">
        <v>-0.003398634174985764</v>
      </c>
      <c r="M1724" s="5">
        <f>SUMPRODUCT(Exposures!$B$6:$K$6,B1724:K1724)</f>
        <v/>
      </c>
      <c r="N1724" s="5">
        <f>IF(AND($A1724&gt;=DATE(2020,2,1),$A1724&lt;=DATE(2020,5,31)),$M1724,"")</f>
        <v/>
      </c>
      <c r="O1724" s="5">
        <f>IF(AND($A1724&gt;=DATE(2022,1,1),$A1724&lt;=DATE(2022,10,31)),$M1724,"")</f>
        <v/>
      </c>
      <c r="P1724" s="5">
        <f>IF(AND($A1724&gt;=DATE(2018,10,1),$A1724&lt;=DATE(2018,12,31)),$M1724,"")</f>
        <v/>
      </c>
      <c r="Q1724" s="5">
        <f>SUMPRODUCT(Exposures!$B$8:$K$8,B1724:K1724)</f>
        <v/>
      </c>
      <c r="R1724" s="5">
        <f>SUMPRODUCT(Exposures!$B$9:$K$9,B1724:K1724)</f>
        <v/>
      </c>
      <c r="S1724" s="5">
        <f>SUMPRODUCT(Exposures!$B$10:$K$10,B1724:K1724)</f>
        <v/>
      </c>
    </row>
    <row r="1725">
      <c r="A1725" s="1" t="n">
        <v>44960</v>
      </c>
      <c r="B1725" s="5" t="n">
        <v>-0.008072620546987146</v>
      </c>
      <c r="C1725" s="5" t="n">
        <v>-0.000472944035458555</v>
      </c>
      <c r="D1725" s="5" t="n">
        <v>0.002910092668042233</v>
      </c>
      <c r="E1725" s="5" t="n">
        <v>0.004119226102075755</v>
      </c>
      <c r="F1725" s="5" t="n">
        <v>-0.006494863144791416</v>
      </c>
      <c r="G1725" s="5" t="n">
        <v>-0.01241257723558639</v>
      </c>
      <c r="H1725" s="5" t="n">
        <v>0.003667256614838367</v>
      </c>
      <c r="I1725" s="5" t="n">
        <v>-0.002377111325334887</v>
      </c>
      <c r="J1725" s="5" t="n">
        <v>-0.006192196580379411</v>
      </c>
      <c r="K1725" s="5" t="n">
        <v>0.001598334870951086</v>
      </c>
      <c r="L1725" s="5" t="n">
        <v>-0.001945641437676526</v>
      </c>
      <c r="M1725" s="5">
        <f>SUMPRODUCT(Exposures!$B$6:$K$6,B1725:K1725)</f>
        <v/>
      </c>
      <c r="N1725" s="5">
        <f>IF(AND($A1725&gt;=DATE(2020,2,1),$A1725&lt;=DATE(2020,5,31)),$M1725,"")</f>
        <v/>
      </c>
      <c r="O1725" s="5">
        <f>IF(AND($A1725&gt;=DATE(2022,1,1),$A1725&lt;=DATE(2022,10,31)),$M1725,"")</f>
        <v/>
      </c>
      <c r="P1725" s="5">
        <f>IF(AND($A1725&gt;=DATE(2018,10,1),$A1725&lt;=DATE(2018,12,31)),$M1725,"")</f>
        <v/>
      </c>
      <c r="Q1725" s="5">
        <f>SUMPRODUCT(Exposures!$B$8:$K$8,B1725:K1725)</f>
        <v/>
      </c>
      <c r="R1725" s="5">
        <f>SUMPRODUCT(Exposures!$B$9:$K$9,B1725:K1725)</f>
        <v/>
      </c>
      <c r="S1725" s="5">
        <f>SUMPRODUCT(Exposures!$B$10:$K$10,B1725:K1725)</f>
        <v/>
      </c>
    </row>
    <row r="1726">
      <c r="A1726" s="1" t="n">
        <v>44963</v>
      </c>
      <c r="B1726" s="5" t="n">
        <v>-0.007125099086963313</v>
      </c>
      <c r="C1726" s="5" t="n">
        <v>0.0004311032036509937</v>
      </c>
      <c r="D1726" s="5" t="n">
        <v>-0.002290745952665024</v>
      </c>
      <c r="E1726" s="5" t="n">
        <v>-2.482865677337512e-05</v>
      </c>
      <c r="F1726" s="5" t="n">
        <v>0.003851089937700416</v>
      </c>
      <c r="G1726" s="5" t="n">
        <v>-0.0100424633505684</v>
      </c>
      <c r="H1726" s="5" t="n">
        <v>0.002079112792050674</v>
      </c>
      <c r="I1726" s="5" t="n">
        <v>1.87198067208229e-05</v>
      </c>
      <c r="J1726" s="5" t="n">
        <v>0.001675669246807467</v>
      </c>
      <c r="K1726" s="5" t="n">
        <v>-0.001709379280615074</v>
      </c>
      <c r="L1726" s="5" t="n">
        <v>-0.001109327675122327</v>
      </c>
      <c r="M1726" s="5">
        <f>SUMPRODUCT(Exposures!$B$6:$K$6,B1726:K1726)</f>
        <v/>
      </c>
      <c r="N1726" s="5">
        <f>IF(AND($A1726&gt;=DATE(2020,2,1),$A1726&lt;=DATE(2020,5,31)),$M1726,"")</f>
        <v/>
      </c>
      <c r="O1726" s="5">
        <f>IF(AND($A1726&gt;=DATE(2022,1,1),$A1726&lt;=DATE(2022,10,31)),$M1726,"")</f>
        <v/>
      </c>
      <c r="P1726" s="5">
        <f>IF(AND($A1726&gt;=DATE(2018,10,1),$A1726&lt;=DATE(2018,12,31)),$M1726,"")</f>
        <v/>
      </c>
      <c r="Q1726" s="5">
        <f>SUMPRODUCT(Exposures!$B$8:$K$8,B1726:K1726)</f>
        <v/>
      </c>
      <c r="R1726" s="5">
        <f>SUMPRODUCT(Exposures!$B$9:$K$9,B1726:K1726)</f>
        <v/>
      </c>
      <c r="S1726" s="5">
        <f>SUMPRODUCT(Exposures!$B$10:$K$10,B1726:K1726)</f>
        <v/>
      </c>
    </row>
    <row r="1727">
      <c r="A1727" s="1" t="n">
        <v>44964</v>
      </c>
      <c r="B1727" s="5" t="n">
        <v>0.009569937923517157</v>
      </c>
      <c r="C1727" s="5" t="n">
        <v>0.002037194774439853</v>
      </c>
      <c r="D1727" s="5" t="n">
        <v>-0.001088189527672253</v>
      </c>
      <c r="E1727" s="5" t="n">
        <v>-0.003032872032054755</v>
      </c>
      <c r="F1727" s="5" t="n">
        <v>0.003637583838135052</v>
      </c>
      <c r="G1727" s="5" t="n">
        <v>0.006717178739373449</v>
      </c>
      <c r="H1727" s="5" t="n">
        <v>0.002185341166272371</v>
      </c>
      <c r="I1727" s="5" t="n">
        <v>6.868550039031509e-05</v>
      </c>
      <c r="J1727" s="5" t="n">
        <v>-0.002999767532284137</v>
      </c>
      <c r="K1727" s="5" t="n">
        <v>0.0007027652681439941</v>
      </c>
      <c r="L1727" s="5" t="n">
        <v>0.00135349873236593</v>
      </c>
      <c r="M1727" s="5">
        <f>SUMPRODUCT(Exposures!$B$6:$K$6,B1727:K1727)</f>
        <v/>
      </c>
      <c r="N1727" s="5">
        <f>IF(AND($A1727&gt;=DATE(2020,2,1),$A1727&lt;=DATE(2020,5,31)),$M1727,"")</f>
        <v/>
      </c>
      <c r="O1727" s="5">
        <f>IF(AND($A1727&gt;=DATE(2022,1,1),$A1727&lt;=DATE(2022,10,31)),$M1727,"")</f>
        <v/>
      </c>
      <c r="P1727" s="5">
        <f>IF(AND($A1727&gt;=DATE(2018,10,1),$A1727&lt;=DATE(2018,12,31)),$M1727,"")</f>
        <v/>
      </c>
      <c r="Q1727" s="5">
        <f>SUMPRODUCT(Exposures!$B$8:$K$8,B1727:K1727)</f>
        <v/>
      </c>
      <c r="R1727" s="5">
        <f>SUMPRODUCT(Exposures!$B$9:$K$9,B1727:K1727)</f>
        <v/>
      </c>
      <c r="S1727" s="5">
        <f>SUMPRODUCT(Exposures!$B$10:$K$10,B1727:K1727)</f>
        <v/>
      </c>
    </row>
    <row r="1728">
      <c r="A1728" s="1" t="n">
        <v>44965</v>
      </c>
      <c r="B1728" s="5" t="n">
        <v>-0.007835542894652723</v>
      </c>
      <c r="C1728" s="5" t="n">
        <v>-0.002724415906862883</v>
      </c>
      <c r="D1728" s="5" t="n">
        <v>0.0002836752923609626</v>
      </c>
      <c r="E1728" s="5" t="n">
        <v>0.001866604886268911</v>
      </c>
      <c r="F1728" s="5" t="n">
        <v>-0.001043969130333478</v>
      </c>
      <c r="G1728" s="5" t="n">
        <v>-0.009938339538927549</v>
      </c>
      <c r="H1728" s="5" t="n">
        <v>0.0007449716269523191</v>
      </c>
      <c r="I1728" s="5" t="n">
        <v>-0.001261513093888075</v>
      </c>
      <c r="J1728" s="5" t="n">
        <v>0.001859585815161784</v>
      </c>
      <c r="K1728" s="5" t="n">
        <v>-0.00165420910777453</v>
      </c>
      <c r="L1728" s="5" t="n">
        <v>0.001568020358530878</v>
      </c>
      <c r="M1728" s="5">
        <f>SUMPRODUCT(Exposures!$B$6:$K$6,B1728:K1728)</f>
        <v/>
      </c>
      <c r="N1728" s="5">
        <f>IF(AND($A1728&gt;=DATE(2020,2,1),$A1728&lt;=DATE(2020,5,31)),$M1728,"")</f>
        <v/>
      </c>
      <c r="O1728" s="5">
        <f>IF(AND($A1728&gt;=DATE(2022,1,1),$A1728&lt;=DATE(2022,10,31)),$M1728,"")</f>
        <v/>
      </c>
      <c r="P1728" s="5">
        <f>IF(AND($A1728&gt;=DATE(2018,10,1),$A1728&lt;=DATE(2018,12,31)),$M1728,"")</f>
        <v/>
      </c>
      <c r="Q1728" s="5">
        <f>SUMPRODUCT(Exposures!$B$8:$K$8,B1728:K1728)</f>
        <v/>
      </c>
      <c r="R1728" s="5">
        <f>SUMPRODUCT(Exposures!$B$9:$K$9,B1728:K1728)</f>
        <v/>
      </c>
      <c r="S1728" s="5">
        <f>SUMPRODUCT(Exposures!$B$10:$K$10,B1728:K1728)</f>
        <v/>
      </c>
    </row>
    <row r="1729">
      <c r="A1729" s="1" t="n">
        <v>44966</v>
      </c>
      <c r="B1729" s="5" t="n">
        <v>-0.00426689850078242</v>
      </c>
      <c r="C1729" s="5" t="n">
        <v>0.005697865052558276</v>
      </c>
      <c r="D1729" s="5" t="n">
        <v>0.002301006440817579</v>
      </c>
      <c r="E1729" s="5" t="n">
        <v>0.002191600006544631</v>
      </c>
      <c r="F1729" s="5" t="n">
        <v>-0.00444959957371127</v>
      </c>
      <c r="G1729" s="5" t="n">
        <v>-0.01417705186567742</v>
      </c>
      <c r="H1729" s="5" t="n">
        <v>0.005843978208027103</v>
      </c>
      <c r="I1729" s="5" t="n">
        <v>-0.002140978986049438</v>
      </c>
      <c r="J1729" s="5" t="n">
        <v>0.005127418816887013</v>
      </c>
      <c r="K1729" s="5" t="n">
        <v>0.008661893590597403</v>
      </c>
      <c r="L1729" s="5" t="n">
        <v>-0.001143309910553944</v>
      </c>
      <c r="M1729" s="5">
        <f>SUMPRODUCT(Exposures!$B$6:$K$6,B1729:K1729)</f>
        <v/>
      </c>
      <c r="N1729" s="5">
        <f>IF(AND($A1729&gt;=DATE(2020,2,1),$A1729&lt;=DATE(2020,5,31)),$M1729,"")</f>
        <v/>
      </c>
      <c r="O1729" s="5">
        <f>IF(AND($A1729&gt;=DATE(2022,1,1),$A1729&lt;=DATE(2022,10,31)),$M1729,"")</f>
        <v/>
      </c>
      <c r="P1729" s="5">
        <f>IF(AND($A1729&gt;=DATE(2018,10,1),$A1729&lt;=DATE(2018,12,31)),$M1729,"")</f>
        <v/>
      </c>
      <c r="Q1729" s="5">
        <f>SUMPRODUCT(Exposures!$B$8:$K$8,B1729:K1729)</f>
        <v/>
      </c>
      <c r="R1729" s="5">
        <f>SUMPRODUCT(Exposures!$B$9:$K$9,B1729:K1729)</f>
        <v/>
      </c>
      <c r="S1729" s="5">
        <f>SUMPRODUCT(Exposures!$B$10:$K$10,B1729:K1729)</f>
        <v/>
      </c>
    </row>
    <row r="1730">
      <c r="A1730" s="1" t="n">
        <v>44967</v>
      </c>
      <c r="B1730" s="5" t="n">
        <v>-0.005139860583503167</v>
      </c>
      <c r="C1730" s="5" t="n">
        <v>-0.001357983973874149</v>
      </c>
      <c r="D1730" s="5" t="n">
        <v>0.003508534803582891</v>
      </c>
      <c r="E1730" s="5" t="n">
        <v>0.001449119553268747</v>
      </c>
      <c r="F1730" s="5" t="n">
        <v>-0.0002311242886620848</v>
      </c>
      <c r="G1730" s="5" t="n">
        <v>0.001842172329577951</v>
      </c>
      <c r="H1730" s="5" t="n">
        <v>0.002645764961392598</v>
      </c>
      <c r="I1730" s="5" t="n">
        <v>0.002282218499338097</v>
      </c>
      <c r="J1730" s="5" t="n">
        <v>-0.004887925515011531</v>
      </c>
      <c r="K1730" s="5" t="n">
        <v>-0.00456440986247221</v>
      </c>
      <c r="L1730" s="5" t="n">
        <v>-0.003219082074056349</v>
      </c>
      <c r="M1730" s="5">
        <f>SUMPRODUCT(Exposures!$B$6:$K$6,B1730:K1730)</f>
        <v/>
      </c>
      <c r="N1730" s="5">
        <f>IF(AND($A1730&gt;=DATE(2020,2,1),$A1730&lt;=DATE(2020,5,31)),$M1730,"")</f>
        <v/>
      </c>
      <c r="O1730" s="5">
        <f>IF(AND($A1730&gt;=DATE(2022,1,1),$A1730&lt;=DATE(2022,10,31)),$M1730,"")</f>
        <v/>
      </c>
      <c r="P1730" s="5">
        <f>IF(AND($A1730&gt;=DATE(2018,10,1),$A1730&lt;=DATE(2018,12,31)),$M1730,"")</f>
        <v/>
      </c>
      <c r="Q1730" s="5">
        <f>SUMPRODUCT(Exposures!$B$8:$K$8,B1730:K1730)</f>
        <v/>
      </c>
      <c r="R1730" s="5">
        <f>SUMPRODUCT(Exposures!$B$9:$K$9,B1730:K1730)</f>
        <v/>
      </c>
      <c r="S1730" s="5">
        <f>SUMPRODUCT(Exposures!$B$10:$K$10,B1730:K1730)</f>
        <v/>
      </c>
    </row>
    <row r="1731">
      <c r="A1731" s="1" t="n">
        <v>44970</v>
      </c>
      <c r="B1731" s="5" t="n">
        <v>0.005154039164677529</v>
      </c>
      <c r="C1731" s="5" t="n">
        <v>0.001090526327839138</v>
      </c>
      <c r="D1731" s="5" t="n">
        <v>-0.0003429894192011628</v>
      </c>
      <c r="E1731" s="5" t="n">
        <v>0.002273948950704164</v>
      </c>
      <c r="F1731" s="5" t="n">
        <v>0.001807625612100267</v>
      </c>
      <c r="G1731" s="5" t="n">
        <v>0.009928638624083904</v>
      </c>
      <c r="H1731" s="5" t="n">
        <v>0.0006596842019863998</v>
      </c>
      <c r="I1731" s="5" t="n">
        <v>-0.0008360193279718914</v>
      </c>
      <c r="J1731" s="5" t="n">
        <v>-0.001908892493375317</v>
      </c>
      <c r="K1731" s="5" t="n">
        <v>-0.002107120077324756</v>
      </c>
      <c r="L1731" s="5" t="n">
        <v>0.0001621729948100246</v>
      </c>
      <c r="M1731" s="5">
        <f>SUMPRODUCT(Exposures!$B$6:$K$6,B1731:K1731)</f>
        <v/>
      </c>
      <c r="N1731" s="5">
        <f>IF(AND($A1731&gt;=DATE(2020,2,1),$A1731&lt;=DATE(2020,5,31)),$M1731,"")</f>
        <v/>
      </c>
      <c r="O1731" s="5">
        <f>IF(AND($A1731&gt;=DATE(2022,1,1),$A1731&lt;=DATE(2022,10,31)),$M1731,"")</f>
        <v/>
      </c>
      <c r="P1731" s="5">
        <f>IF(AND($A1731&gt;=DATE(2018,10,1),$A1731&lt;=DATE(2018,12,31)),$M1731,"")</f>
        <v/>
      </c>
      <c r="Q1731" s="5">
        <f>SUMPRODUCT(Exposures!$B$8:$K$8,B1731:K1731)</f>
        <v/>
      </c>
      <c r="R1731" s="5">
        <f>SUMPRODUCT(Exposures!$B$9:$K$9,B1731:K1731)</f>
        <v/>
      </c>
      <c r="S1731" s="5">
        <f>SUMPRODUCT(Exposures!$B$10:$K$10,B1731:K1731)</f>
        <v/>
      </c>
    </row>
    <row r="1732">
      <c r="A1732" s="1" t="n">
        <v>44971</v>
      </c>
      <c r="B1732" s="5" t="n">
        <v>0.006646731129299054</v>
      </c>
      <c r="C1732" s="5" t="n">
        <v>0.000942638097338522</v>
      </c>
      <c r="D1732" s="5" t="n">
        <v>0.0008131966759914613</v>
      </c>
      <c r="E1732" s="5" t="n">
        <v>-0.002581791490021128</v>
      </c>
      <c r="F1732" s="5" t="n">
        <v>0.009294110713316175</v>
      </c>
      <c r="G1732" s="5" t="n">
        <v>-0.0003813359029422735</v>
      </c>
      <c r="H1732" s="5" t="n">
        <v>0.001410127377943003</v>
      </c>
      <c r="I1732" s="5" t="n">
        <v>0.00116754020974275</v>
      </c>
      <c r="J1732" s="5" t="n">
        <v>0.0002079801473006265</v>
      </c>
      <c r="K1732" s="5" t="n">
        <v>-0.008918052187174841</v>
      </c>
      <c r="L1732" s="5" t="n">
        <v>-0.002093249250870044</v>
      </c>
      <c r="M1732" s="5">
        <f>SUMPRODUCT(Exposures!$B$6:$K$6,B1732:K1732)</f>
        <v/>
      </c>
      <c r="N1732" s="5">
        <f>IF(AND($A1732&gt;=DATE(2020,2,1),$A1732&lt;=DATE(2020,5,31)),$M1732,"")</f>
        <v/>
      </c>
      <c r="O1732" s="5">
        <f>IF(AND($A1732&gt;=DATE(2022,1,1),$A1732&lt;=DATE(2022,10,31)),$M1732,"")</f>
        <v/>
      </c>
      <c r="P1732" s="5">
        <f>IF(AND($A1732&gt;=DATE(2018,10,1),$A1732&lt;=DATE(2018,12,31)),$M1732,"")</f>
        <v/>
      </c>
      <c r="Q1732" s="5">
        <f>SUMPRODUCT(Exposures!$B$8:$K$8,B1732:K1732)</f>
        <v/>
      </c>
      <c r="R1732" s="5">
        <f>SUMPRODUCT(Exposures!$B$9:$K$9,B1732:K1732)</f>
        <v/>
      </c>
      <c r="S1732" s="5">
        <f>SUMPRODUCT(Exposures!$B$10:$K$10,B1732:K1732)</f>
        <v/>
      </c>
    </row>
    <row r="1733">
      <c r="A1733" s="1" t="n">
        <v>44972</v>
      </c>
      <c r="B1733" s="5" t="n">
        <v>0.007190433673951831</v>
      </c>
      <c r="C1733" s="5" t="n">
        <v>-0.001340601050696757</v>
      </c>
      <c r="D1733" s="5" t="n">
        <v>0.001857817138522433</v>
      </c>
      <c r="E1733" s="5" t="n">
        <v>-0.0009620164966953426</v>
      </c>
      <c r="F1733" s="5" t="n">
        <v>-0.004059413492256882</v>
      </c>
      <c r="G1733" s="5" t="n">
        <v>0.0092601659872931</v>
      </c>
      <c r="H1733" s="5" t="n">
        <v>-0.001340343417807752</v>
      </c>
      <c r="I1733" s="5" t="n">
        <v>0.002395505450804808</v>
      </c>
      <c r="J1733" s="5" t="n">
        <v>-0.0009708849800581353</v>
      </c>
      <c r="K1733" s="5" t="n">
        <v>-0.0005209514557507596</v>
      </c>
      <c r="L1733" s="5" t="n">
        <v>-0.0001856157717858625</v>
      </c>
      <c r="M1733" s="5">
        <f>SUMPRODUCT(Exposures!$B$6:$K$6,B1733:K1733)</f>
        <v/>
      </c>
      <c r="N1733" s="5">
        <f>IF(AND($A1733&gt;=DATE(2020,2,1),$A1733&lt;=DATE(2020,5,31)),$M1733,"")</f>
        <v/>
      </c>
      <c r="O1733" s="5">
        <f>IF(AND($A1733&gt;=DATE(2022,1,1),$A1733&lt;=DATE(2022,10,31)),$M1733,"")</f>
        <v/>
      </c>
      <c r="P1733" s="5">
        <f>IF(AND($A1733&gt;=DATE(2018,10,1),$A1733&lt;=DATE(2018,12,31)),$M1733,"")</f>
        <v/>
      </c>
      <c r="Q1733" s="5">
        <f>SUMPRODUCT(Exposures!$B$8:$K$8,B1733:K1733)</f>
        <v/>
      </c>
      <c r="R1733" s="5">
        <f>SUMPRODUCT(Exposures!$B$9:$K$9,B1733:K1733)</f>
        <v/>
      </c>
      <c r="S1733" s="5">
        <f>SUMPRODUCT(Exposures!$B$10:$K$10,B1733:K1733)</f>
        <v/>
      </c>
    </row>
    <row r="1734">
      <c r="A1734" s="1" t="n">
        <v>44973</v>
      </c>
      <c r="B1734" s="5" t="n">
        <v>-0.006058458861439513</v>
      </c>
      <c r="C1734" s="5" t="n">
        <v>0.002782100271121045</v>
      </c>
      <c r="D1734" s="5" t="n">
        <v>0.0001440995047058768</v>
      </c>
      <c r="E1734" s="5" t="n">
        <v>-0.0005975170336064519</v>
      </c>
      <c r="F1734" s="5" t="n">
        <v>-0.008250950070076124</v>
      </c>
      <c r="G1734" s="5" t="n">
        <v>-0.01024013832849329</v>
      </c>
      <c r="H1734" s="5" t="n">
        <v>0.002262813401980129</v>
      </c>
      <c r="I1734" s="5" t="n">
        <v>-0.001004756327080439</v>
      </c>
      <c r="J1734" s="5" t="n">
        <v>0.0004466361540586834</v>
      </c>
      <c r="K1734" s="5" t="n">
        <v>0.006709740316901233</v>
      </c>
      <c r="L1734" s="5" t="n">
        <v>0.000720972758025384</v>
      </c>
      <c r="M1734" s="5">
        <f>SUMPRODUCT(Exposures!$B$6:$K$6,B1734:K1734)</f>
        <v/>
      </c>
      <c r="N1734" s="5">
        <f>IF(AND($A1734&gt;=DATE(2020,2,1),$A1734&lt;=DATE(2020,5,31)),$M1734,"")</f>
        <v/>
      </c>
      <c r="O1734" s="5">
        <f>IF(AND($A1734&gt;=DATE(2022,1,1),$A1734&lt;=DATE(2022,10,31)),$M1734,"")</f>
        <v/>
      </c>
      <c r="P1734" s="5">
        <f>IF(AND($A1734&gt;=DATE(2018,10,1),$A1734&lt;=DATE(2018,12,31)),$M1734,"")</f>
        <v/>
      </c>
      <c r="Q1734" s="5">
        <f>SUMPRODUCT(Exposures!$B$8:$K$8,B1734:K1734)</f>
        <v/>
      </c>
      <c r="R1734" s="5">
        <f>SUMPRODUCT(Exposures!$B$9:$K$9,B1734:K1734)</f>
        <v/>
      </c>
      <c r="S1734" s="5">
        <f>SUMPRODUCT(Exposures!$B$10:$K$10,B1734:K1734)</f>
        <v/>
      </c>
    </row>
    <row r="1735">
      <c r="A1735" s="1" t="n">
        <v>44974</v>
      </c>
      <c r="B1735" s="5" t="n">
        <v>-0.007205270911251681</v>
      </c>
      <c r="C1735" s="5" t="n">
        <v>-0.003386885029045938</v>
      </c>
      <c r="D1735" s="5" t="n">
        <v>0.00265636612888604</v>
      </c>
      <c r="E1735" s="5" t="n">
        <v>0.00106482752220323</v>
      </c>
      <c r="F1735" s="5" t="n">
        <v>-0.00243308839261661</v>
      </c>
      <c r="G1735" s="5" t="n">
        <v>-5.286597174243933e-05</v>
      </c>
      <c r="H1735" s="5" t="n">
        <v>-0.003184480745683989</v>
      </c>
      <c r="I1735" s="5" t="n">
        <v>2.010938272464801e-05</v>
      </c>
      <c r="J1735" s="5" t="n">
        <v>-0.004572694282142401</v>
      </c>
      <c r="K1735" s="5" t="n">
        <v>-0.003394224647344711</v>
      </c>
      <c r="L1735" s="5" t="n">
        <v>-0.001804546225190754</v>
      </c>
      <c r="M1735" s="5">
        <f>SUMPRODUCT(Exposures!$B$6:$K$6,B1735:K1735)</f>
        <v/>
      </c>
      <c r="N1735" s="5">
        <f>IF(AND($A1735&gt;=DATE(2020,2,1),$A1735&lt;=DATE(2020,5,31)),$M1735,"")</f>
        <v/>
      </c>
      <c r="O1735" s="5">
        <f>IF(AND($A1735&gt;=DATE(2022,1,1),$A1735&lt;=DATE(2022,10,31)),$M1735,"")</f>
        <v/>
      </c>
      <c r="P1735" s="5">
        <f>IF(AND($A1735&gt;=DATE(2018,10,1),$A1735&lt;=DATE(2018,12,31)),$M1735,"")</f>
        <v/>
      </c>
      <c r="Q1735" s="5">
        <f>SUMPRODUCT(Exposures!$B$8:$K$8,B1735:K1735)</f>
        <v/>
      </c>
      <c r="R1735" s="5">
        <f>SUMPRODUCT(Exposures!$B$9:$K$9,B1735:K1735)</f>
        <v/>
      </c>
      <c r="S1735" s="5">
        <f>SUMPRODUCT(Exposures!$B$10:$K$10,B1735:K1735)</f>
        <v/>
      </c>
    </row>
    <row r="1736">
      <c r="A1736" s="1" t="n">
        <v>44978</v>
      </c>
      <c r="B1736" s="5" t="n">
        <v>-0.008057299434738135</v>
      </c>
      <c r="C1736" s="5" t="n">
        <v>-0.004716403168838241</v>
      </c>
      <c r="D1736" s="5" t="n">
        <v>-0.001825749054715991</v>
      </c>
      <c r="E1736" s="5" t="n">
        <v>0.002160816865858343</v>
      </c>
      <c r="F1736" s="5" t="n">
        <v>0.01065666127872805</v>
      </c>
      <c r="G1736" s="5" t="n">
        <v>-0.02820193822451711</v>
      </c>
      <c r="H1736" s="5" t="n">
        <v>0.0001132867150800937</v>
      </c>
      <c r="I1736" s="5" t="n">
        <v>-0.0006268630331205084</v>
      </c>
      <c r="J1736" s="5" t="n">
        <v>-0.008514866412283609</v>
      </c>
      <c r="K1736" s="5" t="n">
        <v>-0.009500561306559659</v>
      </c>
      <c r="L1736" s="5" t="n">
        <v>-0.000902007123783215</v>
      </c>
      <c r="M1736" s="5">
        <f>SUMPRODUCT(Exposures!$B$6:$K$6,B1736:K1736)</f>
        <v/>
      </c>
      <c r="N1736" s="5">
        <f>IF(AND($A1736&gt;=DATE(2020,2,1),$A1736&lt;=DATE(2020,5,31)),$M1736,"")</f>
        <v/>
      </c>
      <c r="O1736" s="5">
        <f>IF(AND($A1736&gt;=DATE(2022,1,1),$A1736&lt;=DATE(2022,10,31)),$M1736,"")</f>
        <v/>
      </c>
      <c r="P1736" s="5">
        <f>IF(AND($A1736&gt;=DATE(2018,10,1),$A1736&lt;=DATE(2018,12,31)),$M1736,"")</f>
        <v/>
      </c>
      <c r="Q1736" s="5">
        <f>SUMPRODUCT(Exposures!$B$8:$K$8,B1736:K1736)</f>
        <v/>
      </c>
      <c r="R1736" s="5">
        <f>SUMPRODUCT(Exposures!$B$9:$K$9,B1736:K1736)</f>
        <v/>
      </c>
      <c r="S1736" s="5">
        <f>SUMPRODUCT(Exposures!$B$10:$K$10,B1736:K1736)</f>
        <v/>
      </c>
    </row>
    <row r="1737">
      <c r="A1737" s="1" t="n">
        <v>44979</v>
      </c>
      <c r="B1737" s="5" t="n">
        <v>0.001743998681188495</v>
      </c>
      <c r="C1737" s="5" t="n">
        <v>0.0001815497232111399</v>
      </c>
      <c r="D1737" s="5" t="n">
        <v>0.001426935092121867</v>
      </c>
      <c r="E1737" s="5" t="n">
        <v>-0.001159661345156692</v>
      </c>
      <c r="F1737" s="5" t="n">
        <v>0.0008132708157256017</v>
      </c>
      <c r="G1737" s="5" t="n">
        <v>0.005050435072722365</v>
      </c>
      <c r="H1737" s="5" t="n">
        <v>-0.001547686166216091</v>
      </c>
      <c r="I1737" s="5" t="n">
        <v>0.002123176215139709</v>
      </c>
      <c r="J1737" s="5" t="n">
        <v>0.005501499255184271</v>
      </c>
      <c r="K1737" s="5" t="n">
        <v>-0.003606918220903869</v>
      </c>
      <c r="L1737" s="5" t="n">
        <v>0.0002604223398016945</v>
      </c>
      <c r="M1737" s="5">
        <f>SUMPRODUCT(Exposures!$B$6:$K$6,B1737:K1737)</f>
        <v/>
      </c>
      <c r="N1737" s="5">
        <f>IF(AND($A1737&gt;=DATE(2020,2,1),$A1737&lt;=DATE(2020,5,31)),$M1737,"")</f>
        <v/>
      </c>
      <c r="O1737" s="5">
        <f>IF(AND($A1737&gt;=DATE(2022,1,1),$A1737&lt;=DATE(2022,10,31)),$M1737,"")</f>
        <v/>
      </c>
      <c r="P1737" s="5">
        <f>IF(AND($A1737&gt;=DATE(2018,10,1),$A1737&lt;=DATE(2018,12,31)),$M1737,"")</f>
        <v/>
      </c>
      <c r="Q1737" s="5">
        <f>SUMPRODUCT(Exposures!$B$8:$K$8,B1737:K1737)</f>
        <v/>
      </c>
      <c r="R1737" s="5">
        <f>SUMPRODUCT(Exposures!$B$9:$K$9,B1737:K1737)</f>
        <v/>
      </c>
      <c r="S1737" s="5">
        <f>SUMPRODUCT(Exposures!$B$10:$K$10,B1737:K1737)</f>
        <v/>
      </c>
    </row>
    <row r="1738">
      <c r="A1738" s="1" t="n">
        <v>44980</v>
      </c>
      <c r="B1738" s="5" t="n">
        <v>0.002634999305537972</v>
      </c>
      <c r="C1738" s="5" t="n">
        <v>-0.002828297587834682</v>
      </c>
      <c r="D1738" s="5" t="n">
        <v>0.002548324047749289</v>
      </c>
      <c r="E1738" s="5" t="n">
        <v>-0.001379567844349835</v>
      </c>
      <c r="F1738" s="5" t="n">
        <v>0.00679497171627542</v>
      </c>
      <c r="G1738" s="5" t="n">
        <v>0.002179278045442144</v>
      </c>
      <c r="H1738" s="5" t="n">
        <v>0.001766266816431382</v>
      </c>
      <c r="I1738" s="5" t="n">
        <v>0.001274784162649113</v>
      </c>
      <c r="J1738" s="5" t="n">
        <v>-0.003852171560009741</v>
      </c>
      <c r="K1738" s="5" t="n">
        <v>-0.007314779766524053</v>
      </c>
      <c r="L1738" s="5" t="n">
        <v>0.0001374287134078861</v>
      </c>
      <c r="M1738" s="5">
        <f>SUMPRODUCT(Exposures!$B$6:$K$6,B1738:K1738)</f>
        <v/>
      </c>
      <c r="N1738" s="5">
        <f>IF(AND($A1738&gt;=DATE(2020,2,1),$A1738&lt;=DATE(2020,5,31)),$M1738,"")</f>
        <v/>
      </c>
      <c r="O1738" s="5">
        <f>IF(AND($A1738&gt;=DATE(2022,1,1),$A1738&lt;=DATE(2022,10,31)),$M1738,"")</f>
        <v/>
      </c>
      <c r="P1738" s="5">
        <f>IF(AND($A1738&gt;=DATE(2018,10,1),$A1738&lt;=DATE(2018,12,31)),$M1738,"")</f>
        <v/>
      </c>
      <c r="Q1738" s="5">
        <f>SUMPRODUCT(Exposures!$B$8:$K$8,B1738:K1738)</f>
        <v/>
      </c>
      <c r="R1738" s="5">
        <f>SUMPRODUCT(Exposures!$B$9:$K$9,B1738:K1738)</f>
        <v/>
      </c>
      <c r="S1738" s="5">
        <f>SUMPRODUCT(Exposures!$B$10:$K$10,B1738:K1738)</f>
        <v/>
      </c>
    </row>
    <row r="1739">
      <c r="A1739" s="1" t="n">
        <v>44981</v>
      </c>
      <c r="B1739" s="5" t="n">
        <v>-0.003621846702490884</v>
      </c>
      <c r="C1739" s="5" t="n">
        <v>0.003347299798348734</v>
      </c>
      <c r="D1739" s="5" t="n">
        <v>-0.0003770137995547539</v>
      </c>
      <c r="E1739" s="5" t="n">
        <v>0.001361245254218821</v>
      </c>
      <c r="F1739" s="5" t="n">
        <v>0.004089885707726108</v>
      </c>
      <c r="G1739" s="5" t="n">
        <v>-0.0153086362338344</v>
      </c>
      <c r="H1739" s="5" t="n">
        <v>0.003351971052577412</v>
      </c>
      <c r="I1739" s="5" t="n">
        <v>-0.001848972457606332</v>
      </c>
      <c r="J1739" s="5" t="n">
        <v>-0.007319287472451265</v>
      </c>
      <c r="K1739" s="5" t="n">
        <v>-0.006042972326519966</v>
      </c>
      <c r="L1739" s="5" t="n">
        <v>0.002298846878258744</v>
      </c>
      <c r="M1739" s="5">
        <f>SUMPRODUCT(Exposures!$B$6:$K$6,B1739:K1739)</f>
        <v/>
      </c>
      <c r="N1739" s="5">
        <f>IF(AND($A1739&gt;=DATE(2020,2,1),$A1739&lt;=DATE(2020,5,31)),$M1739,"")</f>
        <v/>
      </c>
      <c r="O1739" s="5">
        <f>IF(AND($A1739&gt;=DATE(2022,1,1),$A1739&lt;=DATE(2022,10,31)),$M1739,"")</f>
        <v/>
      </c>
      <c r="P1739" s="5">
        <f>IF(AND($A1739&gt;=DATE(2018,10,1),$A1739&lt;=DATE(2018,12,31)),$M1739,"")</f>
        <v/>
      </c>
      <c r="Q1739" s="5">
        <f>SUMPRODUCT(Exposures!$B$8:$K$8,B1739:K1739)</f>
        <v/>
      </c>
      <c r="R1739" s="5">
        <f>SUMPRODUCT(Exposures!$B$9:$K$9,B1739:K1739)</f>
        <v/>
      </c>
      <c r="S1739" s="5">
        <f>SUMPRODUCT(Exposures!$B$10:$K$10,B1739:K1739)</f>
        <v/>
      </c>
    </row>
    <row r="1740">
      <c r="A1740" s="1" t="n">
        <v>44984</v>
      </c>
      <c r="B1740" s="5" t="n">
        <v>0.004100132684404786</v>
      </c>
      <c r="C1740" s="5" t="n">
        <v>-0.000817450522033001</v>
      </c>
      <c r="D1740" s="5" t="n">
        <v>-0.004745175619214698</v>
      </c>
      <c r="E1740" s="5" t="n">
        <v>0.001355849283782439</v>
      </c>
      <c r="F1740" s="5" t="n">
        <v>-0.003118656078778592</v>
      </c>
      <c r="G1740" s="5" t="n">
        <v>0.0009635457412258516</v>
      </c>
      <c r="H1740" s="5" t="n">
        <v>0.001775420411783372</v>
      </c>
      <c r="I1740" s="5" t="n">
        <v>-0.0003906646980768414</v>
      </c>
      <c r="J1740" s="5" t="n">
        <v>-0.00124891029133711</v>
      </c>
      <c r="K1740" s="5" t="n">
        <v>0.004693849633981581</v>
      </c>
      <c r="L1740" s="5" t="n">
        <v>-0.0002032397345313347</v>
      </c>
      <c r="M1740" s="5">
        <f>SUMPRODUCT(Exposures!$B$6:$K$6,B1740:K1740)</f>
        <v/>
      </c>
      <c r="N1740" s="5">
        <f>IF(AND($A1740&gt;=DATE(2020,2,1),$A1740&lt;=DATE(2020,5,31)),$M1740,"")</f>
        <v/>
      </c>
      <c r="O1740" s="5">
        <f>IF(AND($A1740&gt;=DATE(2022,1,1),$A1740&lt;=DATE(2022,10,31)),$M1740,"")</f>
        <v/>
      </c>
      <c r="P1740" s="5">
        <f>IF(AND($A1740&gt;=DATE(2018,10,1),$A1740&lt;=DATE(2018,12,31)),$M1740,"")</f>
        <v/>
      </c>
      <c r="Q1740" s="5">
        <f>SUMPRODUCT(Exposures!$B$8:$K$8,B1740:K1740)</f>
        <v/>
      </c>
      <c r="R1740" s="5">
        <f>SUMPRODUCT(Exposures!$B$9:$K$9,B1740:K1740)</f>
        <v/>
      </c>
      <c r="S1740" s="5">
        <f>SUMPRODUCT(Exposures!$B$10:$K$10,B1740:K1740)</f>
        <v/>
      </c>
    </row>
    <row r="1741">
      <c r="A1741" s="1" t="n">
        <v>44985</v>
      </c>
      <c r="B1741" s="5" t="n">
        <v>0.004215943111614638</v>
      </c>
      <c r="C1741" s="5" t="n">
        <v>0.001022588162107839</v>
      </c>
      <c r="D1741" s="5" t="n">
        <v>-0.001624744935498192</v>
      </c>
      <c r="E1741" s="5" t="n">
        <v>0.001116630903679156</v>
      </c>
      <c r="F1741" s="5" t="n">
        <v>0.001440810692738507</v>
      </c>
      <c r="G1741" s="5" t="n">
        <v>0.0004733429612381756</v>
      </c>
      <c r="H1741" s="5" t="n">
        <v>-0.004128555783555437</v>
      </c>
      <c r="I1741" s="5" t="n">
        <v>0.002054771440579515</v>
      </c>
      <c r="J1741" s="5" t="n">
        <v>6.515768545353588e-05</v>
      </c>
      <c r="K1741" s="5" t="n">
        <v>-0.004545622159122939</v>
      </c>
      <c r="L1741" s="5" t="n">
        <v>-0.002150898620253227</v>
      </c>
      <c r="M1741" s="5">
        <f>SUMPRODUCT(Exposures!$B$6:$K$6,B1741:K1741)</f>
        <v/>
      </c>
      <c r="N1741" s="5">
        <f>IF(AND($A1741&gt;=DATE(2020,2,1),$A1741&lt;=DATE(2020,5,31)),$M1741,"")</f>
        <v/>
      </c>
      <c r="O1741" s="5">
        <f>IF(AND($A1741&gt;=DATE(2022,1,1),$A1741&lt;=DATE(2022,10,31)),$M1741,"")</f>
        <v/>
      </c>
      <c r="P1741" s="5">
        <f>IF(AND($A1741&gt;=DATE(2018,10,1),$A1741&lt;=DATE(2018,12,31)),$M1741,"")</f>
        <v/>
      </c>
      <c r="Q1741" s="5">
        <f>SUMPRODUCT(Exposures!$B$8:$K$8,B1741:K1741)</f>
        <v/>
      </c>
      <c r="R1741" s="5">
        <f>SUMPRODUCT(Exposures!$B$9:$K$9,B1741:K1741)</f>
        <v/>
      </c>
      <c r="S1741" s="5">
        <f>SUMPRODUCT(Exposures!$B$10:$K$10,B1741:K1741)</f>
        <v/>
      </c>
    </row>
    <row r="1742">
      <c r="A1742" s="1" t="n">
        <v>44986</v>
      </c>
      <c r="B1742" s="5" t="n">
        <v>-0.0003723060354246126</v>
      </c>
      <c r="C1742" s="5" t="n">
        <v>0.00296946301292623</v>
      </c>
      <c r="D1742" s="5" t="n">
        <v>0.002413101501413265</v>
      </c>
      <c r="E1742" s="5" t="n">
        <v>-0.001702482092339811</v>
      </c>
      <c r="F1742" s="5" t="n">
        <v>-0.001203140046036052</v>
      </c>
      <c r="G1742" s="5" t="n">
        <v>-0.001675178550669399</v>
      </c>
      <c r="H1742" s="5" t="n">
        <v>0.002558485403184773</v>
      </c>
      <c r="I1742" s="5" t="n">
        <v>-0.0005675494846416887</v>
      </c>
      <c r="J1742" s="5" t="n">
        <v>0.003553878828465892</v>
      </c>
      <c r="K1742" s="5" t="n">
        <v>0.003142395515123483</v>
      </c>
      <c r="L1742" s="5" t="n">
        <v>-0.0005958966397134149</v>
      </c>
      <c r="M1742" s="5">
        <f>SUMPRODUCT(Exposures!$B$6:$K$6,B1742:K1742)</f>
        <v/>
      </c>
      <c r="N1742" s="5">
        <f>IF(AND($A1742&gt;=DATE(2020,2,1),$A1742&lt;=DATE(2020,5,31)),$M1742,"")</f>
        <v/>
      </c>
      <c r="O1742" s="5">
        <f>IF(AND($A1742&gt;=DATE(2022,1,1),$A1742&lt;=DATE(2022,10,31)),$M1742,"")</f>
        <v/>
      </c>
      <c r="P1742" s="5">
        <f>IF(AND($A1742&gt;=DATE(2018,10,1),$A1742&lt;=DATE(2018,12,31)),$M1742,"")</f>
        <v/>
      </c>
      <c r="Q1742" s="5">
        <f>SUMPRODUCT(Exposures!$B$8:$K$8,B1742:K1742)</f>
        <v/>
      </c>
      <c r="R1742" s="5">
        <f>SUMPRODUCT(Exposures!$B$9:$K$9,B1742:K1742)</f>
        <v/>
      </c>
      <c r="S1742" s="5">
        <f>SUMPRODUCT(Exposures!$B$10:$K$10,B1742:K1742)</f>
        <v/>
      </c>
    </row>
    <row r="1743">
      <c r="A1743" s="1" t="n">
        <v>44987</v>
      </c>
      <c r="B1743" s="5" t="n">
        <v>0.001123682065329158</v>
      </c>
      <c r="C1743" s="5" t="n">
        <v>0.0001303501983343811</v>
      </c>
      <c r="D1743" s="5" t="n">
        <v>-0.002381519895533608</v>
      </c>
      <c r="E1743" s="5" t="n">
        <v>-0.003057515884973821</v>
      </c>
      <c r="F1743" s="5" t="n">
        <v>0.002555653837785042</v>
      </c>
      <c r="G1743" s="5" t="n">
        <v>0.004901165669631276</v>
      </c>
      <c r="H1743" s="5" t="n">
        <v>-0.00418300123425276</v>
      </c>
      <c r="I1743" s="5" t="n">
        <v>-0.0008630197796090852</v>
      </c>
      <c r="J1743" s="5" t="n">
        <v>-0.002706858288905386</v>
      </c>
      <c r="K1743" s="5" t="n">
        <v>-0.002095581006960882</v>
      </c>
      <c r="L1743" s="5" t="n">
        <v>-0.002686548421255588</v>
      </c>
      <c r="M1743" s="5">
        <f>SUMPRODUCT(Exposures!$B$6:$K$6,B1743:K1743)</f>
        <v/>
      </c>
      <c r="N1743" s="5">
        <f>IF(AND($A1743&gt;=DATE(2020,2,1),$A1743&lt;=DATE(2020,5,31)),$M1743,"")</f>
        <v/>
      </c>
      <c r="O1743" s="5">
        <f>IF(AND($A1743&gt;=DATE(2022,1,1),$A1743&lt;=DATE(2022,10,31)),$M1743,"")</f>
        <v/>
      </c>
      <c r="P1743" s="5">
        <f>IF(AND($A1743&gt;=DATE(2018,10,1),$A1743&lt;=DATE(2018,12,31)),$M1743,"")</f>
        <v/>
      </c>
      <c r="Q1743" s="5">
        <f>SUMPRODUCT(Exposures!$B$8:$K$8,B1743:K1743)</f>
        <v/>
      </c>
      <c r="R1743" s="5">
        <f>SUMPRODUCT(Exposures!$B$9:$K$9,B1743:K1743)</f>
        <v/>
      </c>
      <c r="S1743" s="5">
        <f>SUMPRODUCT(Exposures!$B$10:$K$10,B1743:K1743)</f>
        <v/>
      </c>
    </row>
    <row r="1744">
      <c r="A1744" s="1" t="n">
        <v>44988</v>
      </c>
      <c r="B1744" s="5" t="n">
        <v>0.006579945839270191</v>
      </c>
      <c r="C1744" s="5" t="n">
        <v>-0.00088717998962376</v>
      </c>
      <c r="D1744" s="5" t="n">
        <v>0.00118430008216557</v>
      </c>
      <c r="E1744" s="5" t="n">
        <v>0.002125130142607346</v>
      </c>
      <c r="F1744" s="5" t="n">
        <v>0.004897808341382591</v>
      </c>
      <c r="G1744" s="5" t="n">
        <v>0.01357283471655737</v>
      </c>
      <c r="H1744" s="5" t="n">
        <v>0.001320567521558974</v>
      </c>
      <c r="I1744" s="5" t="n">
        <v>-0.001316411352292548</v>
      </c>
      <c r="J1744" s="5" t="n">
        <v>0.0001296213482622</v>
      </c>
      <c r="K1744" s="5" t="n">
        <v>-0.002205431379920635</v>
      </c>
      <c r="L1744" s="5" t="n">
        <v>-0.0006117863595103843</v>
      </c>
      <c r="M1744" s="5">
        <f>SUMPRODUCT(Exposures!$B$6:$K$6,B1744:K1744)</f>
        <v/>
      </c>
      <c r="N1744" s="5">
        <f>IF(AND($A1744&gt;=DATE(2020,2,1),$A1744&lt;=DATE(2020,5,31)),$M1744,"")</f>
        <v/>
      </c>
      <c r="O1744" s="5">
        <f>IF(AND($A1744&gt;=DATE(2022,1,1),$A1744&lt;=DATE(2022,10,31)),$M1744,"")</f>
        <v/>
      </c>
      <c r="P1744" s="5">
        <f>IF(AND($A1744&gt;=DATE(2018,10,1),$A1744&lt;=DATE(2018,12,31)),$M1744,"")</f>
        <v/>
      </c>
      <c r="Q1744" s="5">
        <f>SUMPRODUCT(Exposures!$B$8:$K$8,B1744:K1744)</f>
        <v/>
      </c>
      <c r="R1744" s="5">
        <f>SUMPRODUCT(Exposures!$B$9:$K$9,B1744:K1744)</f>
        <v/>
      </c>
      <c r="S1744" s="5">
        <f>SUMPRODUCT(Exposures!$B$10:$K$10,B1744:K1744)</f>
        <v/>
      </c>
    </row>
    <row r="1745">
      <c r="A1745" s="1" t="n">
        <v>44991</v>
      </c>
      <c r="B1745" s="5" t="n">
        <v>-0.001945899450971958</v>
      </c>
      <c r="C1745" s="5" t="n">
        <v>-0.001439536286213136</v>
      </c>
      <c r="D1745" s="5" t="n">
        <v>0.0003743818584972349</v>
      </c>
      <c r="E1745" s="5" t="n">
        <v>-0.0003330196281238181</v>
      </c>
      <c r="F1745" s="5" t="n">
        <v>0.0001271816894439274</v>
      </c>
      <c r="G1745" s="5" t="n">
        <v>-0.008584736246255706</v>
      </c>
      <c r="H1745" s="5" t="n">
        <v>-0.0003211703640941175</v>
      </c>
      <c r="I1745" s="5" t="n">
        <v>-0.0003167931149219023</v>
      </c>
      <c r="J1745" s="5" t="n">
        <v>-0.003163487610948372</v>
      </c>
      <c r="K1745" s="5" t="n">
        <v>0.004745084817488282</v>
      </c>
      <c r="L1745" s="5" t="n">
        <v>0.0006772958990956029</v>
      </c>
      <c r="M1745" s="5">
        <f>SUMPRODUCT(Exposures!$B$6:$K$6,B1745:K1745)</f>
        <v/>
      </c>
      <c r="N1745" s="5">
        <f>IF(AND($A1745&gt;=DATE(2020,2,1),$A1745&lt;=DATE(2020,5,31)),$M1745,"")</f>
        <v/>
      </c>
      <c r="O1745" s="5">
        <f>IF(AND($A1745&gt;=DATE(2022,1,1),$A1745&lt;=DATE(2022,10,31)),$M1745,"")</f>
        <v/>
      </c>
      <c r="P1745" s="5">
        <f>IF(AND($A1745&gt;=DATE(2018,10,1),$A1745&lt;=DATE(2018,12,31)),$M1745,"")</f>
        <v/>
      </c>
      <c r="Q1745" s="5">
        <f>SUMPRODUCT(Exposures!$B$8:$K$8,B1745:K1745)</f>
        <v/>
      </c>
      <c r="R1745" s="5">
        <f>SUMPRODUCT(Exposures!$B$9:$K$9,B1745:K1745)</f>
        <v/>
      </c>
      <c r="S1745" s="5">
        <f>SUMPRODUCT(Exposures!$B$10:$K$10,B1745:K1745)</f>
        <v/>
      </c>
    </row>
    <row r="1746">
      <c r="A1746" s="1" t="n">
        <v>44992</v>
      </c>
      <c r="B1746" s="5" t="n">
        <v>0.0001967995746989252</v>
      </c>
      <c r="C1746" s="5" t="n">
        <v>0.001118707980456424</v>
      </c>
      <c r="D1746" s="5" t="n">
        <v>0.00426897696976102</v>
      </c>
      <c r="E1746" s="5" t="n">
        <v>-0.001379615371133741</v>
      </c>
      <c r="F1746" s="5" t="n">
        <v>0.002123004140394606</v>
      </c>
      <c r="G1746" s="5" t="n">
        <v>-0.01469052440145397</v>
      </c>
      <c r="H1746" s="5" t="n">
        <v>0.00182921912100048</v>
      </c>
      <c r="I1746" s="5" t="n">
        <v>0.0003863621390929026</v>
      </c>
      <c r="J1746" s="5" t="n">
        <v>0.001050833074424403</v>
      </c>
      <c r="K1746" s="5" t="n">
        <v>-0.003181968950854744</v>
      </c>
      <c r="L1746" s="5" t="n">
        <v>-0.00416326305620359</v>
      </c>
      <c r="M1746" s="5">
        <f>SUMPRODUCT(Exposures!$B$6:$K$6,B1746:K1746)</f>
        <v/>
      </c>
      <c r="N1746" s="5">
        <f>IF(AND($A1746&gt;=DATE(2020,2,1),$A1746&lt;=DATE(2020,5,31)),$M1746,"")</f>
        <v/>
      </c>
      <c r="O1746" s="5">
        <f>IF(AND($A1746&gt;=DATE(2022,1,1),$A1746&lt;=DATE(2022,10,31)),$M1746,"")</f>
        <v/>
      </c>
      <c r="P1746" s="5">
        <f>IF(AND($A1746&gt;=DATE(2018,10,1),$A1746&lt;=DATE(2018,12,31)),$M1746,"")</f>
        <v/>
      </c>
      <c r="Q1746" s="5">
        <f>SUMPRODUCT(Exposures!$B$8:$K$8,B1746:K1746)</f>
        <v/>
      </c>
      <c r="R1746" s="5">
        <f>SUMPRODUCT(Exposures!$B$9:$K$9,B1746:K1746)</f>
        <v/>
      </c>
      <c r="S1746" s="5">
        <f>SUMPRODUCT(Exposures!$B$10:$K$10,B1746:K1746)</f>
        <v/>
      </c>
    </row>
    <row r="1747">
      <c r="A1747" s="1" t="n">
        <v>44993</v>
      </c>
      <c r="B1747" s="5" t="n">
        <v>0.002957587612671543</v>
      </c>
      <c r="C1747" s="5" t="n">
        <v>-0.001384560830254566</v>
      </c>
      <c r="D1747" s="5" t="n">
        <v>-0.0003947045063783257</v>
      </c>
      <c r="E1747" s="5" t="n">
        <v>-0.002051248703485766</v>
      </c>
      <c r="F1747" s="5" t="n">
        <v>0.004532424132841321</v>
      </c>
      <c r="G1747" s="5" t="n">
        <v>0.0006529415930903591</v>
      </c>
      <c r="H1747" s="5" t="n">
        <v>-0.00270635510678229</v>
      </c>
      <c r="I1747" s="5" t="n">
        <v>-0.001239047319405263</v>
      </c>
      <c r="J1747" s="5" t="n">
        <v>-0.00491584557797679</v>
      </c>
      <c r="K1747" s="5" t="n">
        <v>-0.005624170768346599</v>
      </c>
      <c r="L1747" s="5" t="n">
        <v>-0.001558605466649031</v>
      </c>
      <c r="M1747" s="5">
        <f>SUMPRODUCT(Exposures!$B$6:$K$6,B1747:K1747)</f>
        <v/>
      </c>
      <c r="N1747" s="5">
        <f>IF(AND($A1747&gt;=DATE(2020,2,1),$A1747&lt;=DATE(2020,5,31)),$M1747,"")</f>
        <v/>
      </c>
      <c r="O1747" s="5">
        <f>IF(AND($A1747&gt;=DATE(2022,1,1),$A1747&lt;=DATE(2022,10,31)),$M1747,"")</f>
        <v/>
      </c>
      <c r="P1747" s="5">
        <f>IF(AND($A1747&gt;=DATE(2018,10,1),$A1747&lt;=DATE(2018,12,31)),$M1747,"")</f>
        <v/>
      </c>
      <c r="Q1747" s="5">
        <f>SUMPRODUCT(Exposures!$B$8:$K$8,B1747:K1747)</f>
        <v/>
      </c>
      <c r="R1747" s="5">
        <f>SUMPRODUCT(Exposures!$B$9:$K$9,B1747:K1747)</f>
        <v/>
      </c>
      <c r="S1747" s="5">
        <f>SUMPRODUCT(Exposures!$B$10:$K$10,B1747:K1747)</f>
        <v/>
      </c>
    </row>
    <row r="1748">
      <c r="A1748" s="1" t="n">
        <v>44994</v>
      </c>
      <c r="B1748" s="5" t="n">
        <v>-0.009113455158798358</v>
      </c>
      <c r="C1748" s="5" t="n">
        <v>0.0002769027854242284</v>
      </c>
      <c r="D1748" s="5" t="n">
        <v>0.002790092310336972</v>
      </c>
      <c r="E1748" s="5" t="n">
        <v>-0.003569955116256554</v>
      </c>
      <c r="F1748" s="5" t="n">
        <v>0.00484268569075778</v>
      </c>
      <c r="G1748" s="5" t="n">
        <v>-0.0276207993506266</v>
      </c>
      <c r="H1748" s="5" t="n">
        <v>-0.0004460592048452764</v>
      </c>
      <c r="I1748" s="5" t="n">
        <v>-0.000574202678229066</v>
      </c>
      <c r="J1748" s="5" t="n">
        <v>-0.00396091517666656</v>
      </c>
      <c r="K1748" s="5" t="n">
        <v>-0.003360054506190721</v>
      </c>
      <c r="L1748" s="5" t="n">
        <v>-0.005277495521267696</v>
      </c>
      <c r="M1748" s="5">
        <f>SUMPRODUCT(Exposures!$B$6:$K$6,B1748:K1748)</f>
        <v/>
      </c>
      <c r="N1748" s="5">
        <f>IF(AND($A1748&gt;=DATE(2020,2,1),$A1748&lt;=DATE(2020,5,31)),$M1748,"")</f>
        <v/>
      </c>
      <c r="O1748" s="5">
        <f>IF(AND($A1748&gt;=DATE(2022,1,1),$A1748&lt;=DATE(2022,10,31)),$M1748,"")</f>
        <v/>
      </c>
      <c r="P1748" s="5">
        <f>IF(AND($A1748&gt;=DATE(2018,10,1),$A1748&lt;=DATE(2018,12,31)),$M1748,"")</f>
        <v/>
      </c>
      <c r="Q1748" s="5">
        <f>SUMPRODUCT(Exposures!$B$8:$K$8,B1748:K1748)</f>
        <v/>
      </c>
      <c r="R1748" s="5">
        <f>SUMPRODUCT(Exposures!$B$9:$K$9,B1748:K1748)</f>
        <v/>
      </c>
      <c r="S1748" s="5">
        <f>SUMPRODUCT(Exposures!$B$10:$K$10,B1748:K1748)</f>
        <v/>
      </c>
    </row>
    <row r="1749">
      <c r="A1749" s="1" t="n">
        <v>44995</v>
      </c>
      <c r="B1749" s="5" t="n">
        <v>-0.01229210247877352</v>
      </c>
      <c r="C1749" s="5" t="n">
        <v>-9.442115109940417e-05</v>
      </c>
      <c r="D1749" s="5" t="n">
        <v>-0.001754911847370685</v>
      </c>
      <c r="E1749" s="5" t="n">
        <v>-0.0009765434614025532</v>
      </c>
      <c r="F1749" s="5" t="n">
        <v>0.006420725247216531</v>
      </c>
      <c r="G1749" s="5" t="n">
        <v>-0.02967594153869239</v>
      </c>
      <c r="H1749" s="5" t="n">
        <v>0.002844130265480405</v>
      </c>
      <c r="I1749" s="5" t="n">
        <v>0.001116252532423218</v>
      </c>
      <c r="J1749" s="5" t="n">
        <v>0.000293816266587984</v>
      </c>
      <c r="K1749" s="5" t="n">
        <v>0.00349451740038729</v>
      </c>
      <c r="L1749" s="5" t="n">
        <v>0.0003574354209697887</v>
      </c>
      <c r="M1749" s="5">
        <f>SUMPRODUCT(Exposures!$B$6:$K$6,B1749:K1749)</f>
        <v/>
      </c>
      <c r="N1749" s="5">
        <f>IF(AND($A1749&gt;=DATE(2020,2,1),$A1749&lt;=DATE(2020,5,31)),$M1749,"")</f>
        <v/>
      </c>
      <c r="O1749" s="5">
        <f>IF(AND($A1749&gt;=DATE(2022,1,1),$A1749&lt;=DATE(2022,10,31)),$M1749,"")</f>
        <v/>
      </c>
      <c r="P1749" s="5">
        <f>IF(AND($A1749&gt;=DATE(2018,10,1),$A1749&lt;=DATE(2018,12,31)),$M1749,"")</f>
        <v/>
      </c>
      <c r="Q1749" s="5">
        <f>SUMPRODUCT(Exposures!$B$8:$K$8,B1749:K1749)</f>
        <v/>
      </c>
      <c r="R1749" s="5">
        <f>SUMPRODUCT(Exposures!$B$9:$K$9,B1749:K1749)</f>
        <v/>
      </c>
      <c r="S1749" s="5">
        <f>SUMPRODUCT(Exposures!$B$10:$K$10,B1749:K1749)</f>
        <v/>
      </c>
    </row>
    <row r="1750">
      <c r="A1750" s="1" t="n">
        <v>44998</v>
      </c>
      <c r="B1750" s="5" t="n">
        <v>-0.006112085810763197</v>
      </c>
      <c r="C1750" s="5" t="n">
        <v>-0.007132252199845367</v>
      </c>
      <c r="D1750" s="5" t="n">
        <v>0.0006077503896632509</v>
      </c>
      <c r="E1750" s="5" t="n">
        <v>-0.006591346556869009</v>
      </c>
      <c r="F1750" s="5" t="n">
        <v>0.004715965939188556</v>
      </c>
      <c r="G1750" s="5" t="n">
        <v>-0.01201540886038907</v>
      </c>
      <c r="H1750" s="5" t="n">
        <v>-0.004840462869675784</v>
      </c>
      <c r="I1750" s="5" t="n">
        <v>0.0005413510457553984</v>
      </c>
      <c r="J1750" s="5" t="n">
        <v>0.0006448323093882764</v>
      </c>
      <c r="K1750" s="5" t="n">
        <v>0.0002752932877017828</v>
      </c>
      <c r="L1750" s="5" t="n">
        <v>-0.0087962853305549</v>
      </c>
      <c r="M1750" s="5">
        <f>SUMPRODUCT(Exposures!$B$6:$K$6,B1750:K1750)</f>
        <v/>
      </c>
      <c r="N1750" s="5">
        <f>IF(AND($A1750&gt;=DATE(2020,2,1),$A1750&lt;=DATE(2020,5,31)),$M1750,"")</f>
        <v/>
      </c>
      <c r="O1750" s="5">
        <f>IF(AND($A1750&gt;=DATE(2022,1,1),$A1750&lt;=DATE(2022,10,31)),$M1750,"")</f>
        <v/>
      </c>
      <c r="P1750" s="5">
        <f>IF(AND($A1750&gt;=DATE(2018,10,1),$A1750&lt;=DATE(2018,12,31)),$M1750,"")</f>
        <v/>
      </c>
      <c r="Q1750" s="5">
        <f>SUMPRODUCT(Exposures!$B$8:$K$8,B1750:K1750)</f>
        <v/>
      </c>
      <c r="R1750" s="5">
        <f>SUMPRODUCT(Exposures!$B$9:$K$9,B1750:K1750)</f>
        <v/>
      </c>
      <c r="S1750" s="5">
        <f>SUMPRODUCT(Exposures!$B$10:$K$10,B1750:K1750)</f>
        <v/>
      </c>
    </row>
    <row r="1751">
      <c r="A1751" s="1" t="n">
        <v>44999</v>
      </c>
      <c r="B1751" s="5" t="n">
        <v>0.009601777890388409</v>
      </c>
      <c r="C1751" s="5" t="n">
        <v>0.001187892724045907</v>
      </c>
      <c r="D1751" s="5" t="n">
        <v>0.003610583885303653</v>
      </c>
      <c r="E1751" s="5" t="n">
        <v>0.00112046319294676</v>
      </c>
      <c r="F1751" s="5" t="n">
        <v>-0.002497607312942172</v>
      </c>
      <c r="G1751" s="5" t="n">
        <v>0.01320257219471747</v>
      </c>
      <c r="H1751" s="5" t="n">
        <v>0.003249917446700488</v>
      </c>
      <c r="I1751" s="5" t="n">
        <v>0.001266383894480309</v>
      </c>
      <c r="J1751" s="5" t="n">
        <v>-0.004245607241872942</v>
      </c>
      <c r="K1751" s="5" t="n">
        <v>0.003042840903984209</v>
      </c>
      <c r="L1751" s="5" t="n">
        <v>0.001783660348659233</v>
      </c>
      <c r="M1751" s="5">
        <f>SUMPRODUCT(Exposures!$B$6:$K$6,B1751:K1751)</f>
        <v/>
      </c>
      <c r="N1751" s="5">
        <f>IF(AND($A1751&gt;=DATE(2020,2,1),$A1751&lt;=DATE(2020,5,31)),$M1751,"")</f>
        <v/>
      </c>
      <c r="O1751" s="5">
        <f>IF(AND($A1751&gt;=DATE(2022,1,1),$A1751&lt;=DATE(2022,10,31)),$M1751,"")</f>
        <v/>
      </c>
      <c r="P1751" s="5">
        <f>IF(AND($A1751&gt;=DATE(2018,10,1),$A1751&lt;=DATE(2018,12,31)),$M1751,"")</f>
        <v/>
      </c>
      <c r="Q1751" s="5">
        <f>SUMPRODUCT(Exposures!$B$8:$K$8,B1751:K1751)</f>
        <v/>
      </c>
      <c r="R1751" s="5">
        <f>SUMPRODUCT(Exposures!$B$9:$K$9,B1751:K1751)</f>
        <v/>
      </c>
      <c r="S1751" s="5">
        <f>SUMPRODUCT(Exposures!$B$10:$K$10,B1751:K1751)</f>
        <v/>
      </c>
    </row>
    <row r="1752">
      <c r="A1752" s="1" t="n">
        <v>45000</v>
      </c>
      <c r="B1752" s="5" t="n">
        <v>-0.00325335587034816</v>
      </c>
      <c r="C1752" s="5" t="n">
        <v>-6.773366296045644e-06</v>
      </c>
      <c r="D1752" s="5" t="n">
        <v>-0.002837442461619586</v>
      </c>
      <c r="E1752" s="5" t="n">
        <v>-0.002506614026132192</v>
      </c>
      <c r="F1752" s="5" t="n">
        <v>-0.001596849886675291</v>
      </c>
      <c r="G1752" s="5" t="n">
        <v>-0.01501975121513824</v>
      </c>
      <c r="H1752" s="5" t="n">
        <v>-0.008375462394094592</v>
      </c>
      <c r="I1752" s="5" t="n">
        <v>0.00173106911629358</v>
      </c>
      <c r="J1752" s="5" t="n">
        <v>-0.003707566373280967</v>
      </c>
      <c r="K1752" s="5" t="n">
        <v>0.004303767358202721</v>
      </c>
      <c r="L1752" s="5" t="n">
        <v>-0.004691044722139898</v>
      </c>
      <c r="M1752" s="5">
        <f>SUMPRODUCT(Exposures!$B$6:$K$6,B1752:K1752)</f>
        <v/>
      </c>
      <c r="N1752" s="5">
        <f>IF(AND($A1752&gt;=DATE(2020,2,1),$A1752&lt;=DATE(2020,5,31)),$M1752,"")</f>
        <v/>
      </c>
      <c r="O1752" s="5">
        <f>IF(AND($A1752&gt;=DATE(2022,1,1),$A1752&lt;=DATE(2022,10,31)),$M1752,"")</f>
        <v/>
      </c>
      <c r="P1752" s="5">
        <f>IF(AND($A1752&gt;=DATE(2018,10,1),$A1752&lt;=DATE(2018,12,31)),$M1752,"")</f>
        <v/>
      </c>
      <c r="Q1752" s="5">
        <f>SUMPRODUCT(Exposures!$B$8:$K$8,B1752:K1752)</f>
        <v/>
      </c>
      <c r="R1752" s="5">
        <f>SUMPRODUCT(Exposures!$B$9:$K$9,B1752:K1752)</f>
        <v/>
      </c>
      <c r="S1752" s="5">
        <f>SUMPRODUCT(Exposures!$B$10:$K$10,B1752:K1752)</f>
        <v/>
      </c>
    </row>
    <row r="1753">
      <c r="A1753" s="1" t="n">
        <v>45001</v>
      </c>
      <c r="B1753" s="5" t="n">
        <v>0.00931094125153553</v>
      </c>
      <c r="C1753" s="5" t="n">
        <v>0.001912219682117631</v>
      </c>
      <c r="D1753" s="5" t="n">
        <v>0.002341885117883569</v>
      </c>
      <c r="E1753" s="5" t="n">
        <v>-0.002163698178182588</v>
      </c>
      <c r="F1753" s="5" t="n">
        <v>-0.0009429793980371835</v>
      </c>
      <c r="G1753" s="5" t="n">
        <v>0.01321405639863551</v>
      </c>
      <c r="H1753" s="5" t="n">
        <v>0.001402161922605708</v>
      </c>
      <c r="I1753" s="5" t="n">
        <v>0.003044203543598764</v>
      </c>
      <c r="J1753" s="5" t="n">
        <v>-0.004456479354679597</v>
      </c>
      <c r="K1753" s="5" t="n">
        <v>0.002519420186524104</v>
      </c>
      <c r="L1753" s="5" t="n">
        <v>-0.0002445719159361003</v>
      </c>
      <c r="M1753" s="5">
        <f>SUMPRODUCT(Exposures!$B$6:$K$6,B1753:K1753)</f>
        <v/>
      </c>
      <c r="N1753" s="5">
        <f>IF(AND($A1753&gt;=DATE(2020,2,1),$A1753&lt;=DATE(2020,5,31)),$M1753,"")</f>
        <v/>
      </c>
      <c r="O1753" s="5">
        <f>IF(AND($A1753&gt;=DATE(2022,1,1),$A1753&lt;=DATE(2022,10,31)),$M1753,"")</f>
        <v/>
      </c>
      <c r="P1753" s="5">
        <f>IF(AND($A1753&gt;=DATE(2018,10,1),$A1753&lt;=DATE(2018,12,31)),$M1753,"")</f>
        <v/>
      </c>
      <c r="Q1753" s="5">
        <f>SUMPRODUCT(Exposures!$B$8:$K$8,B1753:K1753)</f>
        <v/>
      </c>
      <c r="R1753" s="5">
        <f>SUMPRODUCT(Exposures!$B$9:$K$9,B1753:K1753)</f>
        <v/>
      </c>
      <c r="S1753" s="5">
        <f>SUMPRODUCT(Exposures!$B$10:$K$10,B1753:K1753)</f>
        <v/>
      </c>
    </row>
    <row r="1754">
      <c r="A1754" s="1" t="n">
        <v>45002</v>
      </c>
      <c r="B1754" s="5" t="n">
        <v>-0.000963113777362753</v>
      </c>
      <c r="C1754" s="5" t="n">
        <v>-0.001811754976810494</v>
      </c>
      <c r="D1754" s="5" t="n">
        <v>0.001373861185410063</v>
      </c>
      <c r="E1754" s="5" t="n">
        <v>-0.005121684899332611</v>
      </c>
      <c r="F1754" s="5" t="n">
        <v>0.003222623764639574</v>
      </c>
      <c r="G1754" s="5" t="n">
        <v>-0.02129939786092225</v>
      </c>
      <c r="H1754" s="5" t="n">
        <v>-0.00196941478711034</v>
      </c>
      <c r="I1754" s="5" t="n">
        <v>0.0009444713502964885</v>
      </c>
      <c r="J1754" s="5" t="n">
        <v>-0.0029306740975415</v>
      </c>
      <c r="K1754" s="5" t="n">
        <v>0.00155584999368863</v>
      </c>
      <c r="L1754" s="5" t="n">
        <v>-0.005129761909559263</v>
      </c>
      <c r="M1754" s="5">
        <f>SUMPRODUCT(Exposures!$B$6:$K$6,B1754:K1754)</f>
        <v/>
      </c>
      <c r="N1754" s="5">
        <f>IF(AND($A1754&gt;=DATE(2020,2,1),$A1754&lt;=DATE(2020,5,31)),$M1754,"")</f>
        <v/>
      </c>
      <c r="O1754" s="5">
        <f>IF(AND($A1754&gt;=DATE(2022,1,1),$A1754&lt;=DATE(2022,10,31)),$M1754,"")</f>
        <v/>
      </c>
      <c r="P1754" s="5">
        <f>IF(AND($A1754&gt;=DATE(2018,10,1),$A1754&lt;=DATE(2018,12,31)),$M1754,"")</f>
        <v/>
      </c>
      <c r="Q1754" s="5">
        <f>SUMPRODUCT(Exposures!$B$8:$K$8,B1754:K1754)</f>
        <v/>
      </c>
      <c r="R1754" s="5">
        <f>SUMPRODUCT(Exposures!$B$9:$K$9,B1754:K1754)</f>
        <v/>
      </c>
      <c r="S1754" s="5">
        <f>SUMPRODUCT(Exposures!$B$10:$K$10,B1754:K1754)</f>
        <v/>
      </c>
    </row>
    <row r="1755">
      <c r="A1755" s="1" t="n">
        <v>45005</v>
      </c>
      <c r="B1755" s="5" t="n">
        <v>-0.00183416021166168</v>
      </c>
      <c r="C1755" s="5" t="n">
        <v>0.0002722425029957827</v>
      </c>
      <c r="D1755" s="5" t="n">
        <v>-0.001761221174209294</v>
      </c>
      <c r="E1755" s="5" t="n">
        <v>0.001534086349686013</v>
      </c>
      <c r="F1755" s="5" t="n">
        <v>0.003998108406398833</v>
      </c>
      <c r="G1755" s="5" t="n">
        <v>0.007380527803201555</v>
      </c>
      <c r="H1755" s="5" t="n">
        <v>0.005325022238188305</v>
      </c>
      <c r="I1755" s="5" t="n">
        <v>-0.002656465339002022</v>
      </c>
      <c r="J1755" s="5" t="n">
        <v>-0.003658899591678692</v>
      </c>
      <c r="K1755" s="5" t="n">
        <v>-0.003208898323919627</v>
      </c>
      <c r="L1755" s="5" t="n">
        <v>0.001039565959962655</v>
      </c>
      <c r="M1755" s="5">
        <f>SUMPRODUCT(Exposures!$B$6:$K$6,B1755:K1755)</f>
        <v/>
      </c>
      <c r="N1755" s="5">
        <f>IF(AND($A1755&gt;=DATE(2020,2,1),$A1755&lt;=DATE(2020,5,31)),$M1755,"")</f>
        <v/>
      </c>
      <c r="O1755" s="5">
        <f>IF(AND($A1755&gt;=DATE(2022,1,1),$A1755&lt;=DATE(2022,10,31)),$M1755,"")</f>
        <v/>
      </c>
      <c r="P1755" s="5">
        <f>IF(AND($A1755&gt;=DATE(2018,10,1),$A1755&lt;=DATE(2018,12,31)),$M1755,"")</f>
        <v/>
      </c>
      <c r="Q1755" s="5">
        <f>SUMPRODUCT(Exposures!$B$8:$K$8,B1755:K1755)</f>
        <v/>
      </c>
      <c r="R1755" s="5">
        <f>SUMPRODUCT(Exposures!$B$9:$K$9,B1755:K1755)</f>
        <v/>
      </c>
      <c r="S1755" s="5">
        <f>SUMPRODUCT(Exposures!$B$10:$K$10,B1755:K1755)</f>
        <v/>
      </c>
    </row>
    <row r="1756">
      <c r="A1756" s="1" t="n">
        <v>45006</v>
      </c>
      <c r="B1756" s="5" t="n">
        <v>0.01100419355404813</v>
      </c>
      <c r="C1756" s="5" t="n">
        <v>0.002918777405525816</v>
      </c>
      <c r="D1756" s="5" t="n">
        <v>0.00282744707992059</v>
      </c>
      <c r="E1756" s="5" t="n">
        <v>0.003386685577606153</v>
      </c>
      <c r="F1756" s="5" t="n">
        <v>-0.005157855313924832</v>
      </c>
      <c r="G1756" s="5" t="n">
        <v>0.02139726462117511</v>
      </c>
      <c r="H1756" s="5" t="n">
        <v>-0.0006885601984877857</v>
      </c>
      <c r="I1756" s="5" t="n">
        <v>0.001801094329187514</v>
      </c>
      <c r="J1756" s="5" t="n">
        <v>0.007363055285333981</v>
      </c>
      <c r="K1756" s="5" t="n">
        <v>0.003068037620998864</v>
      </c>
      <c r="L1756" s="5" t="n">
        <v>0.002114186990437199</v>
      </c>
      <c r="M1756" s="5">
        <f>SUMPRODUCT(Exposures!$B$6:$K$6,B1756:K1756)</f>
        <v/>
      </c>
      <c r="N1756" s="5">
        <f>IF(AND($A1756&gt;=DATE(2020,2,1),$A1756&lt;=DATE(2020,5,31)),$M1756,"")</f>
        <v/>
      </c>
      <c r="O1756" s="5">
        <f>IF(AND($A1756&gt;=DATE(2022,1,1),$A1756&lt;=DATE(2022,10,31)),$M1756,"")</f>
        <v/>
      </c>
      <c r="P1756" s="5">
        <f>IF(AND($A1756&gt;=DATE(2018,10,1),$A1756&lt;=DATE(2018,12,31)),$M1756,"")</f>
        <v/>
      </c>
      <c r="Q1756" s="5">
        <f>SUMPRODUCT(Exposures!$B$8:$K$8,B1756:K1756)</f>
        <v/>
      </c>
      <c r="R1756" s="5">
        <f>SUMPRODUCT(Exposures!$B$9:$K$9,B1756:K1756)</f>
        <v/>
      </c>
      <c r="S1756" s="5">
        <f>SUMPRODUCT(Exposures!$B$10:$K$10,B1756:K1756)</f>
        <v/>
      </c>
    </row>
    <row r="1757">
      <c r="A1757" s="1" t="n">
        <v>45007</v>
      </c>
      <c r="B1757" s="5" t="n">
        <v>-0.00264135481328969</v>
      </c>
      <c r="C1757" s="5" t="n">
        <v>-0.001037995601271116</v>
      </c>
      <c r="D1757" s="5" t="n">
        <v>0.003509825746383776</v>
      </c>
      <c r="E1757" s="5" t="n">
        <v>-0.000835639550642162</v>
      </c>
      <c r="F1757" s="5" t="n">
        <v>0.0004893407970059534</v>
      </c>
      <c r="G1757" s="5" t="n">
        <v>-0.02359320069754337</v>
      </c>
      <c r="H1757" s="5" t="n">
        <v>0.004568079250532774</v>
      </c>
      <c r="I1757" s="5" t="n">
        <v>-0.001147151715716372</v>
      </c>
      <c r="J1757" s="5" t="n">
        <v>0.002560857763225069</v>
      </c>
      <c r="K1757" s="5" t="n">
        <v>0.004707014982902074</v>
      </c>
      <c r="L1757" s="5" t="n">
        <v>-0.0009761049912378684</v>
      </c>
      <c r="M1757" s="5">
        <f>SUMPRODUCT(Exposures!$B$6:$K$6,B1757:K1757)</f>
        <v/>
      </c>
      <c r="N1757" s="5">
        <f>IF(AND($A1757&gt;=DATE(2020,2,1),$A1757&lt;=DATE(2020,5,31)),$M1757,"")</f>
        <v/>
      </c>
      <c r="O1757" s="5">
        <f>IF(AND($A1757&gt;=DATE(2022,1,1),$A1757&lt;=DATE(2022,10,31)),$M1757,"")</f>
        <v/>
      </c>
      <c r="P1757" s="5">
        <f>IF(AND($A1757&gt;=DATE(2018,10,1),$A1757&lt;=DATE(2018,12,31)),$M1757,"")</f>
        <v/>
      </c>
      <c r="Q1757" s="5">
        <f>SUMPRODUCT(Exposures!$B$8:$K$8,B1757:K1757)</f>
        <v/>
      </c>
      <c r="R1757" s="5">
        <f>SUMPRODUCT(Exposures!$B$9:$K$9,B1757:K1757)</f>
        <v/>
      </c>
      <c r="S1757" s="5">
        <f>SUMPRODUCT(Exposures!$B$10:$K$10,B1757:K1757)</f>
        <v/>
      </c>
    </row>
    <row r="1758">
      <c r="A1758" s="1" t="n">
        <v>45008</v>
      </c>
      <c r="B1758" s="5" t="n">
        <v>0.004257903766156351</v>
      </c>
      <c r="C1758" s="5" t="n">
        <v>-0.004088093343118532</v>
      </c>
      <c r="D1758" s="5" t="n">
        <v>0.0006742177185211057</v>
      </c>
      <c r="E1758" s="5" t="n">
        <v>-0.000327724590339597</v>
      </c>
      <c r="F1758" s="5" t="n">
        <v>-0.0007513119277997964</v>
      </c>
      <c r="G1758" s="5" t="n">
        <v>-0.004930589853559294</v>
      </c>
      <c r="H1758" s="5" t="n">
        <v>0.001155771498977752</v>
      </c>
      <c r="I1758" s="5" t="n">
        <v>0.0003285592467244417</v>
      </c>
      <c r="J1758" s="5" t="n">
        <v>0.004171242344401455</v>
      </c>
      <c r="K1758" s="5" t="n">
        <v>0.006231154806098807</v>
      </c>
      <c r="L1758" s="5" t="n">
        <v>-0.0009714496555900667</v>
      </c>
      <c r="M1758" s="5">
        <f>SUMPRODUCT(Exposures!$B$6:$K$6,B1758:K1758)</f>
        <v/>
      </c>
      <c r="N1758" s="5">
        <f>IF(AND($A1758&gt;=DATE(2020,2,1),$A1758&lt;=DATE(2020,5,31)),$M1758,"")</f>
        <v/>
      </c>
      <c r="O1758" s="5">
        <f>IF(AND($A1758&gt;=DATE(2022,1,1),$A1758&lt;=DATE(2022,10,31)),$M1758,"")</f>
        <v/>
      </c>
      <c r="P1758" s="5">
        <f>IF(AND($A1758&gt;=DATE(2018,10,1),$A1758&lt;=DATE(2018,12,31)),$M1758,"")</f>
        <v/>
      </c>
      <c r="Q1758" s="5">
        <f>SUMPRODUCT(Exposures!$B$8:$K$8,B1758:K1758)</f>
        <v/>
      </c>
      <c r="R1758" s="5">
        <f>SUMPRODUCT(Exposures!$B$9:$K$9,B1758:K1758)</f>
        <v/>
      </c>
      <c r="S1758" s="5">
        <f>SUMPRODUCT(Exposures!$B$10:$K$10,B1758:K1758)</f>
        <v/>
      </c>
    </row>
    <row r="1759">
      <c r="A1759" s="1" t="n">
        <v>45009</v>
      </c>
      <c r="B1759" s="5" t="n">
        <v>-0.009282223206675931</v>
      </c>
      <c r="C1759" s="5" t="n">
        <v>-0.002426428682181654</v>
      </c>
      <c r="D1759" s="5" t="n">
        <v>-0.004300632056465258</v>
      </c>
      <c r="E1759" s="5" t="n">
        <v>-0.0007142100052716883</v>
      </c>
      <c r="F1759" s="5" t="n">
        <v>0.0008028375751719056</v>
      </c>
      <c r="G1759" s="5" t="n">
        <v>0.004482158405836343</v>
      </c>
      <c r="H1759" s="5" t="n">
        <v>-0.001905083983661468</v>
      </c>
      <c r="I1759" s="5" t="n">
        <v>-0.002465916929565835</v>
      </c>
      <c r="J1759" s="5" t="n">
        <v>-0.004429070430431701</v>
      </c>
      <c r="K1759" s="5" t="n">
        <v>-0.0004225579712336929</v>
      </c>
      <c r="L1759" s="5" t="n">
        <v>0.001748714254613335</v>
      </c>
      <c r="M1759" s="5">
        <f>SUMPRODUCT(Exposures!$B$6:$K$6,B1759:K1759)</f>
        <v/>
      </c>
      <c r="N1759" s="5">
        <f>IF(AND($A1759&gt;=DATE(2020,2,1),$A1759&lt;=DATE(2020,5,31)),$M1759,"")</f>
        <v/>
      </c>
      <c r="O1759" s="5">
        <f>IF(AND($A1759&gt;=DATE(2022,1,1),$A1759&lt;=DATE(2022,10,31)),$M1759,"")</f>
        <v/>
      </c>
      <c r="P1759" s="5">
        <f>IF(AND($A1759&gt;=DATE(2018,10,1),$A1759&lt;=DATE(2018,12,31)),$M1759,"")</f>
        <v/>
      </c>
      <c r="Q1759" s="5">
        <f>SUMPRODUCT(Exposures!$B$8:$K$8,B1759:K1759)</f>
        <v/>
      </c>
      <c r="R1759" s="5">
        <f>SUMPRODUCT(Exposures!$B$9:$K$9,B1759:K1759)</f>
        <v/>
      </c>
      <c r="S1759" s="5">
        <f>SUMPRODUCT(Exposures!$B$10:$K$10,B1759:K1759)</f>
        <v/>
      </c>
    </row>
    <row r="1760">
      <c r="A1760" s="1" t="n">
        <v>45012</v>
      </c>
      <c r="B1760" s="5" t="n">
        <v>-0.002397405736025038</v>
      </c>
      <c r="C1760" s="5" t="n">
        <v>0.004359604994907364</v>
      </c>
      <c r="D1760" s="5" t="n">
        <v>-0.0008444207075499171</v>
      </c>
      <c r="E1760" s="5" t="n">
        <v>0.004109627175445728</v>
      </c>
      <c r="F1760" s="5" t="n">
        <v>0.005497262008663665</v>
      </c>
      <c r="G1760" s="5" t="n">
        <v>0.00640960541364906</v>
      </c>
      <c r="H1760" s="5" t="n">
        <v>0.002328331770777228</v>
      </c>
      <c r="I1760" s="5" t="n">
        <v>-2.701813673344406e-05</v>
      </c>
      <c r="J1760" s="5" t="n">
        <v>0.002324124177104614</v>
      </c>
      <c r="K1760" s="5" t="n">
        <v>-0.00784906160668877</v>
      </c>
      <c r="L1760" s="5" t="n">
        <v>-0.0006193884137306403</v>
      </c>
      <c r="M1760" s="5">
        <f>SUMPRODUCT(Exposures!$B$6:$K$6,B1760:K1760)</f>
        <v/>
      </c>
      <c r="N1760" s="5">
        <f>IF(AND($A1760&gt;=DATE(2020,2,1),$A1760&lt;=DATE(2020,5,31)),$M1760,"")</f>
        <v/>
      </c>
      <c r="O1760" s="5">
        <f>IF(AND($A1760&gt;=DATE(2022,1,1),$A1760&lt;=DATE(2022,10,31)),$M1760,"")</f>
        <v/>
      </c>
      <c r="P1760" s="5">
        <f>IF(AND($A1760&gt;=DATE(2018,10,1),$A1760&lt;=DATE(2018,12,31)),$M1760,"")</f>
        <v/>
      </c>
      <c r="Q1760" s="5">
        <f>SUMPRODUCT(Exposures!$B$8:$K$8,B1760:K1760)</f>
        <v/>
      </c>
      <c r="R1760" s="5">
        <f>SUMPRODUCT(Exposures!$B$9:$K$9,B1760:K1760)</f>
        <v/>
      </c>
      <c r="S1760" s="5">
        <f>SUMPRODUCT(Exposures!$B$10:$K$10,B1760:K1760)</f>
        <v/>
      </c>
    </row>
    <row r="1761">
      <c r="A1761" s="1" t="n">
        <v>45013</v>
      </c>
      <c r="B1761" s="5" t="n">
        <v>-0.005801566818886715</v>
      </c>
      <c r="C1761" s="5" t="n">
        <v>-0.001596650991933153</v>
      </c>
      <c r="D1761" s="5" t="n">
        <v>0.001896332912208415</v>
      </c>
      <c r="E1761" s="5" t="n">
        <v>-0.0006888211224727568</v>
      </c>
      <c r="F1761" s="5" t="n">
        <v>-0.007604229906782212</v>
      </c>
      <c r="G1761" s="5" t="n">
        <v>0.002053159297223107</v>
      </c>
      <c r="H1761" s="5" t="n">
        <v>0.005084608058386054</v>
      </c>
      <c r="I1761" s="5" t="n">
        <v>-0.006285934379835234</v>
      </c>
      <c r="J1761" s="5" t="n">
        <v>0.01630868630894755</v>
      </c>
      <c r="K1761" s="5" t="n">
        <v>0.0187082837985091</v>
      </c>
      <c r="L1761" s="5" t="n">
        <v>0.007280289382887778</v>
      </c>
      <c r="M1761" s="5">
        <f>SUMPRODUCT(Exposures!$B$6:$K$6,B1761:K1761)</f>
        <v/>
      </c>
      <c r="N1761" s="5">
        <f>IF(AND($A1761&gt;=DATE(2020,2,1),$A1761&lt;=DATE(2020,5,31)),$M1761,"")</f>
        <v/>
      </c>
      <c r="O1761" s="5">
        <f>IF(AND($A1761&gt;=DATE(2022,1,1),$A1761&lt;=DATE(2022,10,31)),$M1761,"")</f>
        <v/>
      </c>
      <c r="P1761" s="5">
        <f>IF(AND($A1761&gt;=DATE(2018,10,1),$A1761&lt;=DATE(2018,12,31)),$M1761,"")</f>
        <v/>
      </c>
      <c r="Q1761" s="5">
        <f>SUMPRODUCT(Exposures!$B$8:$K$8,B1761:K1761)</f>
        <v/>
      </c>
      <c r="R1761" s="5">
        <f>SUMPRODUCT(Exposures!$B$9:$K$9,B1761:K1761)</f>
        <v/>
      </c>
      <c r="S1761" s="5">
        <f>SUMPRODUCT(Exposures!$B$10:$K$10,B1761:K1761)</f>
        <v/>
      </c>
    </row>
    <row r="1762">
      <c r="A1762" s="1" t="n">
        <v>45014</v>
      </c>
      <c r="B1762" s="5" t="n">
        <v>0.00542347358981287</v>
      </c>
      <c r="C1762" s="5" t="n">
        <v>0.0005494132726348632</v>
      </c>
      <c r="D1762" s="5" t="n">
        <v>-0.003300592775712288</v>
      </c>
      <c r="E1762" s="5" t="n">
        <v>0.0004944179329965722</v>
      </c>
      <c r="F1762" s="5" t="n">
        <v>-0.001805799308176047</v>
      </c>
      <c r="G1762" s="5" t="n">
        <v>0.0153499917459846</v>
      </c>
      <c r="H1762" s="5" t="n">
        <v>-0.003518821515619345</v>
      </c>
      <c r="I1762" s="5" t="n">
        <v>0.0004323982045335184</v>
      </c>
      <c r="J1762" s="5" t="n">
        <v>0.0002751115304061112</v>
      </c>
      <c r="K1762" s="5" t="n">
        <v>0.0005535146072518102</v>
      </c>
      <c r="L1762" s="5" t="n">
        <v>0.0005755408074789347</v>
      </c>
      <c r="M1762" s="5">
        <f>SUMPRODUCT(Exposures!$B$6:$K$6,B1762:K1762)</f>
        <v/>
      </c>
      <c r="N1762" s="5">
        <f>IF(AND($A1762&gt;=DATE(2020,2,1),$A1762&lt;=DATE(2020,5,31)),$M1762,"")</f>
        <v/>
      </c>
      <c r="O1762" s="5">
        <f>IF(AND($A1762&gt;=DATE(2022,1,1),$A1762&lt;=DATE(2022,10,31)),$M1762,"")</f>
        <v/>
      </c>
      <c r="P1762" s="5">
        <f>IF(AND($A1762&gt;=DATE(2018,10,1),$A1762&lt;=DATE(2018,12,31)),$M1762,"")</f>
        <v/>
      </c>
      <c r="Q1762" s="5">
        <f>SUMPRODUCT(Exposures!$B$8:$K$8,B1762:K1762)</f>
        <v/>
      </c>
      <c r="R1762" s="5">
        <f>SUMPRODUCT(Exposures!$B$9:$K$9,B1762:K1762)</f>
        <v/>
      </c>
      <c r="S1762" s="5">
        <f>SUMPRODUCT(Exposures!$B$10:$K$10,B1762:K1762)</f>
        <v/>
      </c>
    </row>
    <row r="1763">
      <c r="A1763" s="1" t="n">
        <v>45015</v>
      </c>
      <c r="B1763" s="5" t="n">
        <v>0.002534712356387768</v>
      </c>
      <c r="C1763" s="5" t="n">
        <v>-0.001849237312735747</v>
      </c>
      <c r="D1763" s="5" t="n">
        <v>0.003080316000967111</v>
      </c>
      <c r="E1763" s="5" t="n">
        <v>-0.001713791621079948</v>
      </c>
      <c r="F1763" s="5" t="n">
        <v>0.003012938365473115</v>
      </c>
      <c r="G1763" s="5" t="n">
        <v>0.004791764836674827</v>
      </c>
      <c r="H1763" s="5" t="n">
        <v>0.00174761569500702</v>
      </c>
      <c r="I1763" s="5" t="n">
        <v>-0.001809193374288767</v>
      </c>
      <c r="J1763" s="5" t="n">
        <v>0.002340545409859768</v>
      </c>
      <c r="K1763" s="5" t="n">
        <v>0.0011186408825084</v>
      </c>
      <c r="L1763" s="5" t="n">
        <v>0.002303572264893373</v>
      </c>
      <c r="M1763" s="5">
        <f>SUMPRODUCT(Exposures!$B$6:$K$6,B1763:K1763)</f>
        <v/>
      </c>
      <c r="N1763" s="5">
        <f>IF(AND($A1763&gt;=DATE(2020,2,1),$A1763&lt;=DATE(2020,5,31)),$M1763,"")</f>
        <v/>
      </c>
      <c r="O1763" s="5">
        <f>IF(AND($A1763&gt;=DATE(2022,1,1),$A1763&lt;=DATE(2022,10,31)),$M1763,"")</f>
        <v/>
      </c>
      <c r="P1763" s="5">
        <f>IF(AND($A1763&gt;=DATE(2018,10,1),$A1763&lt;=DATE(2018,12,31)),$M1763,"")</f>
        <v/>
      </c>
      <c r="Q1763" s="5">
        <f>SUMPRODUCT(Exposures!$B$8:$K$8,B1763:K1763)</f>
        <v/>
      </c>
      <c r="R1763" s="5">
        <f>SUMPRODUCT(Exposures!$B$9:$K$9,B1763:K1763)</f>
        <v/>
      </c>
      <c r="S1763" s="5">
        <f>SUMPRODUCT(Exposures!$B$10:$K$10,B1763:K1763)</f>
        <v/>
      </c>
    </row>
    <row r="1764">
      <c r="A1764" s="1" t="n">
        <v>45016</v>
      </c>
      <c r="B1764" s="5" t="n">
        <v>0.006821850039259275</v>
      </c>
      <c r="C1764" s="5" t="n">
        <v>-0.0008665500322712257</v>
      </c>
      <c r="D1764" s="5" t="n">
        <v>0.0009528350327804952</v>
      </c>
      <c r="E1764" s="5" t="n">
        <v>0.0007103785879047897</v>
      </c>
      <c r="F1764" s="5" t="n">
        <v>0.0004000866143282914</v>
      </c>
      <c r="G1764" s="5" t="n">
        <v>0.01909570921818825</v>
      </c>
      <c r="H1764" s="5" t="n">
        <v>-0.0009808708363201414</v>
      </c>
      <c r="I1764" s="5" t="n">
        <v>0.0005031454905422336</v>
      </c>
      <c r="J1764" s="5" t="n">
        <v>-0.0009544487187797945</v>
      </c>
      <c r="K1764" s="5" t="n">
        <v>-0.00547471538654994</v>
      </c>
      <c r="L1764" s="5" t="n">
        <v>-0.003525091951412597</v>
      </c>
      <c r="M1764" s="5">
        <f>SUMPRODUCT(Exposures!$B$6:$K$6,B1764:K1764)</f>
        <v/>
      </c>
      <c r="N1764" s="5">
        <f>IF(AND($A1764&gt;=DATE(2020,2,1),$A1764&lt;=DATE(2020,5,31)),$M1764,"")</f>
        <v/>
      </c>
      <c r="O1764" s="5">
        <f>IF(AND($A1764&gt;=DATE(2022,1,1),$A1764&lt;=DATE(2022,10,31)),$M1764,"")</f>
        <v/>
      </c>
      <c r="P1764" s="5">
        <f>IF(AND($A1764&gt;=DATE(2018,10,1),$A1764&lt;=DATE(2018,12,31)),$M1764,"")</f>
        <v/>
      </c>
      <c r="Q1764" s="5">
        <f>SUMPRODUCT(Exposures!$B$8:$K$8,B1764:K1764)</f>
        <v/>
      </c>
      <c r="R1764" s="5">
        <f>SUMPRODUCT(Exposures!$B$9:$K$9,B1764:K1764)</f>
        <v/>
      </c>
      <c r="S1764" s="5">
        <f>SUMPRODUCT(Exposures!$B$10:$K$10,B1764:K1764)</f>
        <v/>
      </c>
    </row>
    <row r="1765">
      <c r="A1765" s="1" t="n">
        <v>45019</v>
      </c>
      <c r="B1765" s="5" t="n">
        <v>-0.006073414919220398</v>
      </c>
      <c r="C1765" s="5" t="n">
        <v>-0.0002139007565274178</v>
      </c>
      <c r="D1765" s="5" t="n">
        <v>0.001357963860720836</v>
      </c>
      <c r="E1765" s="5" t="n">
        <v>-0.001480631080327966</v>
      </c>
      <c r="F1765" s="5" t="n">
        <v>0.01144010853211623</v>
      </c>
      <c r="G1765" s="5" t="n">
        <v>-0.003440315925018195</v>
      </c>
      <c r="H1765" s="5" t="n">
        <v>0.0009214508865488869</v>
      </c>
      <c r="I1765" s="5" t="n">
        <v>0.003605329231107672</v>
      </c>
      <c r="J1765" s="5" t="n">
        <v>-0.001255859239836018</v>
      </c>
      <c r="K1765" s="5" t="n">
        <v>-0.01042208314698877</v>
      </c>
      <c r="L1765" s="5" t="n">
        <v>-0.0003356532218018243</v>
      </c>
      <c r="M1765" s="5">
        <f>SUMPRODUCT(Exposures!$B$6:$K$6,B1765:K1765)</f>
        <v/>
      </c>
      <c r="N1765" s="5">
        <f>IF(AND($A1765&gt;=DATE(2020,2,1),$A1765&lt;=DATE(2020,5,31)),$M1765,"")</f>
        <v/>
      </c>
      <c r="O1765" s="5">
        <f>IF(AND($A1765&gt;=DATE(2022,1,1),$A1765&lt;=DATE(2022,10,31)),$M1765,"")</f>
        <v/>
      </c>
      <c r="P1765" s="5">
        <f>IF(AND($A1765&gt;=DATE(2018,10,1),$A1765&lt;=DATE(2018,12,31)),$M1765,"")</f>
        <v/>
      </c>
      <c r="Q1765" s="5">
        <f>SUMPRODUCT(Exposures!$B$8:$K$8,B1765:K1765)</f>
        <v/>
      </c>
      <c r="R1765" s="5">
        <f>SUMPRODUCT(Exposures!$B$9:$K$9,B1765:K1765)</f>
        <v/>
      </c>
      <c r="S1765" s="5">
        <f>SUMPRODUCT(Exposures!$B$10:$K$10,B1765:K1765)</f>
        <v/>
      </c>
    </row>
    <row r="1766">
      <c r="A1766" s="1" t="n">
        <v>45020</v>
      </c>
      <c r="B1766" s="5" t="n">
        <v>-0.006346897210923744</v>
      </c>
      <c r="C1766" s="5" t="n">
        <v>-0.002423899758041966</v>
      </c>
      <c r="D1766" s="5" t="n">
        <v>-0.002777206249874396</v>
      </c>
      <c r="E1766" s="5" t="n">
        <v>-0.001458597666374256</v>
      </c>
      <c r="F1766" s="5" t="n">
        <v>0.001402837354228724</v>
      </c>
      <c r="G1766" s="5" t="n">
        <v>-0.01253883188694608</v>
      </c>
      <c r="H1766" s="5" t="n">
        <v>-0.005958450511486445</v>
      </c>
      <c r="I1766" s="5" t="n">
        <v>-0.002100540018691062</v>
      </c>
      <c r="J1766" s="5" t="n">
        <v>0.002241901039947855</v>
      </c>
      <c r="K1766" s="5" t="n">
        <v>0.006067607778716103</v>
      </c>
      <c r="L1766" s="5" t="n">
        <v>0.001848120309241874</v>
      </c>
      <c r="M1766" s="5">
        <f>SUMPRODUCT(Exposures!$B$6:$K$6,B1766:K1766)</f>
        <v/>
      </c>
      <c r="N1766" s="5">
        <f>IF(AND($A1766&gt;=DATE(2020,2,1),$A1766&lt;=DATE(2020,5,31)),$M1766,"")</f>
        <v/>
      </c>
      <c r="O1766" s="5">
        <f>IF(AND($A1766&gt;=DATE(2022,1,1),$A1766&lt;=DATE(2022,10,31)),$M1766,"")</f>
        <v/>
      </c>
      <c r="P1766" s="5">
        <f>IF(AND($A1766&gt;=DATE(2018,10,1),$A1766&lt;=DATE(2018,12,31)),$M1766,"")</f>
        <v/>
      </c>
      <c r="Q1766" s="5">
        <f>SUMPRODUCT(Exposures!$B$8:$K$8,B1766:K1766)</f>
        <v/>
      </c>
      <c r="R1766" s="5">
        <f>SUMPRODUCT(Exposures!$B$9:$K$9,B1766:K1766)</f>
        <v/>
      </c>
      <c r="S1766" s="5">
        <f>SUMPRODUCT(Exposures!$B$10:$K$10,B1766:K1766)</f>
        <v/>
      </c>
    </row>
    <row r="1767">
      <c r="A1767" s="1" t="n">
        <v>45021</v>
      </c>
      <c r="B1767" s="5" t="n">
        <v>-0.01510593333861146</v>
      </c>
      <c r="C1767" s="5" t="n">
        <v>0.0003347200074975049</v>
      </c>
      <c r="D1767" s="5" t="n">
        <v>0.001315170647859529</v>
      </c>
      <c r="E1767" s="5" t="n">
        <v>8.262263336831371e-05</v>
      </c>
      <c r="F1767" s="5" t="n">
        <v>0.005038765522002598</v>
      </c>
      <c r="G1767" s="5" t="n">
        <v>-0.007506505454677536</v>
      </c>
      <c r="H1767" s="5" t="n">
        <v>-0.002565900534832407</v>
      </c>
      <c r="I1767" s="5" t="n">
        <v>0.0006866134147174119</v>
      </c>
      <c r="J1767" s="5" t="n">
        <v>-0.002281901593677033</v>
      </c>
      <c r="K1767" s="5" t="n">
        <v>-0.004617957840770294</v>
      </c>
      <c r="L1767" s="5" t="n">
        <v>-0.003502462405991642</v>
      </c>
      <c r="M1767" s="5">
        <f>SUMPRODUCT(Exposures!$B$6:$K$6,B1767:K1767)</f>
        <v/>
      </c>
      <c r="N1767" s="5">
        <f>IF(AND($A1767&gt;=DATE(2020,2,1),$A1767&lt;=DATE(2020,5,31)),$M1767,"")</f>
        <v/>
      </c>
      <c r="O1767" s="5">
        <f>IF(AND($A1767&gt;=DATE(2022,1,1),$A1767&lt;=DATE(2022,10,31)),$M1767,"")</f>
        <v/>
      </c>
      <c r="P1767" s="5">
        <f>IF(AND($A1767&gt;=DATE(2018,10,1),$A1767&lt;=DATE(2018,12,31)),$M1767,"")</f>
        <v/>
      </c>
      <c r="Q1767" s="5">
        <f>SUMPRODUCT(Exposures!$B$8:$K$8,B1767:K1767)</f>
        <v/>
      </c>
      <c r="R1767" s="5">
        <f>SUMPRODUCT(Exposures!$B$9:$K$9,B1767:K1767)</f>
        <v/>
      </c>
      <c r="S1767" s="5">
        <f>SUMPRODUCT(Exposures!$B$10:$K$10,B1767:K1767)</f>
        <v/>
      </c>
    </row>
    <row r="1768">
      <c r="A1768" s="1" t="n">
        <v>45022</v>
      </c>
      <c r="B1768" s="5" t="n">
        <v>0.0006086900359421676</v>
      </c>
      <c r="C1768" s="5" t="n">
        <v>-0.00373183017697566</v>
      </c>
      <c r="D1768" s="5" t="n">
        <v>0.0006537410411157267</v>
      </c>
      <c r="E1768" s="5" t="n">
        <v>-0.002579200558427515</v>
      </c>
      <c r="F1768" s="5" t="n">
        <v>-0.008308492453236749</v>
      </c>
      <c r="G1768" s="5" t="n">
        <v>0.003900256471374542</v>
      </c>
      <c r="H1768" s="5" t="n">
        <v>-0.002691752471302924</v>
      </c>
      <c r="I1768" s="5" t="n">
        <v>-0.0001787784958696555</v>
      </c>
      <c r="J1768" s="5" t="n">
        <v>0.003653304368848473</v>
      </c>
      <c r="K1768" s="5" t="n">
        <v>0.01151361057090457</v>
      </c>
      <c r="L1768" s="5" t="n">
        <v>0.002913583685921619</v>
      </c>
      <c r="M1768" s="5">
        <f>SUMPRODUCT(Exposures!$B$6:$K$6,B1768:K1768)</f>
        <v/>
      </c>
      <c r="N1768" s="5">
        <f>IF(AND($A1768&gt;=DATE(2020,2,1),$A1768&lt;=DATE(2020,5,31)),$M1768,"")</f>
        <v/>
      </c>
      <c r="O1768" s="5">
        <f>IF(AND($A1768&gt;=DATE(2022,1,1),$A1768&lt;=DATE(2022,10,31)),$M1768,"")</f>
        <v/>
      </c>
      <c r="P1768" s="5">
        <f>IF(AND($A1768&gt;=DATE(2018,10,1),$A1768&lt;=DATE(2018,12,31)),$M1768,"")</f>
        <v/>
      </c>
      <c r="Q1768" s="5">
        <f>SUMPRODUCT(Exposures!$B$8:$K$8,B1768:K1768)</f>
        <v/>
      </c>
      <c r="R1768" s="5">
        <f>SUMPRODUCT(Exposures!$B$9:$K$9,B1768:K1768)</f>
        <v/>
      </c>
      <c r="S1768" s="5">
        <f>SUMPRODUCT(Exposures!$B$10:$K$10,B1768:K1768)</f>
        <v/>
      </c>
    </row>
    <row r="1769">
      <c r="A1769" s="1" t="n">
        <v>45026</v>
      </c>
      <c r="B1769" s="5" t="n">
        <v>0.004213807098155334</v>
      </c>
      <c r="C1769" s="5" t="n">
        <v>0.001862199138631821</v>
      </c>
      <c r="D1769" s="5" t="n">
        <v>0.001619068107084652</v>
      </c>
      <c r="E1769" s="5" t="n">
        <v>0.002458579060943214</v>
      </c>
      <c r="F1769" s="5" t="n">
        <v>0.004548044689993765</v>
      </c>
      <c r="G1769" s="5" t="n">
        <v>0.007553826088684323</v>
      </c>
      <c r="H1769" s="5" t="n">
        <v>0.002387143539443236</v>
      </c>
      <c r="I1769" s="5" t="n">
        <v>0.00252504336900874</v>
      </c>
      <c r="J1769" s="5" t="n">
        <v>0.001544317921723303</v>
      </c>
      <c r="K1769" s="5" t="n">
        <v>-0.01060486272702054</v>
      </c>
      <c r="L1769" s="5" t="n">
        <v>-0.002025616068384175</v>
      </c>
      <c r="M1769" s="5">
        <f>SUMPRODUCT(Exposures!$B$6:$K$6,B1769:K1769)</f>
        <v/>
      </c>
      <c r="N1769" s="5">
        <f>IF(AND($A1769&gt;=DATE(2020,2,1),$A1769&lt;=DATE(2020,5,31)),$M1769,"")</f>
        <v/>
      </c>
      <c r="O1769" s="5">
        <f>IF(AND($A1769&gt;=DATE(2022,1,1),$A1769&lt;=DATE(2022,10,31)),$M1769,"")</f>
        <v/>
      </c>
      <c r="P1769" s="5">
        <f>IF(AND($A1769&gt;=DATE(2018,10,1),$A1769&lt;=DATE(2018,12,31)),$M1769,"")</f>
        <v/>
      </c>
      <c r="Q1769" s="5">
        <f>SUMPRODUCT(Exposures!$B$8:$K$8,B1769:K1769)</f>
        <v/>
      </c>
      <c r="R1769" s="5">
        <f>SUMPRODUCT(Exposures!$B$9:$K$9,B1769:K1769)</f>
        <v/>
      </c>
      <c r="S1769" s="5">
        <f>SUMPRODUCT(Exposures!$B$10:$K$10,B1769:K1769)</f>
        <v/>
      </c>
    </row>
    <row r="1770">
      <c r="A1770" s="1" t="n">
        <v>45027</v>
      </c>
      <c r="B1770" s="5" t="n">
        <v>-0.0004357341235857615</v>
      </c>
      <c r="C1770" s="5" t="n">
        <v>0.002737959610574461</v>
      </c>
      <c r="D1770" s="5" t="n">
        <v>0.002337571419096221</v>
      </c>
      <c r="E1770" s="5" t="n">
        <v>0.004041572831699868</v>
      </c>
      <c r="F1770" s="5" t="n">
        <v>0.003650109115788786</v>
      </c>
      <c r="G1770" s="5" t="n">
        <v>0.01099801107568904</v>
      </c>
      <c r="H1770" s="5" t="n">
        <v>-0.003126896549254929</v>
      </c>
      <c r="I1770" s="5" t="n">
        <v>0.002245614296108066</v>
      </c>
      <c r="J1770" s="5" t="n">
        <v>0.004257771452647843</v>
      </c>
      <c r="K1770" s="5" t="n">
        <v>-0.01085396906096739</v>
      </c>
      <c r="L1770" s="5" t="n">
        <v>-0.000372633394626196</v>
      </c>
      <c r="M1770" s="5">
        <f>SUMPRODUCT(Exposures!$B$6:$K$6,B1770:K1770)</f>
        <v/>
      </c>
      <c r="N1770" s="5">
        <f>IF(AND($A1770&gt;=DATE(2020,2,1),$A1770&lt;=DATE(2020,5,31)),$M1770,"")</f>
        <v/>
      </c>
      <c r="O1770" s="5">
        <f>IF(AND($A1770&gt;=DATE(2022,1,1),$A1770&lt;=DATE(2022,10,31)),$M1770,"")</f>
        <v/>
      </c>
      <c r="P1770" s="5">
        <f>IF(AND($A1770&gt;=DATE(2018,10,1),$A1770&lt;=DATE(2018,12,31)),$M1770,"")</f>
        <v/>
      </c>
      <c r="Q1770" s="5">
        <f>SUMPRODUCT(Exposures!$B$8:$K$8,B1770:K1770)</f>
        <v/>
      </c>
      <c r="R1770" s="5">
        <f>SUMPRODUCT(Exposures!$B$9:$K$9,B1770:K1770)</f>
        <v/>
      </c>
      <c r="S1770" s="5">
        <f>SUMPRODUCT(Exposures!$B$10:$K$10,B1770:K1770)</f>
        <v/>
      </c>
    </row>
    <row r="1771">
      <c r="A1771" s="1" t="n">
        <v>45028</v>
      </c>
      <c r="B1771" s="5" t="n">
        <v>-0.001614925168278306</v>
      </c>
      <c r="C1771" s="5" t="n">
        <v>0.001062860813563411</v>
      </c>
      <c r="D1771" s="5" t="n">
        <v>-0.0001748230768413558</v>
      </c>
      <c r="E1771" s="5" t="n">
        <v>0.0001695083826498116</v>
      </c>
      <c r="F1771" s="5" t="n">
        <v>0.005244585475581211</v>
      </c>
      <c r="G1771" s="5" t="n">
        <v>-0.01115705879809957</v>
      </c>
      <c r="H1771" s="5" t="n">
        <v>0.008039615640567033</v>
      </c>
      <c r="I1771" s="5" t="n">
        <v>0.001031639802377139</v>
      </c>
      <c r="J1771" s="5" t="n">
        <v>-0.008163181296885732</v>
      </c>
      <c r="K1771" s="5" t="n">
        <v>-0.006228629155851286</v>
      </c>
      <c r="L1771" s="5" t="n">
        <v>-0.001396627110809498</v>
      </c>
      <c r="M1771" s="5">
        <f>SUMPRODUCT(Exposures!$B$6:$K$6,B1771:K1771)</f>
        <v/>
      </c>
      <c r="N1771" s="5">
        <f>IF(AND($A1771&gt;=DATE(2020,2,1),$A1771&lt;=DATE(2020,5,31)),$M1771,"")</f>
        <v/>
      </c>
      <c r="O1771" s="5">
        <f>IF(AND($A1771&gt;=DATE(2022,1,1),$A1771&lt;=DATE(2022,10,31)),$M1771,"")</f>
        <v/>
      </c>
      <c r="P1771" s="5">
        <f>IF(AND($A1771&gt;=DATE(2018,10,1),$A1771&lt;=DATE(2018,12,31)),$M1771,"")</f>
        <v/>
      </c>
      <c r="Q1771" s="5">
        <f>SUMPRODUCT(Exposures!$B$8:$K$8,B1771:K1771)</f>
        <v/>
      </c>
      <c r="R1771" s="5">
        <f>SUMPRODUCT(Exposures!$B$9:$K$9,B1771:K1771)</f>
        <v/>
      </c>
      <c r="S1771" s="5">
        <f>SUMPRODUCT(Exposures!$B$10:$K$10,B1771:K1771)</f>
        <v/>
      </c>
    </row>
    <row r="1772">
      <c r="A1772" s="1" t="n">
        <v>45029</v>
      </c>
      <c r="B1772" s="5" t="n">
        <v>0.006772418167218902</v>
      </c>
      <c r="C1772" s="5" t="n">
        <v>-0.001527099105469264</v>
      </c>
      <c r="D1772" s="5" t="n">
        <v>-0.00161281782980763</v>
      </c>
      <c r="E1772" s="5" t="n">
        <v>0.0003017584571636646</v>
      </c>
      <c r="F1772" s="5" t="n">
        <v>-0.005752426008043291</v>
      </c>
      <c r="G1772" s="5" t="n">
        <v>0.01246955214088297</v>
      </c>
      <c r="H1772" s="5" t="n">
        <v>-0.001445862534702045</v>
      </c>
      <c r="I1772" s="5" t="n">
        <v>-0.0004580740970117407</v>
      </c>
      <c r="J1772" s="5" t="n">
        <v>0.0005825694660887017</v>
      </c>
      <c r="K1772" s="5" t="n">
        <v>0.007182335747427311</v>
      </c>
      <c r="L1772" s="5" t="n">
        <v>-0.0008782158307398225</v>
      </c>
      <c r="M1772" s="5">
        <f>SUMPRODUCT(Exposures!$B$6:$K$6,B1772:K1772)</f>
        <v/>
      </c>
      <c r="N1772" s="5">
        <f>IF(AND($A1772&gt;=DATE(2020,2,1),$A1772&lt;=DATE(2020,5,31)),$M1772,"")</f>
        <v/>
      </c>
      <c r="O1772" s="5">
        <f>IF(AND($A1772&gt;=DATE(2022,1,1),$A1772&lt;=DATE(2022,10,31)),$M1772,"")</f>
        <v/>
      </c>
      <c r="P1772" s="5">
        <f>IF(AND($A1772&gt;=DATE(2018,10,1),$A1772&lt;=DATE(2018,12,31)),$M1772,"")</f>
        <v/>
      </c>
      <c r="Q1772" s="5">
        <f>SUMPRODUCT(Exposures!$B$8:$K$8,B1772:K1772)</f>
        <v/>
      </c>
      <c r="R1772" s="5">
        <f>SUMPRODUCT(Exposures!$B$9:$K$9,B1772:K1772)</f>
        <v/>
      </c>
      <c r="S1772" s="5">
        <f>SUMPRODUCT(Exposures!$B$10:$K$10,B1772:K1772)</f>
        <v/>
      </c>
    </row>
    <row r="1773">
      <c r="A1773" s="1" t="n">
        <v>45030</v>
      </c>
      <c r="B1773" s="5" t="n">
        <v>0.005408353365095499</v>
      </c>
      <c r="C1773" s="5" t="n">
        <v>0.003456622697153626</v>
      </c>
      <c r="D1773" s="5" t="n">
        <v>0.002455874784109633</v>
      </c>
      <c r="E1773" s="5" t="n">
        <v>-0.0004842443714559136</v>
      </c>
      <c r="F1773" s="5" t="n">
        <v>-0.002327555372212849</v>
      </c>
      <c r="G1773" s="5" t="n">
        <v>-0.006442792680954065</v>
      </c>
      <c r="H1773" s="5" t="n">
        <v>0.001815195885808232</v>
      </c>
      <c r="I1773" s="5" t="n">
        <v>0.00100435617996245</v>
      </c>
      <c r="J1773" s="5" t="n">
        <v>-0.00585854881114848</v>
      </c>
      <c r="K1773" s="5" t="n">
        <v>0.003357801347687535</v>
      </c>
      <c r="L1773" s="5" t="n">
        <v>0.002459623886565267</v>
      </c>
      <c r="M1773" s="5">
        <f>SUMPRODUCT(Exposures!$B$6:$K$6,B1773:K1773)</f>
        <v/>
      </c>
      <c r="N1773" s="5">
        <f>IF(AND($A1773&gt;=DATE(2020,2,1),$A1773&lt;=DATE(2020,5,31)),$M1773,"")</f>
        <v/>
      </c>
      <c r="O1773" s="5">
        <f>IF(AND($A1773&gt;=DATE(2022,1,1),$A1773&lt;=DATE(2022,10,31)),$M1773,"")</f>
        <v/>
      </c>
      <c r="P1773" s="5">
        <f>IF(AND($A1773&gt;=DATE(2018,10,1),$A1773&lt;=DATE(2018,12,31)),$M1773,"")</f>
        <v/>
      </c>
      <c r="Q1773" s="5">
        <f>SUMPRODUCT(Exposures!$B$8:$K$8,B1773:K1773)</f>
        <v/>
      </c>
      <c r="R1773" s="5">
        <f>SUMPRODUCT(Exposures!$B$9:$K$9,B1773:K1773)</f>
        <v/>
      </c>
      <c r="S1773" s="5">
        <f>SUMPRODUCT(Exposures!$B$10:$K$10,B1773:K1773)</f>
        <v/>
      </c>
    </row>
    <row r="1774">
      <c r="A1774" s="1" t="n">
        <v>45033</v>
      </c>
      <c r="B1774" s="5" t="n">
        <v>-0.002803745974162904</v>
      </c>
      <c r="C1774" s="5" t="n">
        <v>-0.002560015379870695</v>
      </c>
      <c r="D1774" s="5" t="n">
        <v>-0.002820493328525252</v>
      </c>
      <c r="E1774" s="5" t="n">
        <v>0.0007090525779594336</v>
      </c>
      <c r="F1774" s="5" t="n">
        <v>0.0003275124419701721</v>
      </c>
      <c r="G1774" s="5" t="n">
        <v>0.009100655668456045</v>
      </c>
      <c r="H1774" s="5" t="n">
        <v>-0.002866580245646412</v>
      </c>
      <c r="I1774" s="5" t="n">
        <v>-0.002158287508477186</v>
      </c>
      <c r="J1774" s="5" t="n">
        <v>0.004274745822466848</v>
      </c>
      <c r="K1774" s="5" t="n">
        <v>-0.002364264938412334</v>
      </c>
      <c r="L1774" s="5" t="n">
        <v>0.004189016510224315</v>
      </c>
      <c r="M1774" s="5">
        <f>SUMPRODUCT(Exposures!$B$6:$K$6,B1774:K1774)</f>
        <v/>
      </c>
      <c r="N1774" s="5">
        <f>IF(AND($A1774&gt;=DATE(2020,2,1),$A1774&lt;=DATE(2020,5,31)),$M1774,"")</f>
        <v/>
      </c>
      <c r="O1774" s="5">
        <f>IF(AND($A1774&gt;=DATE(2022,1,1),$A1774&lt;=DATE(2022,10,31)),$M1774,"")</f>
        <v/>
      </c>
      <c r="P1774" s="5">
        <f>IF(AND($A1774&gt;=DATE(2018,10,1),$A1774&lt;=DATE(2018,12,31)),$M1774,"")</f>
        <v/>
      </c>
      <c r="Q1774" s="5">
        <f>SUMPRODUCT(Exposures!$B$8:$K$8,B1774:K1774)</f>
        <v/>
      </c>
      <c r="R1774" s="5">
        <f>SUMPRODUCT(Exposures!$B$9:$K$9,B1774:K1774)</f>
        <v/>
      </c>
      <c r="S1774" s="5">
        <f>SUMPRODUCT(Exposures!$B$10:$K$10,B1774:K1774)</f>
        <v/>
      </c>
    </row>
    <row r="1775">
      <c r="A1775" s="1" t="n">
        <v>45034</v>
      </c>
      <c r="B1775" s="5" t="n">
        <v>0.003602331036890848</v>
      </c>
      <c r="C1775" s="5" t="n">
        <v>-0.000528780535378898</v>
      </c>
      <c r="D1775" s="5" t="n">
        <v>0.002351741192282092</v>
      </c>
      <c r="E1775" s="5" t="n">
        <v>0.0007215541660619844</v>
      </c>
      <c r="F1775" s="5" t="n">
        <v>0.001071803225955892</v>
      </c>
      <c r="G1775" s="5" t="n">
        <v>-0.0016941708630263</v>
      </c>
      <c r="H1775" s="5" t="n">
        <v>0.003289760419841357</v>
      </c>
      <c r="I1775" s="5" t="n">
        <v>-0.0002163305244289057</v>
      </c>
      <c r="J1775" s="5" t="n">
        <v>-0.003873860955748333</v>
      </c>
      <c r="K1775" s="5" t="n">
        <v>-0.0005690421838266005</v>
      </c>
      <c r="L1775" s="5" t="n">
        <v>0.001576510708555792</v>
      </c>
      <c r="M1775" s="5">
        <f>SUMPRODUCT(Exposures!$B$6:$K$6,B1775:K1775)</f>
        <v/>
      </c>
      <c r="N1775" s="5">
        <f>IF(AND($A1775&gt;=DATE(2020,2,1),$A1775&lt;=DATE(2020,5,31)),$M1775,"")</f>
        <v/>
      </c>
      <c r="O1775" s="5">
        <f>IF(AND($A1775&gt;=DATE(2022,1,1),$A1775&lt;=DATE(2022,10,31)),$M1775,"")</f>
        <v/>
      </c>
      <c r="P1775" s="5">
        <f>IF(AND($A1775&gt;=DATE(2018,10,1),$A1775&lt;=DATE(2018,12,31)),$M1775,"")</f>
        <v/>
      </c>
      <c r="Q1775" s="5">
        <f>SUMPRODUCT(Exposures!$B$8:$K$8,B1775:K1775)</f>
        <v/>
      </c>
      <c r="R1775" s="5">
        <f>SUMPRODUCT(Exposures!$B$9:$K$9,B1775:K1775)</f>
        <v/>
      </c>
      <c r="S1775" s="5">
        <f>SUMPRODUCT(Exposures!$B$10:$K$10,B1775:K1775)</f>
        <v/>
      </c>
    </row>
    <row r="1776">
      <c r="A1776" s="1" t="n">
        <v>45035</v>
      </c>
      <c r="B1776" s="5" t="n">
        <v>0.003522381385618443</v>
      </c>
      <c r="C1776" s="5" t="n">
        <v>0.001367393934564039</v>
      </c>
      <c r="D1776" s="5" t="n">
        <v>-0.007211345760161856</v>
      </c>
      <c r="E1776" s="5" t="n">
        <v>0.0002209049716343348</v>
      </c>
      <c r="F1776" s="5" t="n">
        <v>-0.004133089375296551</v>
      </c>
      <c r="G1776" s="5" t="n">
        <v>0.001821973300603954</v>
      </c>
      <c r="H1776" s="5" t="n">
        <v>-0.0020244098392292</v>
      </c>
      <c r="I1776" s="5" t="n">
        <v>-0.0010906292156721</v>
      </c>
      <c r="J1776" s="5" t="n">
        <v>-0.006076488926527446</v>
      </c>
      <c r="K1776" s="5" t="n">
        <v>0.0006588625734899401</v>
      </c>
      <c r="L1776" s="5" t="n">
        <v>0.0009621359336861156</v>
      </c>
      <c r="M1776" s="5">
        <f>SUMPRODUCT(Exposures!$B$6:$K$6,B1776:K1776)</f>
        <v/>
      </c>
      <c r="N1776" s="5">
        <f>IF(AND($A1776&gt;=DATE(2020,2,1),$A1776&lt;=DATE(2020,5,31)),$M1776,"")</f>
        <v/>
      </c>
      <c r="O1776" s="5">
        <f>IF(AND($A1776&gt;=DATE(2022,1,1),$A1776&lt;=DATE(2022,10,31)),$M1776,"")</f>
        <v/>
      </c>
      <c r="P1776" s="5">
        <f>IF(AND($A1776&gt;=DATE(2018,10,1),$A1776&lt;=DATE(2018,12,31)),$M1776,"")</f>
        <v/>
      </c>
      <c r="Q1776" s="5">
        <f>SUMPRODUCT(Exposures!$B$8:$K$8,B1776:K1776)</f>
        <v/>
      </c>
      <c r="R1776" s="5">
        <f>SUMPRODUCT(Exposures!$B$9:$K$9,B1776:K1776)</f>
        <v/>
      </c>
      <c r="S1776" s="5">
        <f>SUMPRODUCT(Exposures!$B$10:$K$10,B1776:K1776)</f>
        <v/>
      </c>
    </row>
    <row r="1777">
      <c r="A1777" s="1" t="n">
        <v>45036</v>
      </c>
      <c r="B1777" s="5" t="n">
        <v>-0.00152364813199778</v>
      </c>
      <c r="C1777" s="5" t="n">
        <v>-0.00257380822218515</v>
      </c>
      <c r="D1777" s="5" t="n">
        <v>-0.00226059593274846</v>
      </c>
      <c r="E1777" s="5" t="n">
        <v>-0.0006849824480175806</v>
      </c>
      <c r="F1777" s="5" t="n">
        <v>0.001841303738073558</v>
      </c>
      <c r="G1777" s="5" t="n">
        <v>-0.009107436693177526</v>
      </c>
      <c r="H1777" s="5" t="n">
        <v>0.002609136906476032</v>
      </c>
      <c r="I1777" s="5" t="n">
        <v>0.001247626452851835</v>
      </c>
      <c r="J1777" s="5" t="n">
        <v>-0.004913927607646972</v>
      </c>
      <c r="K1777" s="5" t="n">
        <v>-0.001585491607419894</v>
      </c>
      <c r="L1777" s="5" t="n">
        <v>-0.002023603564853661</v>
      </c>
      <c r="M1777" s="5">
        <f>SUMPRODUCT(Exposures!$B$6:$K$6,B1777:K1777)</f>
        <v/>
      </c>
      <c r="N1777" s="5">
        <f>IF(AND($A1777&gt;=DATE(2020,2,1),$A1777&lt;=DATE(2020,5,31)),$M1777,"")</f>
        <v/>
      </c>
      <c r="O1777" s="5">
        <f>IF(AND($A1777&gt;=DATE(2022,1,1),$A1777&lt;=DATE(2022,10,31)),$M1777,"")</f>
        <v/>
      </c>
      <c r="P1777" s="5">
        <f>IF(AND($A1777&gt;=DATE(2018,10,1),$A1777&lt;=DATE(2018,12,31)),$M1777,"")</f>
        <v/>
      </c>
      <c r="Q1777" s="5">
        <f>SUMPRODUCT(Exposures!$B$8:$K$8,B1777:K1777)</f>
        <v/>
      </c>
      <c r="R1777" s="5">
        <f>SUMPRODUCT(Exposures!$B$9:$K$9,B1777:K1777)</f>
        <v/>
      </c>
      <c r="S1777" s="5">
        <f>SUMPRODUCT(Exposures!$B$10:$K$10,B1777:K1777)</f>
        <v/>
      </c>
    </row>
    <row r="1778">
      <c r="A1778" s="1" t="n">
        <v>45037</v>
      </c>
      <c r="B1778" s="5" t="n">
        <v>-0.004558546161050415</v>
      </c>
      <c r="C1778" s="5" t="n">
        <v>-0.001647928093602547</v>
      </c>
      <c r="D1778" s="5" t="n">
        <v>-0.005959849955421116</v>
      </c>
      <c r="E1778" s="5" t="n">
        <v>-0.000130955201059337</v>
      </c>
      <c r="F1778" s="5" t="n">
        <v>0.002848698424073082</v>
      </c>
      <c r="G1778" s="5" t="n">
        <v>0.0001308244170170703</v>
      </c>
      <c r="H1778" s="5" t="n">
        <v>-0.004706586784745877</v>
      </c>
      <c r="I1778" s="5" t="n">
        <v>0.0001987047148238142</v>
      </c>
      <c r="J1778" s="5" t="n">
        <v>-0.0002659252147546697</v>
      </c>
      <c r="K1778" s="5" t="n">
        <v>-0.005866811855415933</v>
      </c>
      <c r="L1778" s="5" t="n">
        <v>-0.00389610097125266</v>
      </c>
      <c r="M1778" s="5">
        <f>SUMPRODUCT(Exposures!$B$6:$K$6,B1778:K1778)</f>
        <v/>
      </c>
      <c r="N1778" s="5">
        <f>IF(AND($A1778&gt;=DATE(2020,2,1),$A1778&lt;=DATE(2020,5,31)),$M1778,"")</f>
        <v/>
      </c>
      <c r="O1778" s="5">
        <f>IF(AND($A1778&gt;=DATE(2022,1,1),$A1778&lt;=DATE(2022,10,31)),$M1778,"")</f>
        <v/>
      </c>
      <c r="P1778" s="5">
        <f>IF(AND($A1778&gt;=DATE(2018,10,1),$A1778&lt;=DATE(2018,12,31)),$M1778,"")</f>
        <v/>
      </c>
      <c r="Q1778" s="5">
        <f>SUMPRODUCT(Exposures!$B$8:$K$8,B1778:K1778)</f>
        <v/>
      </c>
      <c r="R1778" s="5">
        <f>SUMPRODUCT(Exposures!$B$9:$K$9,B1778:K1778)</f>
        <v/>
      </c>
      <c r="S1778" s="5">
        <f>SUMPRODUCT(Exposures!$B$10:$K$10,B1778:K1778)</f>
        <v/>
      </c>
    </row>
    <row r="1779">
      <c r="A1779" s="1" t="n">
        <v>45040</v>
      </c>
      <c r="B1779" s="5" t="n">
        <v>-0.002712202211795164</v>
      </c>
      <c r="C1779" s="5" t="n">
        <v>0.003469938075171777</v>
      </c>
      <c r="D1779" s="5" t="n">
        <v>-0.001326472357111746</v>
      </c>
      <c r="E1779" s="5" t="n">
        <v>-0.0005831587939939031</v>
      </c>
      <c r="F1779" s="5" t="n">
        <v>0.008282833120750165</v>
      </c>
      <c r="G1779" s="5" t="n">
        <v>-0.001921502919853077</v>
      </c>
      <c r="H1779" s="5" t="n">
        <v>0.002864262235274556</v>
      </c>
      <c r="I1779" s="5" t="n">
        <v>0.0008876186449538128</v>
      </c>
      <c r="J1779" s="5" t="n">
        <v>-0.0001671813044268958</v>
      </c>
      <c r="K1779" s="5" t="n">
        <v>-0.006763482708739567</v>
      </c>
      <c r="L1779" s="5" t="n">
        <v>-0.001760697384827245</v>
      </c>
      <c r="M1779" s="5">
        <f>SUMPRODUCT(Exposures!$B$6:$K$6,B1779:K1779)</f>
        <v/>
      </c>
      <c r="N1779" s="5">
        <f>IF(AND($A1779&gt;=DATE(2020,2,1),$A1779&lt;=DATE(2020,5,31)),$M1779,"")</f>
        <v/>
      </c>
      <c r="O1779" s="5">
        <f>IF(AND($A1779&gt;=DATE(2022,1,1),$A1779&lt;=DATE(2022,10,31)),$M1779,"")</f>
        <v/>
      </c>
      <c r="P1779" s="5">
        <f>IF(AND($A1779&gt;=DATE(2018,10,1),$A1779&lt;=DATE(2018,12,31)),$M1779,"")</f>
        <v/>
      </c>
      <c r="Q1779" s="5">
        <f>SUMPRODUCT(Exposures!$B$8:$K$8,B1779:K1779)</f>
        <v/>
      </c>
      <c r="R1779" s="5">
        <f>SUMPRODUCT(Exposures!$B$9:$K$9,B1779:K1779)</f>
        <v/>
      </c>
      <c r="S1779" s="5">
        <f>SUMPRODUCT(Exposures!$B$10:$K$10,B1779:K1779)</f>
        <v/>
      </c>
    </row>
    <row r="1780">
      <c r="A1780" s="1" t="n">
        <v>45041</v>
      </c>
      <c r="B1780" s="5" t="n">
        <v>-0.01185278686543912</v>
      </c>
      <c r="C1780" s="5" t="n">
        <v>-0.003957276031808157</v>
      </c>
      <c r="D1780" s="5" t="n">
        <v>8.698374698160038e-05</v>
      </c>
      <c r="E1780" s="5" t="n">
        <v>-0.001259073373397876</v>
      </c>
      <c r="F1780" s="5" t="n">
        <v>0.002724171423322477</v>
      </c>
      <c r="G1780" s="5" t="n">
        <v>-0.02350647495201755</v>
      </c>
      <c r="H1780" s="5" t="n">
        <v>-0.001234443707873129</v>
      </c>
      <c r="I1780" s="5" t="n">
        <v>0.0005594943061814743</v>
      </c>
      <c r="J1780" s="5" t="n">
        <v>-0.003912460195938718</v>
      </c>
      <c r="K1780" s="5" t="n">
        <v>-0.001116283025286274</v>
      </c>
      <c r="L1780" s="5" t="n">
        <v>0.0003208849132476507</v>
      </c>
      <c r="M1780" s="5">
        <f>SUMPRODUCT(Exposures!$B$6:$K$6,B1780:K1780)</f>
        <v/>
      </c>
      <c r="N1780" s="5">
        <f>IF(AND($A1780&gt;=DATE(2020,2,1),$A1780&lt;=DATE(2020,5,31)),$M1780,"")</f>
        <v/>
      </c>
      <c r="O1780" s="5">
        <f>IF(AND($A1780&gt;=DATE(2022,1,1),$A1780&lt;=DATE(2022,10,31)),$M1780,"")</f>
        <v/>
      </c>
      <c r="P1780" s="5">
        <f>IF(AND($A1780&gt;=DATE(2018,10,1),$A1780&lt;=DATE(2018,12,31)),$M1780,"")</f>
        <v/>
      </c>
      <c r="Q1780" s="5">
        <f>SUMPRODUCT(Exposures!$B$8:$K$8,B1780:K1780)</f>
        <v/>
      </c>
      <c r="R1780" s="5">
        <f>SUMPRODUCT(Exposures!$B$9:$K$9,B1780:K1780)</f>
        <v/>
      </c>
      <c r="S1780" s="5">
        <f>SUMPRODUCT(Exposures!$B$10:$K$10,B1780:K1780)</f>
        <v/>
      </c>
    </row>
    <row r="1781">
      <c r="A1781" s="1" t="n">
        <v>45042</v>
      </c>
      <c r="B1781" s="5" t="n">
        <v>0.004769114824602906</v>
      </c>
      <c r="C1781" s="5" t="n">
        <v>0.0009684592224475108</v>
      </c>
      <c r="D1781" s="5" t="n">
        <v>-0.000954184790875316</v>
      </c>
      <c r="E1781" s="5" t="n">
        <v>-0.001896254701206112</v>
      </c>
      <c r="F1781" s="5" t="n">
        <v>0.004556756363228218</v>
      </c>
      <c r="G1781" s="5" t="n">
        <v>-0.006068589840145904</v>
      </c>
      <c r="H1781" s="5" t="n">
        <v>-0.003113236607082269</v>
      </c>
      <c r="I1781" s="5" t="n">
        <v>7.127257092905202e-05</v>
      </c>
      <c r="J1781" s="5" t="n">
        <v>0.0009157513204084368</v>
      </c>
      <c r="K1781" s="5" t="n">
        <v>-0.003947489855937693</v>
      </c>
      <c r="L1781" s="5" t="n">
        <v>0.001572428492349358</v>
      </c>
      <c r="M1781" s="5">
        <f>SUMPRODUCT(Exposures!$B$6:$K$6,B1781:K1781)</f>
        <v/>
      </c>
      <c r="N1781" s="5">
        <f>IF(AND($A1781&gt;=DATE(2020,2,1),$A1781&lt;=DATE(2020,5,31)),$M1781,"")</f>
        <v/>
      </c>
      <c r="O1781" s="5">
        <f>IF(AND($A1781&gt;=DATE(2022,1,1),$A1781&lt;=DATE(2022,10,31)),$M1781,"")</f>
        <v/>
      </c>
      <c r="P1781" s="5">
        <f>IF(AND($A1781&gt;=DATE(2018,10,1),$A1781&lt;=DATE(2018,12,31)),$M1781,"")</f>
        <v/>
      </c>
      <c r="Q1781" s="5">
        <f>SUMPRODUCT(Exposures!$B$8:$K$8,B1781:K1781)</f>
        <v/>
      </c>
      <c r="R1781" s="5">
        <f>SUMPRODUCT(Exposures!$B$9:$K$9,B1781:K1781)</f>
        <v/>
      </c>
      <c r="S1781" s="5">
        <f>SUMPRODUCT(Exposures!$B$10:$K$10,B1781:K1781)</f>
        <v/>
      </c>
    </row>
    <row r="1782">
      <c r="A1782" s="1" t="n">
        <v>45043</v>
      </c>
      <c r="B1782" s="5" t="n">
        <v>0.008398119059039465</v>
      </c>
      <c r="C1782" s="5" t="n">
        <v>0.003539163147975266</v>
      </c>
      <c r="D1782" s="5" t="n">
        <v>-0.002231489412897897</v>
      </c>
      <c r="E1782" s="5" t="n">
        <v>-0.0002332648955900103</v>
      </c>
      <c r="F1782" s="5" t="n">
        <v>-0.008207690267247146</v>
      </c>
      <c r="G1782" s="5" t="n">
        <v>0.01852701415446132</v>
      </c>
      <c r="H1782" s="5" t="n">
        <v>-0.005873415775640825</v>
      </c>
      <c r="I1782" s="5" t="n">
        <v>-0.002345973111329602</v>
      </c>
      <c r="J1782" s="5" t="n">
        <v>-0.00615504319427067</v>
      </c>
      <c r="K1782" s="5" t="n">
        <v>0.00393558509841308</v>
      </c>
      <c r="L1782" s="5" t="n">
        <v>-0.001168819932948818</v>
      </c>
      <c r="M1782" s="5">
        <f>SUMPRODUCT(Exposures!$B$6:$K$6,B1782:K1782)</f>
        <v/>
      </c>
      <c r="N1782" s="5">
        <f>IF(AND($A1782&gt;=DATE(2020,2,1),$A1782&lt;=DATE(2020,5,31)),$M1782,"")</f>
        <v/>
      </c>
      <c r="O1782" s="5">
        <f>IF(AND($A1782&gt;=DATE(2022,1,1),$A1782&lt;=DATE(2022,10,31)),$M1782,"")</f>
        <v/>
      </c>
      <c r="P1782" s="5">
        <f>IF(AND($A1782&gt;=DATE(2018,10,1),$A1782&lt;=DATE(2018,12,31)),$M1782,"")</f>
        <v/>
      </c>
      <c r="Q1782" s="5">
        <f>SUMPRODUCT(Exposures!$B$8:$K$8,B1782:K1782)</f>
        <v/>
      </c>
      <c r="R1782" s="5">
        <f>SUMPRODUCT(Exposures!$B$9:$K$9,B1782:K1782)</f>
        <v/>
      </c>
      <c r="S1782" s="5">
        <f>SUMPRODUCT(Exposures!$B$10:$K$10,B1782:K1782)</f>
        <v/>
      </c>
    </row>
    <row r="1783">
      <c r="A1783" s="1" t="n">
        <v>45044</v>
      </c>
      <c r="B1783" s="5" t="n">
        <v>0.001917933410126035</v>
      </c>
      <c r="C1783" s="5" t="n">
        <v>0.005202035953395086</v>
      </c>
      <c r="D1783" s="5" t="n">
        <v>0.007322301073961454</v>
      </c>
      <c r="E1783" s="5" t="n">
        <v>0.001163802977406678</v>
      </c>
      <c r="F1783" s="5" t="n">
        <v>-0.001129294878021322</v>
      </c>
      <c r="G1783" s="5" t="n">
        <v>0.01295143249084762</v>
      </c>
      <c r="H1783" s="5" t="n">
        <v>-0.002419156775703416</v>
      </c>
      <c r="I1783" s="5" t="n">
        <v>0.0006071529167126881</v>
      </c>
      <c r="J1783" s="5" t="n">
        <v>0.001695622137352065</v>
      </c>
      <c r="K1783" s="5" t="n">
        <v>-0.003392614611536331</v>
      </c>
      <c r="L1783" s="5" t="n">
        <v>-0.003996660282588316</v>
      </c>
      <c r="M1783" s="5">
        <f>SUMPRODUCT(Exposures!$B$6:$K$6,B1783:K1783)</f>
        <v/>
      </c>
      <c r="N1783" s="5">
        <f>IF(AND($A1783&gt;=DATE(2020,2,1),$A1783&lt;=DATE(2020,5,31)),$M1783,"")</f>
        <v/>
      </c>
      <c r="O1783" s="5">
        <f>IF(AND($A1783&gt;=DATE(2022,1,1),$A1783&lt;=DATE(2022,10,31)),$M1783,"")</f>
        <v/>
      </c>
      <c r="P1783" s="5">
        <f>IF(AND($A1783&gt;=DATE(2018,10,1),$A1783&lt;=DATE(2018,12,31)),$M1783,"")</f>
        <v/>
      </c>
      <c r="Q1783" s="5">
        <f>SUMPRODUCT(Exposures!$B$8:$K$8,B1783:K1783)</f>
        <v/>
      </c>
      <c r="R1783" s="5">
        <f>SUMPRODUCT(Exposures!$B$9:$K$9,B1783:K1783)</f>
        <v/>
      </c>
      <c r="S1783" s="5">
        <f>SUMPRODUCT(Exposures!$B$10:$K$10,B1783:K1783)</f>
        <v/>
      </c>
    </row>
    <row r="1784">
      <c r="A1784" s="1" t="n">
        <v>45047</v>
      </c>
      <c r="B1784" s="5" t="n">
        <v>-0.005171025721622052</v>
      </c>
      <c r="C1784" s="5" t="n">
        <v>-0.001641231366745514</v>
      </c>
      <c r="D1784" s="5" t="n">
        <v>0.0002403745959917746</v>
      </c>
      <c r="E1784" s="5" t="n">
        <v>-0.001186664373735487</v>
      </c>
      <c r="F1784" s="5" t="n">
        <v>0.00267499843975385</v>
      </c>
      <c r="G1784" s="5" t="n">
        <v>-0.003049649162168642</v>
      </c>
      <c r="H1784" s="5" t="n">
        <v>-0.0001489874433666912</v>
      </c>
      <c r="I1784" s="5" t="n">
        <v>-0.0009800928042329865</v>
      </c>
      <c r="J1784" s="5" t="n">
        <v>-0.0004921963583516286</v>
      </c>
      <c r="K1784" s="5" t="n">
        <v>-0.002067254408097421</v>
      </c>
      <c r="L1784" s="5" t="n">
        <v>-0.003561089968415639</v>
      </c>
      <c r="M1784" s="5">
        <f>SUMPRODUCT(Exposures!$B$6:$K$6,B1784:K1784)</f>
        <v/>
      </c>
      <c r="N1784" s="5">
        <f>IF(AND($A1784&gt;=DATE(2020,2,1),$A1784&lt;=DATE(2020,5,31)),$M1784,"")</f>
        <v/>
      </c>
      <c r="O1784" s="5">
        <f>IF(AND($A1784&gt;=DATE(2022,1,1),$A1784&lt;=DATE(2022,10,31)),$M1784,"")</f>
        <v/>
      </c>
      <c r="P1784" s="5">
        <f>IF(AND($A1784&gt;=DATE(2018,10,1),$A1784&lt;=DATE(2018,12,31)),$M1784,"")</f>
        <v/>
      </c>
      <c r="Q1784" s="5">
        <f>SUMPRODUCT(Exposures!$B$8:$K$8,B1784:K1784)</f>
        <v/>
      </c>
      <c r="R1784" s="5">
        <f>SUMPRODUCT(Exposures!$B$9:$K$9,B1784:K1784)</f>
        <v/>
      </c>
      <c r="S1784" s="5">
        <f>SUMPRODUCT(Exposures!$B$10:$K$10,B1784:K1784)</f>
        <v/>
      </c>
    </row>
    <row r="1785">
      <c r="A1785" s="1" t="n">
        <v>45048</v>
      </c>
      <c r="B1785" s="5" t="n">
        <v>-0.001485240695017659</v>
      </c>
      <c r="C1785" s="5" t="n">
        <v>-0.002054477835155769</v>
      </c>
      <c r="D1785" s="5" t="n">
        <v>0.00212152124117202</v>
      </c>
      <c r="E1785" s="5" t="n">
        <v>-0.00478473686117522</v>
      </c>
      <c r="F1785" s="5" t="n">
        <v>0.00643346767148553</v>
      </c>
      <c r="G1785" s="5" t="n">
        <v>-0.01859273884949357</v>
      </c>
      <c r="H1785" s="5" t="n">
        <v>0.001864422370731744</v>
      </c>
      <c r="I1785" s="5" t="n">
        <v>-0.0003808047095482617</v>
      </c>
      <c r="J1785" s="5" t="n">
        <v>-0.006575535786878558</v>
      </c>
      <c r="K1785" s="5" t="n">
        <v>-0.005323774616031729</v>
      </c>
      <c r="L1785" s="5" t="n">
        <v>-0.003706737712782548</v>
      </c>
      <c r="M1785" s="5">
        <f>SUMPRODUCT(Exposures!$B$6:$K$6,B1785:K1785)</f>
        <v/>
      </c>
      <c r="N1785" s="5">
        <f>IF(AND($A1785&gt;=DATE(2020,2,1),$A1785&lt;=DATE(2020,5,31)),$M1785,"")</f>
        <v/>
      </c>
      <c r="O1785" s="5">
        <f>IF(AND($A1785&gt;=DATE(2022,1,1),$A1785&lt;=DATE(2022,10,31)),$M1785,"")</f>
        <v/>
      </c>
      <c r="P1785" s="5">
        <f>IF(AND($A1785&gt;=DATE(2018,10,1),$A1785&lt;=DATE(2018,12,31)),$M1785,"")</f>
        <v/>
      </c>
      <c r="Q1785" s="5">
        <f>SUMPRODUCT(Exposures!$B$8:$K$8,B1785:K1785)</f>
        <v/>
      </c>
      <c r="R1785" s="5">
        <f>SUMPRODUCT(Exposures!$B$9:$K$9,B1785:K1785)</f>
        <v/>
      </c>
      <c r="S1785" s="5">
        <f>SUMPRODUCT(Exposures!$B$10:$K$10,B1785:K1785)</f>
        <v/>
      </c>
    </row>
    <row r="1786">
      <c r="A1786" s="1" t="n">
        <v>45049</v>
      </c>
      <c r="B1786" s="5" t="n">
        <v>0.00115068314212783</v>
      </c>
      <c r="C1786" s="5" t="n">
        <v>-0.001375501584614849</v>
      </c>
      <c r="D1786" s="5" t="n">
        <v>0.000149517282557538</v>
      </c>
      <c r="E1786" s="5" t="n">
        <v>-0.001539401626774265</v>
      </c>
      <c r="F1786" s="5" t="n">
        <v>-0.01349586894139427</v>
      </c>
      <c r="G1786" s="5" t="n">
        <v>-0.001550746496162932</v>
      </c>
      <c r="H1786" s="5" t="n">
        <v>-8.552765943749244e-05</v>
      </c>
      <c r="I1786" s="5" t="n">
        <v>-0.003749720925571611</v>
      </c>
      <c r="J1786" s="5" t="n">
        <v>0.001316657545597892</v>
      </c>
      <c r="K1786" s="5" t="n">
        <v>0.009792152504295711</v>
      </c>
      <c r="L1786" s="5" t="n">
        <v>-0.0005864271580678877</v>
      </c>
      <c r="M1786" s="5">
        <f>SUMPRODUCT(Exposures!$B$6:$K$6,B1786:K1786)</f>
        <v/>
      </c>
      <c r="N1786" s="5">
        <f>IF(AND($A1786&gt;=DATE(2020,2,1),$A1786&lt;=DATE(2020,5,31)),$M1786,"")</f>
        <v/>
      </c>
      <c r="O1786" s="5">
        <f>IF(AND($A1786&gt;=DATE(2022,1,1),$A1786&lt;=DATE(2022,10,31)),$M1786,"")</f>
        <v/>
      </c>
      <c r="P1786" s="5">
        <f>IF(AND($A1786&gt;=DATE(2018,10,1),$A1786&lt;=DATE(2018,12,31)),$M1786,"")</f>
        <v/>
      </c>
      <c r="Q1786" s="5">
        <f>SUMPRODUCT(Exposures!$B$8:$K$8,B1786:K1786)</f>
        <v/>
      </c>
      <c r="R1786" s="5">
        <f>SUMPRODUCT(Exposures!$B$9:$K$9,B1786:K1786)</f>
        <v/>
      </c>
      <c r="S1786" s="5">
        <f>SUMPRODUCT(Exposures!$B$10:$K$10,B1786:K1786)</f>
        <v/>
      </c>
    </row>
    <row r="1787">
      <c r="A1787" s="1" t="n">
        <v>45050</v>
      </c>
      <c r="B1787" s="5" t="n">
        <v>-0.006340442451517379</v>
      </c>
      <c r="C1787" s="5" t="n">
        <v>-0.002066538685569541</v>
      </c>
      <c r="D1787" s="5" t="n">
        <v>0.004202606787666292</v>
      </c>
      <c r="E1787" s="5" t="n">
        <v>-0.005018562436211444</v>
      </c>
      <c r="F1787" s="5" t="n">
        <v>0.002812102192843464</v>
      </c>
      <c r="G1787" s="5" t="n">
        <v>-0.009045937526863239</v>
      </c>
      <c r="H1787" s="5" t="n">
        <v>-0.002121531826805386</v>
      </c>
      <c r="I1787" s="5" t="n">
        <v>-0.000854300569308433</v>
      </c>
      <c r="J1787" s="5" t="n">
        <v>0.007291008646245434</v>
      </c>
      <c r="K1787" s="5" t="n">
        <v>0.003075286748667774</v>
      </c>
      <c r="L1787" s="5" t="n">
        <v>0.001545571567864713</v>
      </c>
      <c r="M1787" s="5">
        <f>SUMPRODUCT(Exposures!$B$6:$K$6,B1787:K1787)</f>
        <v/>
      </c>
      <c r="N1787" s="5">
        <f>IF(AND($A1787&gt;=DATE(2020,2,1),$A1787&lt;=DATE(2020,5,31)),$M1787,"")</f>
        <v/>
      </c>
      <c r="O1787" s="5">
        <f>IF(AND($A1787&gt;=DATE(2022,1,1),$A1787&lt;=DATE(2022,10,31)),$M1787,"")</f>
        <v/>
      </c>
      <c r="P1787" s="5">
        <f>IF(AND($A1787&gt;=DATE(2018,10,1),$A1787&lt;=DATE(2018,12,31)),$M1787,"")</f>
        <v/>
      </c>
      <c r="Q1787" s="5">
        <f>SUMPRODUCT(Exposures!$B$8:$K$8,B1787:K1787)</f>
        <v/>
      </c>
      <c r="R1787" s="5">
        <f>SUMPRODUCT(Exposures!$B$9:$K$9,B1787:K1787)</f>
        <v/>
      </c>
      <c r="S1787" s="5">
        <f>SUMPRODUCT(Exposures!$B$10:$K$10,B1787:K1787)</f>
        <v/>
      </c>
    </row>
    <row r="1788">
      <c r="A1788" s="1" t="n">
        <v>45051</v>
      </c>
      <c r="B1788" s="5" t="n">
        <v>0.008334463042260855</v>
      </c>
      <c r="C1788" s="5" t="n">
        <v>-0.004577422973276508</v>
      </c>
      <c r="D1788" s="5" t="n">
        <v>-0.007286705564861928</v>
      </c>
      <c r="E1788" s="5" t="n">
        <v>0.004152258284753571</v>
      </c>
      <c r="F1788" s="5" t="n">
        <v>0.004649397295728575</v>
      </c>
      <c r="G1788" s="5" t="n">
        <v>0.02214000024957026</v>
      </c>
      <c r="H1788" s="5" t="n">
        <v>-0.002861043315774907</v>
      </c>
      <c r="I1788" s="5" t="n">
        <v>-0.001036450988301043</v>
      </c>
      <c r="J1788" s="5" t="n">
        <v>0.0001040734127548395</v>
      </c>
      <c r="K1788" s="5" t="n">
        <v>-0.003384232656910299</v>
      </c>
      <c r="L1788" s="5" t="n">
        <v>0.005835406136446061</v>
      </c>
      <c r="M1788" s="5">
        <f>SUMPRODUCT(Exposures!$B$6:$K$6,B1788:K1788)</f>
        <v/>
      </c>
      <c r="N1788" s="5">
        <f>IF(AND($A1788&gt;=DATE(2020,2,1),$A1788&lt;=DATE(2020,5,31)),$M1788,"")</f>
        <v/>
      </c>
      <c r="O1788" s="5">
        <f>IF(AND($A1788&gt;=DATE(2022,1,1),$A1788&lt;=DATE(2022,10,31)),$M1788,"")</f>
        <v/>
      </c>
      <c r="P1788" s="5">
        <f>IF(AND($A1788&gt;=DATE(2018,10,1),$A1788&lt;=DATE(2018,12,31)),$M1788,"")</f>
        <v/>
      </c>
      <c r="Q1788" s="5">
        <f>SUMPRODUCT(Exposures!$B$8:$K$8,B1788:K1788)</f>
        <v/>
      </c>
      <c r="R1788" s="5">
        <f>SUMPRODUCT(Exposures!$B$9:$K$9,B1788:K1788)</f>
        <v/>
      </c>
      <c r="S1788" s="5">
        <f>SUMPRODUCT(Exposures!$B$10:$K$10,B1788:K1788)</f>
        <v/>
      </c>
    </row>
    <row r="1789">
      <c r="A1789" s="1" t="n">
        <v>45054</v>
      </c>
      <c r="B1789" s="5" t="n">
        <v>0.00334238986193191</v>
      </c>
      <c r="C1789" s="5" t="n">
        <v>-0.00239982191984653</v>
      </c>
      <c r="D1789" s="5" t="n">
        <v>0.001403319841637302</v>
      </c>
      <c r="E1789" s="5" t="n">
        <v>-0.002286689040182999</v>
      </c>
      <c r="F1789" s="5" t="n">
        <v>0.007599618569110541</v>
      </c>
      <c r="G1789" s="5" t="n">
        <v>0.0002571444379870359</v>
      </c>
      <c r="H1789" s="5" t="n">
        <v>0.001117024143286472</v>
      </c>
      <c r="I1789" s="5" t="n">
        <v>0.001668707642651055</v>
      </c>
      <c r="J1789" s="5" t="n">
        <v>0.001091769850802705</v>
      </c>
      <c r="K1789" s="5" t="n">
        <v>-0.005283910239379416</v>
      </c>
      <c r="L1789" s="5" t="n">
        <v>0.002426768730836633</v>
      </c>
      <c r="M1789" s="5">
        <f>SUMPRODUCT(Exposures!$B$6:$K$6,B1789:K1789)</f>
        <v/>
      </c>
      <c r="N1789" s="5">
        <f>IF(AND($A1789&gt;=DATE(2020,2,1),$A1789&lt;=DATE(2020,5,31)),$M1789,"")</f>
        <v/>
      </c>
      <c r="O1789" s="5">
        <f>IF(AND($A1789&gt;=DATE(2022,1,1),$A1789&lt;=DATE(2022,10,31)),$M1789,"")</f>
        <v/>
      </c>
      <c r="P1789" s="5">
        <f>IF(AND($A1789&gt;=DATE(2018,10,1),$A1789&lt;=DATE(2018,12,31)),$M1789,"")</f>
        <v/>
      </c>
      <c r="Q1789" s="5">
        <f>SUMPRODUCT(Exposures!$B$8:$K$8,B1789:K1789)</f>
        <v/>
      </c>
      <c r="R1789" s="5">
        <f>SUMPRODUCT(Exposures!$B$9:$K$9,B1789:K1789)</f>
        <v/>
      </c>
      <c r="S1789" s="5">
        <f>SUMPRODUCT(Exposures!$B$10:$K$10,B1789:K1789)</f>
        <v/>
      </c>
    </row>
    <row r="1790">
      <c r="A1790" s="1" t="n">
        <v>45055</v>
      </c>
      <c r="B1790" s="5" t="n">
        <v>0.0009610733114744224</v>
      </c>
      <c r="C1790" s="5" t="n">
        <v>-0.0004116628195331675</v>
      </c>
      <c r="D1790" s="5" t="n">
        <v>0.001620243732049464</v>
      </c>
      <c r="E1790" s="5" t="n">
        <v>0.002724346699298017</v>
      </c>
      <c r="F1790" s="5" t="n">
        <v>0.001630503021704718</v>
      </c>
      <c r="G1790" s="5" t="n">
        <v>-0.0001599110337904208</v>
      </c>
      <c r="H1790" s="5" t="n">
        <v>-0.0001131392723223402</v>
      </c>
      <c r="I1790" s="5" t="n">
        <v>0.002259398320114665</v>
      </c>
      <c r="J1790" s="5" t="n">
        <v>0.001867848954646496</v>
      </c>
      <c r="K1790" s="5" t="n">
        <v>-0.005526572374046721</v>
      </c>
      <c r="L1790" s="5" t="n">
        <v>-0.003019788922999529</v>
      </c>
      <c r="M1790" s="5">
        <f>SUMPRODUCT(Exposures!$B$6:$K$6,B1790:K1790)</f>
        <v/>
      </c>
      <c r="N1790" s="5">
        <f>IF(AND($A1790&gt;=DATE(2020,2,1),$A1790&lt;=DATE(2020,5,31)),$M1790,"")</f>
        <v/>
      </c>
      <c r="O1790" s="5">
        <f>IF(AND($A1790&gt;=DATE(2022,1,1),$A1790&lt;=DATE(2022,10,31)),$M1790,"")</f>
        <v/>
      </c>
      <c r="P1790" s="5">
        <f>IF(AND($A1790&gt;=DATE(2018,10,1),$A1790&lt;=DATE(2018,12,31)),$M1790,"")</f>
        <v/>
      </c>
      <c r="Q1790" s="5">
        <f>SUMPRODUCT(Exposures!$B$8:$K$8,B1790:K1790)</f>
        <v/>
      </c>
      <c r="R1790" s="5">
        <f>SUMPRODUCT(Exposures!$B$9:$K$9,B1790:K1790)</f>
        <v/>
      </c>
      <c r="S1790" s="5">
        <f>SUMPRODUCT(Exposures!$B$10:$K$10,B1790:K1790)</f>
        <v/>
      </c>
    </row>
    <row r="1791">
      <c r="A1791" s="1" t="n">
        <v>45056</v>
      </c>
      <c r="B1791" s="5" t="n">
        <v>0.005573143944222834</v>
      </c>
      <c r="C1791" s="5" t="n">
        <v>-0.004021789989711337</v>
      </c>
      <c r="D1791" s="5" t="n">
        <v>-0.0006470079595785507</v>
      </c>
      <c r="E1791" s="5" t="n">
        <v>-0.002793653669875398</v>
      </c>
      <c r="F1791" s="5" t="n">
        <v>-0.007129237083773304</v>
      </c>
      <c r="G1791" s="5" t="n">
        <v>0.001502894898898329</v>
      </c>
      <c r="H1791" s="5" t="n">
        <v>0.002347092792543358</v>
      </c>
      <c r="I1791" s="5" t="n">
        <v>0.001389899320333083</v>
      </c>
      <c r="J1791" s="5" t="n">
        <v>-0.005035222731895508</v>
      </c>
      <c r="K1791" s="5" t="n">
        <v>0.008605010340642628</v>
      </c>
      <c r="L1791" s="5" t="n">
        <v>0.0007509284176206886</v>
      </c>
      <c r="M1791" s="5">
        <f>SUMPRODUCT(Exposures!$B$6:$K$6,B1791:K1791)</f>
        <v/>
      </c>
      <c r="N1791" s="5">
        <f>IF(AND($A1791&gt;=DATE(2020,2,1),$A1791&lt;=DATE(2020,5,31)),$M1791,"")</f>
        <v/>
      </c>
      <c r="O1791" s="5">
        <f>IF(AND($A1791&gt;=DATE(2022,1,1),$A1791&lt;=DATE(2022,10,31)),$M1791,"")</f>
        <v/>
      </c>
      <c r="P1791" s="5">
        <f>IF(AND($A1791&gt;=DATE(2018,10,1),$A1791&lt;=DATE(2018,12,31)),$M1791,"")</f>
        <v/>
      </c>
      <c r="Q1791" s="5">
        <f>SUMPRODUCT(Exposures!$B$8:$K$8,B1791:K1791)</f>
        <v/>
      </c>
      <c r="R1791" s="5">
        <f>SUMPRODUCT(Exposures!$B$9:$K$9,B1791:K1791)</f>
        <v/>
      </c>
      <c r="S1791" s="5">
        <f>SUMPRODUCT(Exposures!$B$10:$K$10,B1791:K1791)</f>
        <v/>
      </c>
    </row>
    <row r="1792">
      <c r="A1792" s="1" t="n">
        <v>45057</v>
      </c>
      <c r="B1792" s="5" t="n">
        <v>0.002084851656549671</v>
      </c>
      <c r="C1792" s="5" t="n">
        <v>0.002469673438987819</v>
      </c>
      <c r="D1792" s="5" t="n">
        <v>-0.002125226264359016</v>
      </c>
      <c r="E1792" s="5" t="n">
        <v>-0.003281834212221076</v>
      </c>
      <c r="F1792" s="5" t="n">
        <v>-0.004978864974469561</v>
      </c>
      <c r="G1792" s="5" t="n">
        <v>-0.00559172064352534</v>
      </c>
      <c r="H1792" s="5" t="n">
        <v>0.00164755529613044</v>
      </c>
      <c r="I1792" s="5" t="n">
        <v>-0.0008680802406748391</v>
      </c>
      <c r="J1792" s="5" t="n">
        <v>0.002076787400932742</v>
      </c>
      <c r="K1792" s="5" t="n">
        <v>0.01430152785720263</v>
      </c>
      <c r="L1792" s="5" t="n">
        <v>0.00383992389475859</v>
      </c>
      <c r="M1792" s="5">
        <f>SUMPRODUCT(Exposures!$B$6:$K$6,B1792:K1792)</f>
        <v/>
      </c>
      <c r="N1792" s="5">
        <f>IF(AND($A1792&gt;=DATE(2020,2,1),$A1792&lt;=DATE(2020,5,31)),$M1792,"")</f>
        <v/>
      </c>
      <c r="O1792" s="5">
        <f>IF(AND($A1792&gt;=DATE(2022,1,1),$A1792&lt;=DATE(2022,10,31)),$M1792,"")</f>
        <v/>
      </c>
      <c r="P1792" s="5">
        <f>IF(AND($A1792&gt;=DATE(2018,10,1),$A1792&lt;=DATE(2018,12,31)),$M1792,"")</f>
        <v/>
      </c>
      <c r="Q1792" s="5">
        <f>SUMPRODUCT(Exposures!$B$8:$K$8,B1792:K1792)</f>
        <v/>
      </c>
      <c r="R1792" s="5">
        <f>SUMPRODUCT(Exposures!$B$9:$K$9,B1792:K1792)</f>
        <v/>
      </c>
      <c r="S1792" s="5">
        <f>SUMPRODUCT(Exposures!$B$10:$K$10,B1792:K1792)</f>
        <v/>
      </c>
    </row>
    <row r="1793">
      <c r="A1793" s="1" t="n">
        <v>45058</v>
      </c>
      <c r="B1793" s="5" t="n">
        <v>-0.001368769209859535</v>
      </c>
      <c r="C1793" s="5" t="n">
        <v>0.002387695608755673</v>
      </c>
      <c r="D1793" s="5" t="n">
        <v>-0.002920353011278166</v>
      </c>
      <c r="E1793" s="5" t="n">
        <v>0.0004104999806551809</v>
      </c>
      <c r="F1793" s="5" t="n">
        <v>-0.002880228495265304</v>
      </c>
      <c r="G1793" s="5" t="n">
        <v>-0.004201937724176246</v>
      </c>
      <c r="H1793" s="5" t="n">
        <v>0.004720209759105838</v>
      </c>
      <c r="I1793" s="5" t="n">
        <v>0.0002058335044891049</v>
      </c>
      <c r="J1793" s="5" t="n">
        <v>-0.004215169137714643</v>
      </c>
      <c r="K1793" s="5" t="n">
        <v>0.0009568952229018112</v>
      </c>
      <c r="L1793" s="5" t="n">
        <v>-0.001761458201823292</v>
      </c>
      <c r="M1793" s="5">
        <f>SUMPRODUCT(Exposures!$B$6:$K$6,B1793:K1793)</f>
        <v/>
      </c>
      <c r="N1793" s="5">
        <f>IF(AND($A1793&gt;=DATE(2020,2,1),$A1793&lt;=DATE(2020,5,31)),$M1793,"")</f>
        <v/>
      </c>
      <c r="O1793" s="5">
        <f>IF(AND($A1793&gt;=DATE(2022,1,1),$A1793&lt;=DATE(2022,10,31)),$M1793,"")</f>
        <v/>
      </c>
      <c r="P1793" s="5">
        <f>IF(AND($A1793&gt;=DATE(2018,10,1),$A1793&lt;=DATE(2018,12,31)),$M1793,"")</f>
        <v/>
      </c>
      <c r="Q1793" s="5">
        <f>SUMPRODUCT(Exposures!$B$8:$K$8,B1793:K1793)</f>
        <v/>
      </c>
      <c r="R1793" s="5">
        <f>SUMPRODUCT(Exposures!$B$9:$K$9,B1793:K1793)</f>
        <v/>
      </c>
      <c r="S1793" s="5">
        <f>SUMPRODUCT(Exposures!$B$10:$K$10,B1793:K1793)</f>
        <v/>
      </c>
    </row>
    <row r="1794">
      <c r="A1794" s="1" t="n">
        <v>45061</v>
      </c>
      <c r="B1794" s="5" t="n">
        <v>0.009345241627844444</v>
      </c>
      <c r="C1794" s="5" t="n">
        <v>0.002307753550702334</v>
      </c>
      <c r="D1794" s="5" t="n">
        <v>-0.0009736152663292654</v>
      </c>
      <c r="E1794" s="5" t="n">
        <v>0.00030745246147793</v>
      </c>
      <c r="F1794" s="5" t="n">
        <v>-0.002692908414762647</v>
      </c>
      <c r="G1794" s="5" t="n">
        <v>0.01309026187773175</v>
      </c>
      <c r="H1794" s="5" t="n">
        <v>0.001653959402661219</v>
      </c>
      <c r="I1794" s="5" t="n">
        <v>0.001505808182759873</v>
      </c>
      <c r="J1794" s="5" t="n">
        <v>0.006037902545005355</v>
      </c>
      <c r="K1794" s="5" t="n">
        <v>0.0002371568714126318</v>
      </c>
      <c r="L1794" s="5" t="n">
        <v>0.002282579450265625</v>
      </c>
      <c r="M1794" s="5">
        <f>SUMPRODUCT(Exposures!$B$6:$K$6,B1794:K1794)</f>
        <v/>
      </c>
      <c r="N1794" s="5">
        <f>IF(AND($A1794&gt;=DATE(2020,2,1),$A1794&lt;=DATE(2020,5,31)),$M1794,"")</f>
        <v/>
      </c>
      <c r="O1794" s="5">
        <f>IF(AND($A1794&gt;=DATE(2022,1,1),$A1794&lt;=DATE(2022,10,31)),$M1794,"")</f>
        <v/>
      </c>
      <c r="P1794" s="5">
        <f>IF(AND($A1794&gt;=DATE(2018,10,1),$A1794&lt;=DATE(2018,12,31)),$M1794,"")</f>
        <v/>
      </c>
      <c r="Q1794" s="5">
        <f>SUMPRODUCT(Exposures!$B$8:$K$8,B1794:K1794)</f>
        <v/>
      </c>
      <c r="R1794" s="5">
        <f>SUMPRODUCT(Exposures!$B$9:$K$9,B1794:K1794)</f>
        <v/>
      </c>
      <c r="S1794" s="5">
        <f>SUMPRODUCT(Exposures!$B$10:$K$10,B1794:K1794)</f>
        <v/>
      </c>
    </row>
    <row r="1795">
      <c r="A1795" s="1" t="n">
        <v>45062</v>
      </c>
      <c r="B1795" s="5" t="n">
        <v>0.00438214460021945</v>
      </c>
      <c r="C1795" s="5" t="n">
        <v>-8.834795836479689e-05</v>
      </c>
      <c r="D1795" s="5" t="n">
        <v>-0.001617920503725373</v>
      </c>
      <c r="E1795" s="5" t="n">
        <v>-0.003950508453232265</v>
      </c>
      <c r="F1795" s="5" t="n">
        <v>-0.002815012368390127</v>
      </c>
      <c r="G1795" s="5" t="n">
        <v>-0.01487160722012074</v>
      </c>
      <c r="H1795" s="5" t="n">
        <v>0.0006571468941532438</v>
      </c>
      <c r="I1795" s="5" t="n">
        <v>0.002446996908361033</v>
      </c>
      <c r="J1795" s="5" t="n">
        <v>-0.005355897374321784</v>
      </c>
      <c r="K1795" s="5" t="n">
        <v>0.00656072816530065</v>
      </c>
      <c r="L1795" s="5" t="n">
        <v>0.001632236980509587</v>
      </c>
      <c r="M1795" s="5">
        <f>SUMPRODUCT(Exposures!$B$6:$K$6,B1795:K1795)</f>
        <v/>
      </c>
      <c r="N1795" s="5">
        <f>IF(AND($A1795&gt;=DATE(2020,2,1),$A1795&lt;=DATE(2020,5,31)),$M1795,"")</f>
        <v/>
      </c>
      <c r="O1795" s="5">
        <f>IF(AND($A1795&gt;=DATE(2022,1,1),$A1795&lt;=DATE(2022,10,31)),$M1795,"")</f>
        <v/>
      </c>
      <c r="P1795" s="5">
        <f>IF(AND($A1795&gt;=DATE(2018,10,1),$A1795&lt;=DATE(2018,12,31)),$M1795,"")</f>
        <v/>
      </c>
      <c r="Q1795" s="5">
        <f>SUMPRODUCT(Exposures!$B$8:$K$8,B1795:K1795)</f>
        <v/>
      </c>
      <c r="R1795" s="5">
        <f>SUMPRODUCT(Exposures!$B$9:$K$9,B1795:K1795)</f>
        <v/>
      </c>
      <c r="S1795" s="5">
        <f>SUMPRODUCT(Exposures!$B$10:$K$10,B1795:K1795)</f>
        <v/>
      </c>
    </row>
    <row r="1796">
      <c r="A1796" s="1" t="n">
        <v>45063</v>
      </c>
      <c r="B1796" s="5" t="n">
        <v>0.01075364922079625</v>
      </c>
      <c r="C1796" s="5" t="n">
        <v>0.0004187496448098663</v>
      </c>
      <c r="D1796" s="5" t="n">
        <v>-0.001911361115105827</v>
      </c>
      <c r="E1796" s="5" t="n">
        <v>0.00194350976927243</v>
      </c>
      <c r="F1796" s="5" t="n">
        <v>0.001236123243672402</v>
      </c>
      <c r="G1796" s="5" t="n">
        <v>0.02045951915330498</v>
      </c>
      <c r="H1796" s="5" t="n">
        <v>-0.003379961213859586</v>
      </c>
      <c r="I1796" s="5" t="n">
        <v>0.003492520043003261</v>
      </c>
      <c r="J1796" s="5" t="n">
        <v>-0.0004588406181730547</v>
      </c>
      <c r="K1796" s="5" t="n">
        <v>-0.005308017430565934</v>
      </c>
      <c r="L1796" s="5" t="n">
        <v>0.004493849704573772</v>
      </c>
      <c r="M1796" s="5">
        <f>SUMPRODUCT(Exposures!$B$6:$K$6,B1796:K1796)</f>
        <v/>
      </c>
      <c r="N1796" s="5">
        <f>IF(AND($A1796&gt;=DATE(2020,2,1),$A1796&lt;=DATE(2020,5,31)),$M1796,"")</f>
        <v/>
      </c>
      <c r="O1796" s="5">
        <f>IF(AND($A1796&gt;=DATE(2022,1,1),$A1796&lt;=DATE(2022,10,31)),$M1796,"")</f>
        <v/>
      </c>
      <c r="P1796" s="5">
        <f>IF(AND($A1796&gt;=DATE(2018,10,1),$A1796&lt;=DATE(2018,12,31)),$M1796,"")</f>
        <v/>
      </c>
      <c r="Q1796" s="5">
        <f>SUMPRODUCT(Exposures!$B$8:$K$8,B1796:K1796)</f>
        <v/>
      </c>
      <c r="R1796" s="5">
        <f>SUMPRODUCT(Exposures!$B$9:$K$9,B1796:K1796)</f>
        <v/>
      </c>
      <c r="S1796" s="5">
        <f>SUMPRODUCT(Exposures!$B$10:$K$10,B1796:K1796)</f>
        <v/>
      </c>
    </row>
    <row r="1797">
      <c r="A1797" s="1" t="n">
        <v>45064</v>
      </c>
      <c r="B1797" s="5" t="n">
        <v>0.01266279634923528</v>
      </c>
      <c r="C1797" s="5" t="n">
        <v>-0.0006021269516846579</v>
      </c>
      <c r="D1797" s="5" t="n">
        <v>-0.001852296189030712</v>
      </c>
      <c r="E1797" s="5" t="n">
        <v>-4.048538850511647e-05</v>
      </c>
      <c r="F1797" s="5" t="n">
        <v>0.009270756507345063</v>
      </c>
      <c r="G1797" s="5" t="n">
        <v>0.005786968364024119</v>
      </c>
      <c r="H1797" s="5" t="n">
        <v>-0.0004545114990997018</v>
      </c>
      <c r="I1797" s="5" t="n">
        <v>0.001808268442247241</v>
      </c>
      <c r="J1797" s="5" t="n">
        <v>-0.01155782872552602</v>
      </c>
      <c r="K1797" s="5" t="n">
        <v>-0.01435095801950428</v>
      </c>
      <c r="L1797" s="5" t="n">
        <v>-0.002922029324145896</v>
      </c>
      <c r="M1797" s="5">
        <f>SUMPRODUCT(Exposures!$B$6:$K$6,B1797:K1797)</f>
        <v/>
      </c>
      <c r="N1797" s="5">
        <f>IF(AND($A1797&gt;=DATE(2020,2,1),$A1797&lt;=DATE(2020,5,31)),$M1797,"")</f>
        <v/>
      </c>
      <c r="O1797" s="5">
        <f>IF(AND($A1797&gt;=DATE(2022,1,1),$A1797&lt;=DATE(2022,10,31)),$M1797,"")</f>
        <v/>
      </c>
      <c r="P1797" s="5">
        <f>IF(AND($A1797&gt;=DATE(2018,10,1),$A1797&lt;=DATE(2018,12,31)),$M1797,"")</f>
        <v/>
      </c>
      <c r="Q1797" s="5">
        <f>SUMPRODUCT(Exposures!$B$8:$K$8,B1797:K1797)</f>
        <v/>
      </c>
      <c r="R1797" s="5">
        <f>SUMPRODUCT(Exposures!$B$9:$K$9,B1797:K1797)</f>
        <v/>
      </c>
      <c r="S1797" s="5">
        <f>SUMPRODUCT(Exposures!$B$10:$K$10,B1797:K1797)</f>
        <v/>
      </c>
    </row>
    <row r="1798">
      <c r="A1798" s="1" t="n">
        <v>45065</v>
      </c>
      <c r="B1798" s="5" t="n">
        <v>-0.003195032066988057</v>
      </c>
      <c r="C1798" s="5" t="n">
        <v>-0.004152417577161335</v>
      </c>
      <c r="D1798" s="5" t="n">
        <v>-0.0004375284237616076</v>
      </c>
      <c r="E1798" s="5" t="n">
        <v>-0.000608677435148581</v>
      </c>
      <c r="F1798" s="5" t="n">
        <v>-0.00549793478700079</v>
      </c>
      <c r="G1798" s="5" t="n">
        <v>-0.00587348955330932</v>
      </c>
      <c r="H1798" s="5" t="n">
        <v>0.001808279955229357</v>
      </c>
      <c r="I1798" s="5" t="n">
        <v>0.001278729582926872</v>
      </c>
      <c r="J1798" s="5" t="n">
        <v>-0.004277116776533742</v>
      </c>
      <c r="K1798" s="5" t="n">
        <v>0.004596987332553102</v>
      </c>
      <c r="L1798" s="5" t="n">
        <v>-0.0004125456859671892</v>
      </c>
      <c r="M1798" s="5">
        <f>SUMPRODUCT(Exposures!$B$6:$K$6,B1798:K1798)</f>
        <v/>
      </c>
      <c r="N1798" s="5">
        <f>IF(AND($A1798&gt;=DATE(2020,2,1),$A1798&lt;=DATE(2020,5,31)),$M1798,"")</f>
        <v/>
      </c>
      <c r="O1798" s="5">
        <f>IF(AND($A1798&gt;=DATE(2022,1,1),$A1798&lt;=DATE(2022,10,31)),$M1798,"")</f>
        <v/>
      </c>
      <c r="P1798" s="5">
        <f>IF(AND($A1798&gt;=DATE(2018,10,1),$A1798&lt;=DATE(2018,12,31)),$M1798,"")</f>
        <v/>
      </c>
      <c r="Q1798" s="5">
        <f>SUMPRODUCT(Exposures!$B$8:$K$8,B1798:K1798)</f>
        <v/>
      </c>
      <c r="R1798" s="5">
        <f>SUMPRODUCT(Exposures!$B$9:$K$9,B1798:K1798)</f>
        <v/>
      </c>
      <c r="S1798" s="5">
        <f>SUMPRODUCT(Exposures!$B$10:$K$10,B1798:K1798)</f>
        <v/>
      </c>
    </row>
    <row r="1799">
      <c r="A1799" s="1" t="n">
        <v>45068</v>
      </c>
      <c r="B1799" s="5" t="n">
        <v>0.004914891940215143</v>
      </c>
      <c r="C1799" s="5" t="n">
        <v>-0.001207468955925794</v>
      </c>
      <c r="D1799" s="5" t="n">
        <v>0.0008429084409069902</v>
      </c>
      <c r="E1799" s="5" t="n">
        <v>0.001088066817509861</v>
      </c>
      <c r="F1799" s="5" t="n">
        <v>-0.002050047689136676</v>
      </c>
      <c r="G1799" s="5" t="n">
        <v>0.006408914439430017</v>
      </c>
      <c r="H1799" s="5" t="n">
        <v>0.0001058468600708905</v>
      </c>
      <c r="I1799" s="5" t="n">
        <v>-6.760601880728624e-05</v>
      </c>
      <c r="J1799" s="5" t="n">
        <v>0.004656942112225379</v>
      </c>
      <c r="K1799" s="5" t="n">
        <v>0.002545241676886135</v>
      </c>
      <c r="L1799" s="5" t="n">
        <v>0.003753065978302528</v>
      </c>
      <c r="M1799" s="5">
        <f>SUMPRODUCT(Exposures!$B$6:$K$6,B1799:K1799)</f>
        <v/>
      </c>
      <c r="N1799" s="5">
        <f>IF(AND($A1799&gt;=DATE(2020,2,1),$A1799&lt;=DATE(2020,5,31)),$M1799,"")</f>
        <v/>
      </c>
      <c r="O1799" s="5">
        <f>IF(AND($A1799&gt;=DATE(2022,1,1),$A1799&lt;=DATE(2022,10,31)),$M1799,"")</f>
        <v/>
      </c>
      <c r="P1799" s="5">
        <f>IF(AND($A1799&gt;=DATE(2018,10,1),$A1799&lt;=DATE(2018,12,31)),$M1799,"")</f>
        <v/>
      </c>
      <c r="Q1799" s="5">
        <f>SUMPRODUCT(Exposures!$B$8:$K$8,B1799:K1799)</f>
        <v/>
      </c>
      <c r="R1799" s="5">
        <f>SUMPRODUCT(Exposures!$B$9:$K$9,B1799:K1799)</f>
        <v/>
      </c>
      <c r="S1799" s="5">
        <f>SUMPRODUCT(Exposures!$B$10:$K$10,B1799:K1799)</f>
        <v/>
      </c>
    </row>
    <row r="1800">
      <c r="A1800" s="1" t="n">
        <v>45069</v>
      </c>
      <c r="B1800" s="5" t="n">
        <v>-0.003094728061503184</v>
      </c>
      <c r="C1800" s="5" t="n">
        <v>0.004932199401042747</v>
      </c>
      <c r="D1800" s="5" t="n">
        <v>-0.001980388017417806</v>
      </c>
      <c r="E1800" s="5" t="n">
        <v>-0.0005167171059721079</v>
      </c>
      <c r="F1800" s="5" t="n">
        <v>0.003699815424189591</v>
      </c>
      <c r="G1800" s="5" t="n">
        <v>-0.008830914781695879</v>
      </c>
      <c r="H1800" s="5" t="n">
        <v>-0.003892386173686648</v>
      </c>
      <c r="I1800" s="5" t="n">
        <v>0.001761267038513345</v>
      </c>
      <c r="J1800" s="5" t="n">
        <v>-0.001645096873247914</v>
      </c>
      <c r="K1800" s="5" t="n">
        <v>-0.006043603565617768</v>
      </c>
      <c r="L1800" s="5" t="n">
        <v>0.002143433153772701</v>
      </c>
      <c r="M1800" s="5">
        <f>SUMPRODUCT(Exposures!$B$6:$K$6,B1800:K1800)</f>
        <v/>
      </c>
      <c r="N1800" s="5">
        <f>IF(AND($A1800&gt;=DATE(2020,2,1),$A1800&lt;=DATE(2020,5,31)),$M1800,"")</f>
        <v/>
      </c>
      <c r="O1800" s="5">
        <f>IF(AND($A1800&gt;=DATE(2022,1,1),$A1800&lt;=DATE(2022,10,31)),$M1800,"")</f>
        <v/>
      </c>
      <c r="P1800" s="5">
        <f>IF(AND($A1800&gt;=DATE(2018,10,1),$A1800&lt;=DATE(2018,12,31)),$M1800,"")</f>
        <v/>
      </c>
      <c r="Q1800" s="5">
        <f>SUMPRODUCT(Exposures!$B$8:$K$8,B1800:K1800)</f>
        <v/>
      </c>
      <c r="R1800" s="5">
        <f>SUMPRODUCT(Exposures!$B$9:$K$9,B1800:K1800)</f>
        <v/>
      </c>
      <c r="S1800" s="5">
        <f>SUMPRODUCT(Exposures!$B$10:$K$10,B1800:K1800)</f>
        <v/>
      </c>
    </row>
    <row r="1801">
      <c r="A1801" s="1" t="n">
        <v>45070</v>
      </c>
      <c r="B1801" s="5" t="n">
        <v>-0.001420766631893645</v>
      </c>
      <c r="C1801" s="5" t="n">
        <v>0.002099910629767851</v>
      </c>
      <c r="D1801" s="5" t="n">
        <v>-0.0008558981775560133</v>
      </c>
      <c r="E1801" s="5" t="n">
        <v>-0.0002369646102843733</v>
      </c>
      <c r="F1801" s="5" t="n">
        <v>0.003509424719112916</v>
      </c>
      <c r="G1801" s="5" t="n">
        <v>-0.01164588167096671</v>
      </c>
      <c r="H1801" s="5" t="n">
        <v>-0.0002426034290957854</v>
      </c>
      <c r="I1801" s="5" t="n">
        <v>-6.135238537086847e-05</v>
      </c>
      <c r="J1801" s="5" t="n">
        <v>0.00209492862701663</v>
      </c>
      <c r="K1801" s="5" t="n">
        <v>-0.003376022480822475</v>
      </c>
      <c r="L1801" s="5" t="n">
        <v>-0.002494967574258606</v>
      </c>
      <c r="M1801" s="5">
        <f>SUMPRODUCT(Exposures!$B$6:$K$6,B1801:K1801)</f>
        <v/>
      </c>
      <c r="N1801" s="5">
        <f>IF(AND($A1801&gt;=DATE(2020,2,1),$A1801&lt;=DATE(2020,5,31)),$M1801,"")</f>
        <v/>
      </c>
      <c r="O1801" s="5">
        <f>IF(AND($A1801&gt;=DATE(2022,1,1),$A1801&lt;=DATE(2022,10,31)),$M1801,"")</f>
        <v/>
      </c>
      <c r="P1801" s="5">
        <f>IF(AND($A1801&gt;=DATE(2018,10,1),$A1801&lt;=DATE(2018,12,31)),$M1801,"")</f>
        <v/>
      </c>
      <c r="Q1801" s="5">
        <f>SUMPRODUCT(Exposures!$B$8:$K$8,B1801:K1801)</f>
        <v/>
      </c>
      <c r="R1801" s="5">
        <f>SUMPRODUCT(Exposures!$B$9:$K$9,B1801:K1801)</f>
        <v/>
      </c>
      <c r="S1801" s="5">
        <f>SUMPRODUCT(Exposures!$B$10:$K$10,B1801:K1801)</f>
        <v/>
      </c>
    </row>
    <row r="1802">
      <c r="A1802" s="1" t="n">
        <v>45071</v>
      </c>
      <c r="B1802" s="5" t="n">
        <v>0.01481576144561184</v>
      </c>
      <c r="C1802" s="5" t="n">
        <v>-0.0004562744526568213</v>
      </c>
      <c r="D1802" s="5" t="n">
        <v>0.001164029012261274</v>
      </c>
      <c r="E1802" s="5" t="n">
        <v>-0.005503437486297427</v>
      </c>
      <c r="F1802" s="5" t="n">
        <v>0.00543625300402223</v>
      </c>
      <c r="G1802" s="5" t="n">
        <v>-0.004948285784934301</v>
      </c>
      <c r="H1802" s="5" t="n">
        <v>0.008417619209485361</v>
      </c>
      <c r="I1802" s="5" t="n">
        <v>0.003407697641497442</v>
      </c>
      <c r="J1802" s="5" t="n">
        <v>-0.01634697174356005</v>
      </c>
      <c r="K1802" s="5" t="n">
        <v>-0.006971094084360177</v>
      </c>
      <c r="L1802" s="5" t="n">
        <v>-0.001128277596973026</v>
      </c>
      <c r="M1802" s="5">
        <f>SUMPRODUCT(Exposures!$B$6:$K$6,B1802:K1802)</f>
        <v/>
      </c>
      <c r="N1802" s="5">
        <f>IF(AND($A1802&gt;=DATE(2020,2,1),$A1802&lt;=DATE(2020,5,31)),$M1802,"")</f>
        <v/>
      </c>
      <c r="O1802" s="5">
        <f>IF(AND($A1802&gt;=DATE(2022,1,1),$A1802&lt;=DATE(2022,10,31)),$M1802,"")</f>
        <v/>
      </c>
      <c r="P1802" s="5">
        <f>IF(AND($A1802&gt;=DATE(2018,10,1),$A1802&lt;=DATE(2018,12,31)),$M1802,"")</f>
        <v/>
      </c>
      <c r="Q1802" s="5">
        <f>SUMPRODUCT(Exposures!$B$8:$K$8,B1802:K1802)</f>
        <v/>
      </c>
      <c r="R1802" s="5">
        <f>SUMPRODUCT(Exposures!$B$9:$K$9,B1802:K1802)</f>
        <v/>
      </c>
      <c r="S1802" s="5">
        <f>SUMPRODUCT(Exposures!$B$10:$K$10,B1802:K1802)</f>
        <v/>
      </c>
    </row>
    <row r="1803">
      <c r="A1803" s="1" t="n">
        <v>45072</v>
      </c>
      <c r="B1803" s="5" t="n">
        <v>0.00988385740937754</v>
      </c>
      <c r="C1803" s="5" t="n">
        <v>-0.0005689881536732884</v>
      </c>
      <c r="D1803" s="5" t="n">
        <v>0.0006860802154610048</v>
      </c>
      <c r="E1803" s="5" t="n">
        <v>-0.001492383435122477</v>
      </c>
      <c r="F1803" s="5" t="n">
        <v>0.002337339523078755</v>
      </c>
      <c r="G1803" s="5" t="n">
        <v>0.009959178316157889</v>
      </c>
      <c r="H1803" s="5" t="n">
        <v>0.001677833064277293</v>
      </c>
      <c r="I1803" s="5" t="n">
        <v>0.001769668467311539</v>
      </c>
      <c r="J1803" s="5" t="n">
        <v>-0.002433699494332766</v>
      </c>
      <c r="K1803" s="5" t="n">
        <v>-0.0008348174267920833</v>
      </c>
      <c r="L1803" s="5" t="n">
        <v>0.002635545907808098</v>
      </c>
      <c r="M1803" s="5">
        <f>SUMPRODUCT(Exposures!$B$6:$K$6,B1803:K1803)</f>
        <v/>
      </c>
      <c r="N1803" s="5">
        <f>IF(AND($A1803&gt;=DATE(2020,2,1),$A1803&lt;=DATE(2020,5,31)),$M1803,"")</f>
        <v/>
      </c>
      <c r="O1803" s="5">
        <f>IF(AND($A1803&gt;=DATE(2022,1,1),$A1803&lt;=DATE(2022,10,31)),$M1803,"")</f>
        <v/>
      </c>
      <c r="P1803" s="5">
        <f>IF(AND($A1803&gt;=DATE(2018,10,1),$A1803&lt;=DATE(2018,12,31)),$M1803,"")</f>
        <v/>
      </c>
      <c r="Q1803" s="5">
        <f>SUMPRODUCT(Exposures!$B$8:$K$8,B1803:K1803)</f>
        <v/>
      </c>
      <c r="R1803" s="5">
        <f>SUMPRODUCT(Exposures!$B$9:$K$9,B1803:K1803)</f>
        <v/>
      </c>
      <c r="S1803" s="5">
        <f>SUMPRODUCT(Exposures!$B$10:$K$10,B1803:K1803)</f>
        <v/>
      </c>
    </row>
    <row r="1804">
      <c r="A1804" s="1" t="n">
        <v>45076</v>
      </c>
      <c r="B1804" s="5" t="n">
        <v>0.005450725821115488</v>
      </c>
      <c r="C1804" s="5" t="n">
        <v>-0.0006069643743663746</v>
      </c>
      <c r="D1804" s="5" t="n">
        <v>0.001629119869830016</v>
      </c>
      <c r="E1804" s="5" t="n">
        <v>0.0006540681902214965</v>
      </c>
      <c r="F1804" s="5" t="n">
        <v>0.001053683952215461</v>
      </c>
      <c r="G1804" s="5" t="n">
        <v>-0.001334292001230704</v>
      </c>
      <c r="H1804" s="5" t="n">
        <v>-0.001171279898507091</v>
      </c>
      <c r="I1804" s="5" t="n">
        <v>0.001437842969747105</v>
      </c>
      <c r="J1804" s="5" t="n">
        <v>-0.006215693865100504</v>
      </c>
      <c r="K1804" s="5" t="n">
        <v>-0.00455881295074148</v>
      </c>
      <c r="L1804" s="5" t="n">
        <v>6.056237633526613e-05</v>
      </c>
      <c r="M1804" s="5">
        <f>SUMPRODUCT(Exposures!$B$6:$K$6,B1804:K1804)</f>
        <v/>
      </c>
      <c r="N1804" s="5">
        <f>IF(AND($A1804&gt;=DATE(2020,2,1),$A1804&lt;=DATE(2020,5,31)),$M1804,"")</f>
        <v/>
      </c>
      <c r="O1804" s="5">
        <f>IF(AND($A1804&gt;=DATE(2022,1,1),$A1804&lt;=DATE(2022,10,31)),$M1804,"")</f>
        <v/>
      </c>
      <c r="P1804" s="5">
        <f>IF(AND($A1804&gt;=DATE(2018,10,1),$A1804&lt;=DATE(2018,12,31)),$M1804,"")</f>
        <v/>
      </c>
      <c r="Q1804" s="5">
        <f>SUMPRODUCT(Exposures!$B$8:$K$8,B1804:K1804)</f>
        <v/>
      </c>
      <c r="R1804" s="5">
        <f>SUMPRODUCT(Exposures!$B$9:$K$9,B1804:K1804)</f>
        <v/>
      </c>
      <c r="S1804" s="5">
        <f>SUMPRODUCT(Exposures!$B$10:$K$10,B1804:K1804)</f>
        <v/>
      </c>
    </row>
    <row r="1805">
      <c r="A1805" s="1" t="n">
        <v>45077</v>
      </c>
      <c r="B1805" s="5" t="n">
        <v>-0.004805954406757026</v>
      </c>
      <c r="C1805" s="5" t="n">
        <v>-0.007505079808533016</v>
      </c>
      <c r="D1805" s="5" t="n">
        <v>0.005636068916189237</v>
      </c>
      <c r="E1805" s="5" t="n">
        <v>5.815170568814984e-06</v>
      </c>
      <c r="F1805" s="5" t="n">
        <v>-0.006406772884147803</v>
      </c>
      <c r="G1805" s="5" t="n">
        <v>-0.00653722941002305</v>
      </c>
      <c r="H1805" s="5" t="n">
        <v>0.0001095435347214966</v>
      </c>
      <c r="I1805" s="5" t="n">
        <v>0.0005380745578814145</v>
      </c>
      <c r="J1805" s="5" t="n">
        <v>0.003755009684791836</v>
      </c>
      <c r="K1805" s="5" t="n">
        <v>0.008145490980079367</v>
      </c>
      <c r="L1805" s="5" t="n">
        <v>-0.0002549726354056314</v>
      </c>
      <c r="M1805" s="5">
        <f>SUMPRODUCT(Exposures!$B$6:$K$6,B1805:K1805)</f>
        <v/>
      </c>
      <c r="N1805" s="5">
        <f>IF(AND($A1805&gt;=DATE(2020,2,1),$A1805&lt;=DATE(2020,5,31)),$M1805,"")</f>
        <v/>
      </c>
      <c r="O1805" s="5">
        <f>IF(AND($A1805&gt;=DATE(2022,1,1),$A1805&lt;=DATE(2022,10,31)),$M1805,"")</f>
        <v/>
      </c>
      <c r="P1805" s="5">
        <f>IF(AND($A1805&gt;=DATE(2018,10,1),$A1805&lt;=DATE(2018,12,31)),$M1805,"")</f>
        <v/>
      </c>
      <c r="Q1805" s="5">
        <f>SUMPRODUCT(Exposures!$B$8:$K$8,B1805:K1805)</f>
        <v/>
      </c>
      <c r="R1805" s="5">
        <f>SUMPRODUCT(Exposures!$B$9:$K$9,B1805:K1805)</f>
        <v/>
      </c>
      <c r="S1805" s="5">
        <f>SUMPRODUCT(Exposures!$B$10:$K$10,B1805:K1805)</f>
        <v/>
      </c>
    </row>
    <row r="1806">
      <c r="A1806" s="1" t="n">
        <v>45078</v>
      </c>
      <c r="B1806" s="5" t="n">
        <v>0.004012202260771185</v>
      </c>
      <c r="C1806" s="5" t="n">
        <v>-0.00170863950116522</v>
      </c>
      <c r="D1806" s="5" t="n">
        <v>0.002892450068373039</v>
      </c>
      <c r="E1806" s="5" t="n">
        <v>0.0004360441648902577</v>
      </c>
      <c r="F1806" s="5" t="n">
        <v>-0.005942038115409201</v>
      </c>
      <c r="G1806" s="5" t="n">
        <v>0.008510858224285264</v>
      </c>
      <c r="H1806" s="5" t="n">
        <v>0.001943359260726458</v>
      </c>
      <c r="I1806" s="5" t="n">
        <v>-0.001778945687345055</v>
      </c>
      <c r="J1806" s="5" t="n">
        <v>0.003790472616050296</v>
      </c>
      <c r="K1806" s="5" t="n">
        <v>0.01062456912796659</v>
      </c>
      <c r="L1806" s="5" t="n">
        <v>0.003967217796039106</v>
      </c>
      <c r="M1806" s="5">
        <f>SUMPRODUCT(Exposures!$B$6:$K$6,B1806:K1806)</f>
        <v/>
      </c>
      <c r="N1806" s="5">
        <f>IF(AND($A1806&gt;=DATE(2020,2,1),$A1806&lt;=DATE(2020,5,31)),$M1806,"")</f>
        <v/>
      </c>
      <c r="O1806" s="5">
        <f>IF(AND($A1806&gt;=DATE(2022,1,1),$A1806&lt;=DATE(2022,10,31)),$M1806,"")</f>
        <v/>
      </c>
      <c r="P1806" s="5">
        <f>IF(AND($A1806&gt;=DATE(2018,10,1),$A1806&lt;=DATE(2018,12,31)),$M1806,"")</f>
        <v/>
      </c>
      <c r="Q1806" s="5">
        <f>SUMPRODUCT(Exposures!$B$8:$K$8,B1806:K1806)</f>
        <v/>
      </c>
      <c r="R1806" s="5">
        <f>SUMPRODUCT(Exposures!$B$9:$K$9,B1806:K1806)</f>
        <v/>
      </c>
      <c r="S1806" s="5">
        <f>SUMPRODUCT(Exposures!$B$10:$K$10,B1806:K1806)</f>
        <v/>
      </c>
    </row>
    <row r="1807">
      <c r="A1807" s="1" t="n">
        <v>45079</v>
      </c>
      <c r="B1807" s="5" t="n">
        <v>0.004296103144546965</v>
      </c>
      <c r="C1807" s="5" t="n">
        <v>0.006426363971065216</v>
      </c>
      <c r="D1807" s="5" t="n">
        <v>-0.001907846299417399</v>
      </c>
      <c r="E1807" s="5" t="n">
        <v>0.005096355765894427</v>
      </c>
      <c r="F1807" s="5" t="n">
        <v>-0.003249078945276872</v>
      </c>
      <c r="G1807" s="5" t="n">
        <v>0.02956714186539412</v>
      </c>
      <c r="H1807" s="5" t="n">
        <v>-0.001126679303966901</v>
      </c>
      <c r="I1807" s="5" t="n">
        <v>-0.0009555855929695299</v>
      </c>
      <c r="J1807" s="5" t="n">
        <v>0.002953483018227757</v>
      </c>
      <c r="K1807" s="5" t="n">
        <v>-0.003935156440988101</v>
      </c>
      <c r="L1807" s="5" t="n">
        <v>0.0009881098434905212</v>
      </c>
      <c r="M1807" s="5">
        <f>SUMPRODUCT(Exposures!$B$6:$K$6,B1807:K1807)</f>
        <v/>
      </c>
      <c r="N1807" s="5">
        <f>IF(AND($A1807&gt;=DATE(2020,2,1),$A1807&lt;=DATE(2020,5,31)),$M1807,"")</f>
        <v/>
      </c>
      <c r="O1807" s="5">
        <f>IF(AND($A1807&gt;=DATE(2022,1,1),$A1807&lt;=DATE(2022,10,31)),$M1807,"")</f>
        <v/>
      </c>
      <c r="P1807" s="5">
        <f>IF(AND($A1807&gt;=DATE(2018,10,1),$A1807&lt;=DATE(2018,12,31)),$M1807,"")</f>
        <v/>
      </c>
      <c r="Q1807" s="5">
        <f>SUMPRODUCT(Exposures!$B$8:$K$8,B1807:K1807)</f>
        <v/>
      </c>
      <c r="R1807" s="5">
        <f>SUMPRODUCT(Exposures!$B$9:$K$9,B1807:K1807)</f>
        <v/>
      </c>
      <c r="S1807" s="5">
        <f>SUMPRODUCT(Exposures!$B$10:$K$10,B1807:K1807)</f>
        <v/>
      </c>
    </row>
    <row r="1808">
      <c r="A1808" s="1" t="n">
        <v>45082</v>
      </c>
      <c r="B1808" s="5" t="n">
        <v>-0.002106478372778006</v>
      </c>
      <c r="C1808" s="5" t="n">
        <v>-0.00351743196042655</v>
      </c>
      <c r="D1808" s="5" t="n">
        <v>-0.001795411514361152</v>
      </c>
      <c r="E1808" s="5" t="n">
        <v>0.0006953794500625066</v>
      </c>
      <c r="F1808" s="5" t="n">
        <v>0.002109308899431172</v>
      </c>
      <c r="G1808" s="5" t="n">
        <v>-0.005767941750782847</v>
      </c>
      <c r="H1808" s="5" t="n">
        <v>-0.004181843766500932</v>
      </c>
      <c r="I1808" s="5" t="n">
        <v>0.0001690832360170728</v>
      </c>
      <c r="J1808" s="5" t="n">
        <v>0.0007952632678103909</v>
      </c>
      <c r="K1808" s="5" t="n">
        <v>0.002013315699387884</v>
      </c>
      <c r="L1808" s="5" t="n">
        <v>-0.001078250887783152</v>
      </c>
      <c r="M1808" s="5">
        <f>SUMPRODUCT(Exposures!$B$6:$K$6,B1808:K1808)</f>
        <v/>
      </c>
      <c r="N1808" s="5">
        <f>IF(AND($A1808&gt;=DATE(2020,2,1),$A1808&lt;=DATE(2020,5,31)),$M1808,"")</f>
        <v/>
      </c>
      <c r="O1808" s="5">
        <f>IF(AND($A1808&gt;=DATE(2022,1,1),$A1808&lt;=DATE(2022,10,31)),$M1808,"")</f>
        <v/>
      </c>
      <c r="P1808" s="5">
        <f>IF(AND($A1808&gt;=DATE(2018,10,1),$A1808&lt;=DATE(2018,12,31)),$M1808,"")</f>
        <v/>
      </c>
      <c r="Q1808" s="5">
        <f>SUMPRODUCT(Exposures!$B$8:$K$8,B1808:K1808)</f>
        <v/>
      </c>
      <c r="R1808" s="5">
        <f>SUMPRODUCT(Exposures!$B$9:$K$9,B1808:K1808)</f>
        <v/>
      </c>
      <c r="S1808" s="5">
        <f>SUMPRODUCT(Exposures!$B$10:$K$10,B1808:K1808)</f>
        <v/>
      </c>
    </row>
    <row r="1809">
      <c r="A1809" s="1" t="n">
        <v>45083</v>
      </c>
      <c r="B1809" s="5" t="n">
        <v>0.009392545976183204</v>
      </c>
      <c r="C1809" s="5" t="n">
        <v>0.001974766034542598</v>
      </c>
      <c r="D1809" s="5" t="n">
        <v>0.0002554682764507741</v>
      </c>
      <c r="E1809" s="5" t="n">
        <v>0.001690145381237235</v>
      </c>
      <c r="F1809" s="5" t="n">
        <v>-0.002919439753836681</v>
      </c>
      <c r="G1809" s="5" t="n">
        <v>0.01361109369244549</v>
      </c>
      <c r="H1809" s="5" t="n">
        <v>-0.0003991240111356884</v>
      </c>
      <c r="I1809" s="5" t="n">
        <v>0.001812554197327539</v>
      </c>
      <c r="J1809" s="5" t="n">
        <v>0.002757656885623151</v>
      </c>
      <c r="K1809" s="5" t="n">
        <v>-0.00181395745856104</v>
      </c>
      <c r="L1809" s="5" t="n">
        <v>0.005610770200506553</v>
      </c>
      <c r="M1809" s="5">
        <f>SUMPRODUCT(Exposures!$B$6:$K$6,B1809:K1809)</f>
        <v/>
      </c>
      <c r="N1809" s="5">
        <f>IF(AND($A1809&gt;=DATE(2020,2,1),$A1809&lt;=DATE(2020,5,31)),$M1809,"")</f>
        <v/>
      </c>
      <c r="O1809" s="5">
        <f>IF(AND($A1809&gt;=DATE(2022,1,1),$A1809&lt;=DATE(2022,10,31)),$M1809,"")</f>
        <v/>
      </c>
      <c r="P1809" s="5">
        <f>IF(AND($A1809&gt;=DATE(2018,10,1),$A1809&lt;=DATE(2018,12,31)),$M1809,"")</f>
        <v/>
      </c>
      <c r="Q1809" s="5">
        <f>SUMPRODUCT(Exposures!$B$8:$K$8,B1809:K1809)</f>
        <v/>
      </c>
      <c r="R1809" s="5">
        <f>SUMPRODUCT(Exposures!$B$9:$K$9,B1809:K1809)</f>
        <v/>
      </c>
      <c r="S1809" s="5">
        <f>SUMPRODUCT(Exposures!$B$10:$K$10,B1809:K1809)</f>
        <v/>
      </c>
    </row>
    <row r="1810">
      <c r="A1810" s="1" t="n">
        <v>45084</v>
      </c>
      <c r="B1810" s="5" t="n">
        <v>-0.001733123261792483</v>
      </c>
      <c r="C1810" s="5" t="n">
        <v>-0.002217636659824956</v>
      </c>
      <c r="D1810" s="5" t="n">
        <v>-0.005479603643100044</v>
      </c>
      <c r="E1810" s="5" t="n">
        <v>0.001671595004810146</v>
      </c>
      <c r="F1810" s="5" t="n">
        <v>-0.008674322582753236</v>
      </c>
      <c r="G1810" s="5" t="n">
        <v>0.01074089483524998</v>
      </c>
      <c r="H1810" s="5" t="n">
        <v>-0.002852816379035891</v>
      </c>
      <c r="I1810" s="5" t="n">
        <v>-0.002012430255525987</v>
      </c>
      <c r="J1810" s="5" t="n">
        <v>-1.025220363927112e-05</v>
      </c>
      <c r="K1810" s="5" t="n">
        <v>-0.0003277915878696627</v>
      </c>
      <c r="L1810" s="5" t="n">
        <v>0.004577651410172677</v>
      </c>
      <c r="M1810" s="5">
        <f>SUMPRODUCT(Exposures!$B$6:$K$6,B1810:K1810)</f>
        <v/>
      </c>
      <c r="N1810" s="5">
        <f>IF(AND($A1810&gt;=DATE(2020,2,1),$A1810&lt;=DATE(2020,5,31)),$M1810,"")</f>
        <v/>
      </c>
      <c r="O1810" s="5">
        <f>IF(AND($A1810&gt;=DATE(2022,1,1),$A1810&lt;=DATE(2022,10,31)),$M1810,"")</f>
        <v/>
      </c>
      <c r="P1810" s="5">
        <f>IF(AND($A1810&gt;=DATE(2018,10,1),$A1810&lt;=DATE(2018,12,31)),$M1810,"")</f>
        <v/>
      </c>
      <c r="Q1810" s="5">
        <f>SUMPRODUCT(Exposures!$B$8:$K$8,B1810:K1810)</f>
        <v/>
      </c>
      <c r="R1810" s="5">
        <f>SUMPRODUCT(Exposures!$B$9:$K$9,B1810:K1810)</f>
        <v/>
      </c>
      <c r="S1810" s="5">
        <f>SUMPRODUCT(Exposures!$B$10:$K$10,B1810:K1810)</f>
        <v/>
      </c>
    </row>
    <row r="1811">
      <c r="A1811" s="1" t="n">
        <v>45085</v>
      </c>
      <c r="B1811" s="5" t="n">
        <v>0.0001802997440289376</v>
      </c>
      <c r="C1811" s="5" t="n">
        <v>-0.00435578189783632</v>
      </c>
      <c r="D1811" s="5" t="n">
        <v>-0.0001441620141891865</v>
      </c>
      <c r="E1811" s="5" t="n">
        <v>-0.002080787758682039</v>
      </c>
      <c r="F1811" s="5" t="n">
        <v>0.01016197168665723</v>
      </c>
      <c r="G1811" s="5" t="n">
        <v>0.001805352141681265</v>
      </c>
      <c r="H1811" s="5" t="n">
        <v>0.001320654301514614</v>
      </c>
      <c r="I1811" s="5" t="n">
        <v>0.001609052229209627</v>
      </c>
      <c r="J1811" s="5" t="n">
        <v>0.004424079961053982</v>
      </c>
      <c r="K1811" s="5" t="n">
        <v>-0.005637668516753324</v>
      </c>
      <c r="L1811" s="5" t="n">
        <v>0.0002109145559220073</v>
      </c>
      <c r="M1811" s="5">
        <f>SUMPRODUCT(Exposures!$B$6:$K$6,B1811:K1811)</f>
        <v/>
      </c>
      <c r="N1811" s="5">
        <f>IF(AND($A1811&gt;=DATE(2020,2,1),$A1811&lt;=DATE(2020,5,31)),$M1811,"")</f>
        <v/>
      </c>
      <c r="O1811" s="5">
        <f>IF(AND($A1811&gt;=DATE(2022,1,1),$A1811&lt;=DATE(2022,10,31)),$M1811,"")</f>
        <v/>
      </c>
      <c r="P1811" s="5">
        <f>IF(AND($A1811&gt;=DATE(2018,10,1),$A1811&lt;=DATE(2018,12,31)),$M1811,"")</f>
        <v/>
      </c>
      <c r="Q1811" s="5">
        <f>SUMPRODUCT(Exposures!$B$8:$K$8,B1811:K1811)</f>
        <v/>
      </c>
      <c r="R1811" s="5">
        <f>SUMPRODUCT(Exposures!$B$9:$K$9,B1811:K1811)</f>
        <v/>
      </c>
      <c r="S1811" s="5">
        <f>SUMPRODUCT(Exposures!$B$10:$K$10,B1811:K1811)</f>
        <v/>
      </c>
    </row>
    <row r="1812">
      <c r="A1812" s="1" t="n">
        <v>45086</v>
      </c>
      <c r="B1812" s="5" t="n">
        <v>-0.0004735624206876048</v>
      </c>
      <c r="C1812" s="5" t="n">
        <v>-0.001754042728297349</v>
      </c>
      <c r="D1812" s="5" t="n">
        <v>-0.002871042041957337</v>
      </c>
      <c r="E1812" s="5" t="n">
        <v>-0.00218321285696551</v>
      </c>
      <c r="F1812" s="5" t="n">
        <v>6.704200223524087e-05</v>
      </c>
      <c r="G1812" s="5" t="n">
        <v>-0.003067196212427542</v>
      </c>
      <c r="H1812" s="5" t="n">
        <v>-0.0002068814507818025</v>
      </c>
      <c r="I1812" s="5" t="n">
        <v>0.0009075251586478665</v>
      </c>
      <c r="J1812" s="5" t="n">
        <v>-0.001228530747909436</v>
      </c>
      <c r="K1812" s="5" t="n">
        <v>0.001680292685497134</v>
      </c>
      <c r="L1812" s="5" t="n">
        <v>0.0009917252710588977</v>
      </c>
      <c r="M1812" s="5">
        <f>SUMPRODUCT(Exposures!$B$6:$K$6,B1812:K1812)</f>
        <v/>
      </c>
      <c r="N1812" s="5">
        <f>IF(AND($A1812&gt;=DATE(2020,2,1),$A1812&lt;=DATE(2020,5,31)),$M1812,"")</f>
        <v/>
      </c>
      <c r="O1812" s="5">
        <f>IF(AND($A1812&gt;=DATE(2022,1,1),$A1812&lt;=DATE(2022,10,31)),$M1812,"")</f>
        <v/>
      </c>
      <c r="P1812" s="5">
        <f>IF(AND($A1812&gt;=DATE(2018,10,1),$A1812&lt;=DATE(2018,12,31)),$M1812,"")</f>
        <v/>
      </c>
      <c r="Q1812" s="5">
        <f>SUMPRODUCT(Exposures!$B$8:$K$8,B1812:K1812)</f>
        <v/>
      </c>
      <c r="R1812" s="5">
        <f>SUMPRODUCT(Exposures!$B$9:$K$9,B1812:K1812)</f>
        <v/>
      </c>
      <c r="S1812" s="5">
        <f>SUMPRODUCT(Exposures!$B$10:$K$10,B1812:K1812)</f>
        <v/>
      </c>
    </row>
    <row r="1813">
      <c r="A1813" s="1" t="n">
        <v>45089</v>
      </c>
      <c r="B1813" s="5" t="n">
        <v>0.006805366280474442</v>
      </c>
      <c r="C1813" s="5" t="n">
        <v>0.0004497078478847432</v>
      </c>
      <c r="D1813" s="5" t="n">
        <v>-0.0004842882627639086</v>
      </c>
      <c r="E1813" s="5" t="n">
        <v>-0.004493491088233699</v>
      </c>
      <c r="F1813" s="5" t="n">
        <v>0.008619344914985812</v>
      </c>
      <c r="G1813" s="5" t="n">
        <v>0.008694360447858785</v>
      </c>
      <c r="H1813" s="5" t="n">
        <v>-0.002394229647692873</v>
      </c>
      <c r="I1813" s="5" t="n">
        <v>0.001091074484573847</v>
      </c>
      <c r="J1813" s="5" t="n">
        <v>-9.934176964655978e-05</v>
      </c>
      <c r="K1813" s="5" t="n">
        <v>-0.008589483192148086</v>
      </c>
      <c r="L1813" s="5" t="n">
        <v>-0.00578450287089101</v>
      </c>
      <c r="M1813" s="5">
        <f>SUMPRODUCT(Exposures!$B$6:$K$6,B1813:K1813)</f>
        <v/>
      </c>
      <c r="N1813" s="5">
        <f>IF(AND($A1813&gt;=DATE(2020,2,1),$A1813&lt;=DATE(2020,5,31)),$M1813,"")</f>
        <v/>
      </c>
      <c r="O1813" s="5">
        <f>IF(AND($A1813&gt;=DATE(2022,1,1),$A1813&lt;=DATE(2022,10,31)),$M1813,"")</f>
        <v/>
      </c>
      <c r="P1813" s="5">
        <f>IF(AND($A1813&gt;=DATE(2018,10,1),$A1813&lt;=DATE(2018,12,31)),$M1813,"")</f>
        <v/>
      </c>
      <c r="Q1813" s="5">
        <f>SUMPRODUCT(Exposures!$B$8:$K$8,B1813:K1813)</f>
        <v/>
      </c>
      <c r="R1813" s="5">
        <f>SUMPRODUCT(Exposures!$B$9:$K$9,B1813:K1813)</f>
        <v/>
      </c>
      <c r="S1813" s="5">
        <f>SUMPRODUCT(Exposures!$B$10:$K$10,B1813:K1813)</f>
        <v/>
      </c>
    </row>
    <row r="1814">
      <c r="A1814" s="1" t="n">
        <v>45090</v>
      </c>
      <c r="B1814" s="5" t="n">
        <v>0.002387058584694414</v>
      </c>
      <c r="C1814" s="5" t="n">
        <v>0.0009617114389363645</v>
      </c>
      <c r="D1814" s="5" t="n">
        <v>0.0005246835820766768</v>
      </c>
      <c r="E1814" s="5" t="n">
        <v>0.003306623253626197</v>
      </c>
      <c r="F1814" s="5" t="n">
        <v>-0.002747920617327876</v>
      </c>
      <c r="G1814" s="5" t="n">
        <v>0.01028444778033829</v>
      </c>
      <c r="H1814" s="5" t="n">
        <v>-0.00108775684627089</v>
      </c>
      <c r="I1814" s="5" t="n">
        <v>-0.001861171439858713</v>
      </c>
      <c r="J1814" s="5" t="n">
        <v>0.002517979403682413</v>
      </c>
      <c r="K1814" s="5" t="n">
        <v>0.001910422115696997</v>
      </c>
      <c r="L1814" s="5" t="n">
        <v>0.0002697843791039695</v>
      </c>
      <c r="M1814" s="5">
        <f>SUMPRODUCT(Exposures!$B$6:$K$6,B1814:K1814)</f>
        <v/>
      </c>
      <c r="N1814" s="5">
        <f>IF(AND($A1814&gt;=DATE(2020,2,1),$A1814&lt;=DATE(2020,5,31)),$M1814,"")</f>
        <v/>
      </c>
      <c r="O1814" s="5">
        <f>IF(AND($A1814&gt;=DATE(2022,1,1),$A1814&lt;=DATE(2022,10,31)),$M1814,"")</f>
        <v/>
      </c>
      <c r="P1814" s="5">
        <f>IF(AND($A1814&gt;=DATE(2018,10,1),$A1814&lt;=DATE(2018,12,31)),$M1814,"")</f>
        <v/>
      </c>
      <c r="Q1814" s="5">
        <f>SUMPRODUCT(Exposures!$B$8:$K$8,B1814:K1814)</f>
        <v/>
      </c>
      <c r="R1814" s="5">
        <f>SUMPRODUCT(Exposures!$B$9:$K$9,B1814:K1814)</f>
        <v/>
      </c>
      <c r="S1814" s="5">
        <f>SUMPRODUCT(Exposures!$B$10:$K$10,B1814:K1814)</f>
        <v/>
      </c>
    </row>
    <row r="1815">
      <c r="A1815" s="1" t="n">
        <v>45091</v>
      </c>
      <c r="B1815" s="5" t="n">
        <v>0.001081354857572383</v>
      </c>
      <c r="C1815" s="5" t="n">
        <v>0.001110446471300258</v>
      </c>
      <c r="D1815" s="5" t="n">
        <v>0.001809919570641687</v>
      </c>
      <c r="E1815" s="5" t="n">
        <v>-0.002296011913197445</v>
      </c>
      <c r="F1815" s="5" t="n">
        <v>-0.004064566570583972</v>
      </c>
      <c r="G1815" s="5" t="n">
        <v>-0.007757765314900859</v>
      </c>
      <c r="H1815" s="5" t="n">
        <v>0.001530241042577882</v>
      </c>
      <c r="I1815" s="5" t="n">
        <v>-0.002155249032423265</v>
      </c>
      <c r="J1815" s="5" t="n">
        <v>-0.003628222706073329</v>
      </c>
      <c r="K1815" s="5" t="n">
        <v>0.006991304179274872</v>
      </c>
      <c r="L1815" s="5" t="n">
        <v>-0.0005799824787063926</v>
      </c>
      <c r="M1815" s="5">
        <f>SUMPRODUCT(Exposures!$B$6:$K$6,B1815:K1815)</f>
        <v/>
      </c>
      <c r="N1815" s="5">
        <f>IF(AND($A1815&gt;=DATE(2020,2,1),$A1815&lt;=DATE(2020,5,31)),$M1815,"")</f>
        <v/>
      </c>
      <c r="O1815" s="5">
        <f>IF(AND($A1815&gt;=DATE(2022,1,1),$A1815&lt;=DATE(2022,10,31)),$M1815,"")</f>
        <v/>
      </c>
      <c r="P1815" s="5">
        <f>IF(AND($A1815&gt;=DATE(2018,10,1),$A1815&lt;=DATE(2018,12,31)),$M1815,"")</f>
        <v/>
      </c>
      <c r="Q1815" s="5">
        <f>SUMPRODUCT(Exposures!$B$8:$K$8,B1815:K1815)</f>
        <v/>
      </c>
      <c r="R1815" s="5">
        <f>SUMPRODUCT(Exposures!$B$9:$K$9,B1815:K1815)</f>
        <v/>
      </c>
      <c r="S1815" s="5">
        <f>SUMPRODUCT(Exposures!$B$10:$K$10,B1815:K1815)</f>
        <v/>
      </c>
    </row>
    <row r="1816">
      <c r="A1816" s="1" t="n">
        <v>45092</v>
      </c>
      <c r="B1816" s="5" t="n">
        <v>-0.0002663942396600863</v>
      </c>
      <c r="C1816" s="5" t="n">
        <v>0.001809963108864546</v>
      </c>
      <c r="D1816" s="5" t="n">
        <v>-0.002436694467685762</v>
      </c>
      <c r="E1816" s="5" t="n">
        <v>0.0009162604483496286</v>
      </c>
      <c r="F1816" s="5" t="n">
        <v>-0.00215134726377108</v>
      </c>
      <c r="G1816" s="5" t="n">
        <v>0.01234870390454534</v>
      </c>
      <c r="H1816" s="5" t="n">
        <v>-0.003064668608765401</v>
      </c>
      <c r="I1816" s="5" t="n">
        <v>0.0007491943959452721</v>
      </c>
      <c r="J1816" s="5" t="n">
        <v>0.002908426516914297</v>
      </c>
      <c r="K1816" s="5" t="n">
        <v>0.00201768369537218</v>
      </c>
      <c r="L1816" s="5" t="n">
        <v>-0.00169609200634972</v>
      </c>
      <c r="M1816" s="5">
        <f>SUMPRODUCT(Exposures!$B$6:$K$6,B1816:K1816)</f>
        <v/>
      </c>
      <c r="N1816" s="5">
        <f>IF(AND($A1816&gt;=DATE(2020,2,1),$A1816&lt;=DATE(2020,5,31)),$M1816,"")</f>
        <v/>
      </c>
      <c r="O1816" s="5">
        <f>IF(AND($A1816&gt;=DATE(2022,1,1),$A1816&lt;=DATE(2022,10,31)),$M1816,"")</f>
        <v/>
      </c>
      <c r="P1816" s="5">
        <f>IF(AND($A1816&gt;=DATE(2018,10,1),$A1816&lt;=DATE(2018,12,31)),$M1816,"")</f>
        <v/>
      </c>
      <c r="Q1816" s="5">
        <f>SUMPRODUCT(Exposures!$B$8:$K$8,B1816:K1816)</f>
        <v/>
      </c>
      <c r="R1816" s="5">
        <f>SUMPRODUCT(Exposures!$B$9:$K$9,B1816:K1816)</f>
        <v/>
      </c>
      <c r="S1816" s="5">
        <f>SUMPRODUCT(Exposures!$B$10:$K$10,B1816:K1816)</f>
        <v/>
      </c>
    </row>
    <row r="1817">
      <c r="A1817" s="1" t="n">
        <v>45093</v>
      </c>
      <c r="B1817" s="5" t="n">
        <v>-0.003436957346005637</v>
      </c>
      <c r="C1817" s="5" t="n">
        <v>-0.0001823103550974553</v>
      </c>
      <c r="D1817" s="5" t="n">
        <v>0.002351376517782552</v>
      </c>
      <c r="E1817" s="5" t="n">
        <v>0.0009660636960949489</v>
      </c>
      <c r="F1817" s="5" t="n">
        <v>-0.009590577862746896</v>
      </c>
      <c r="G1817" s="5" t="n">
        <v>-0.002316582472835374</v>
      </c>
      <c r="H1817" s="5" t="n">
        <v>9.878211323721727e-05</v>
      </c>
      <c r="I1817" s="5" t="n">
        <v>0.001290154628005297</v>
      </c>
      <c r="J1817" s="5" t="n">
        <v>-0.001071845220854857</v>
      </c>
      <c r="K1817" s="5" t="n">
        <v>0.005885467764669449</v>
      </c>
      <c r="L1817" s="5" t="n">
        <v>-0.000930246377028953</v>
      </c>
      <c r="M1817" s="5">
        <f>SUMPRODUCT(Exposures!$B$6:$K$6,B1817:K1817)</f>
        <v/>
      </c>
      <c r="N1817" s="5">
        <f>IF(AND($A1817&gt;=DATE(2020,2,1),$A1817&lt;=DATE(2020,5,31)),$M1817,"")</f>
        <v/>
      </c>
      <c r="O1817" s="5">
        <f>IF(AND($A1817&gt;=DATE(2022,1,1),$A1817&lt;=DATE(2022,10,31)),$M1817,"")</f>
        <v/>
      </c>
      <c r="P1817" s="5">
        <f>IF(AND($A1817&gt;=DATE(2018,10,1),$A1817&lt;=DATE(2018,12,31)),$M1817,"")</f>
        <v/>
      </c>
      <c r="Q1817" s="5">
        <f>SUMPRODUCT(Exposures!$B$8:$K$8,B1817:K1817)</f>
        <v/>
      </c>
      <c r="R1817" s="5">
        <f>SUMPRODUCT(Exposures!$B$9:$K$9,B1817:K1817)</f>
        <v/>
      </c>
      <c r="S1817" s="5">
        <f>SUMPRODUCT(Exposures!$B$10:$K$10,B1817:K1817)</f>
        <v/>
      </c>
    </row>
    <row r="1818">
      <c r="A1818" s="1" t="n">
        <v>45097</v>
      </c>
      <c r="B1818" s="5" t="n">
        <v>0.002678349979464005</v>
      </c>
      <c r="C1818" s="5" t="n">
        <v>-0.00123394397172114</v>
      </c>
      <c r="D1818" s="5" t="n">
        <v>0.00324856521121245</v>
      </c>
      <c r="E1818" s="5" t="n">
        <v>0.0002999214679607183</v>
      </c>
      <c r="F1818" s="5" t="n">
        <v>0.003591588152282183</v>
      </c>
      <c r="G1818" s="5" t="n">
        <v>-0.007662556883032098</v>
      </c>
      <c r="H1818" s="5" t="n">
        <v>0.002589749554204679</v>
      </c>
      <c r="I1818" s="5" t="n">
        <v>0.0008400396696241134</v>
      </c>
      <c r="J1818" s="5" t="n">
        <v>-0.003024834847128853</v>
      </c>
      <c r="K1818" s="5" t="n">
        <v>-0.006318829346050757</v>
      </c>
      <c r="L1818" s="5" t="n">
        <v>-0.001437025460548908</v>
      </c>
      <c r="M1818" s="5">
        <f>SUMPRODUCT(Exposures!$B$6:$K$6,B1818:K1818)</f>
        <v/>
      </c>
      <c r="N1818" s="5">
        <f>IF(AND($A1818&gt;=DATE(2020,2,1),$A1818&lt;=DATE(2020,5,31)),$M1818,"")</f>
        <v/>
      </c>
      <c r="O1818" s="5">
        <f>IF(AND($A1818&gt;=DATE(2022,1,1),$A1818&lt;=DATE(2022,10,31)),$M1818,"")</f>
        <v/>
      </c>
      <c r="P1818" s="5">
        <f>IF(AND($A1818&gt;=DATE(2018,10,1),$A1818&lt;=DATE(2018,12,31)),$M1818,"")</f>
        <v/>
      </c>
      <c r="Q1818" s="5">
        <f>SUMPRODUCT(Exposures!$B$8:$K$8,B1818:K1818)</f>
        <v/>
      </c>
      <c r="R1818" s="5">
        <f>SUMPRODUCT(Exposures!$B$9:$K$9,B1818:K1818)</f>
        <v/>
      </c>
      <c r="S1818" s="5">
        <f>SUMPRODUCT(Exposures!$B$10:$K$10,B1818:K1818)</f>
        <v/>
      </c>
    </row>
    <row r="1819">
      <c r="A1819" s="1" t="n">
        <v>45098</v>
      </c>
      <c r="B1819" s="5" t="n">
        <v>-0.004495899807293488</v>
      </c>
      <c r="C1819" s="5" t="n">
        <v>-0.0002851972977679978</v>
      </c>
      <c r="D1819" s="5" t="n">
        <v>0.004016846952105822</v>
      </c>
      <c r="E1819" s="5" t="n">
        <v>0.001531091399684016</v>
      </c>
      <c r="F1819" s="5" t="n">
        <v>-0.0006674616267112674</v>
      </c>
      <c r="G1819" s="5" t="n">
        <v>-0.004251038519747059</v>
      </c>
      <c r="H1819" s="5" t="n">
        <v>0.005372342051581437</v>
      </c>
      <c r="I1819" s="5" t="n">
        <v>-0.004187866943223801</v>
      </c>
      <c r="J1819" s="5" t="n">
        <v>-6.999801544375125e-05</v>
      </c>
      <c r="K1819" s="5" t="n">
        <v>0.001946948537405991</v>
      </c>
      <c r="L1819" s="5" t="n">
        <v>0.003203515517096594</v>
      </c>
      <c r="M1819" s="5">
        <f>SUMPRODUCT(Exposures!$B$6:$K$6,B1819:K1819)</f>
        <v/>
      </c>
      <c r="N1819" s="5">
        <f>IF(AND($A1819&gt;=DATE(2020,2,1),$A1819&lt;=DATE(2020,5,31)),$M1819,"")</f>
        <v/>
      </c>
      <c r="O1819" s="5">
        <f>IF(AND($A1819&gt;=DATE(2022,1,1),$A1819&lt;=DATE(2022,10,31)),$M1819,"")</f>
        <v/>
      </c>
      <c r="P1819" s="5">
        <f>IF(AND($A1819&gt;=DATE(2018,10,1),$A1819&lt;=DATE(2018,12,31)),$M1819,"")</f>
        <v/>
      </c>
      <c r="Q1819" s="5">
        <f>SUMPRODUCT(Exposures!$B$8:$K$8,B1819:K1819)</f>
        <v/>
      </c>
      <c r="R1819" s="5">
        <f>SUMPRODUCT(Exposures!$B$9:$K$9,B1819:K1819)</f>
        <v/>
      </c>
      <c r="S1819" s="5">
        <f>SUMPRODUCT(Exposures!$B$10:$K$10,B1819:K1819)</f>
        <v/>
      </c>
    </row>
    <row r="1820">
      <c r="A1820" s="1" t="n">
        <v>45099</v>
      </c>
      <c r="B1820" s="5" t="n">
        <v>-0.001791788872574062</v>
      </c>
      <c r="C1820" s="5" t="n">
        <v>0.001083120137881444</v>
      </c>
      <c r="D1820" s="5" t="n">
        <v>0.007348941322277243</v>
      </c>
      <c r="E1820" s="5" t="n">
        <v>6.122936685883188e-05</v>
      </c>
      <c r="F1820" s="5" t="n">
        <v>-0.001322449430590863</v>
      </c>
      <c r="G1820" s="5" t="n">
        <v>-0.00706037338475448</v>
      </c>
      <c r="H1820" s="5" t="n">
        <v>0.0001998619325147276</v>
      </c>
      <c r="I1820" s="5" t="n">
        <v>-7.131766798543649e-05</v>
      </c>
      <c r="J1820" s="5" t="n">
        <v>-0.00111618445919204</v>
      </c>
      <c r="K1820" s="5" t="n">
        <v>0.006842342073227226</v>
      </c>
      <c r="L1820" s="5" t="n">
        <v>-0.004109869957763967</v>
      </c>
      <c r="M1820" s="5">
        <f>SUMPRODUCT(Exposures!$B$6:$K$6,B1820:K1820)</f>
        <v/>
      </c>
      <c r="N1820" s="5">
        <f>IF(AND($A1820&gt;=DATE(2020,2,1),$A1820&lt;=DATE(2020,5,31)),$M1820,"")</f>
        <v/>
      </c>
      <c r="O1820" s="5">
        <f>IF(AND($A1820&gt;=DATE(2022,1,1),$A1820&lt;=DATE(2022,10,31)),$M1820,"")</f>
        <v/>
      </c>
      <c r="P1820" s="5">
        <f>IF(AND($A1820&gt;=DATE(2018,10,1),$A1820&lt;=DATE(2018,12,31)),$M1820,"")</f>
        <v/>
      </c>
      <c r="Q1820" s="5">
        <f>SUMPRODUCT(Exposures!$B$8:$K$8,B1820:K1820)</f>
        <v/>
      </c>
      <c r="R1820" s="5">
        <f>SUMPRODUCT(Exposures!$B$9:$K$9,B1820:K1820)</f>
        <v/>
      </c>
      <c r="S1820" s="5">
        <f>SUMPRODUCT(Exposures!$B$10:$K$10,B1820:K1820)</f>
        <v/>
      </c>
    </row>
    <row r="1821">
      <c r="A1821" s="1" t="n">
        <v>45100</v>
      </c>
      <c r="B1821" s="5" t="n">
        <v>0.0001747240014138163</v>
      </c>
      <c r="C1821" s="5" t="n">
        <v>-0.0005388133213866517</v>
      </c>
      <c r="D1821" s="5" t="n">
        <v>0.0001748804043412699</v>
      </c>
      <c r="E1821" s="5" t="n">
        <v>-0.00134517414883878</v>
      </c>
      <c r="F1821" s="5" t="n">
        <v>-0.0007559529452990984</v>
      </c>
      <c r="G1821" s="5" t="n">
        <v>-0.01131958224703688</v>
      </c>
      <c r="H1821" s="5" t="n">
        <v>-0.0003303601642761512</v>
      </c>
      <c r="I1821" s="5" t="n">
        <v>-0.0005751736607587928</v>
      </c>
      <c r="J1821" s="5" t="n">
        <v>-0.002268021810645606</v>
      </c>
      <c r="K1821" s="5" t="n">
        <v>0.002358768641200255</v>
      </c>
      <c r="L1821" s="5" t="n">
        <v>0.0004890834228910913</v>
      </c>
      <c r="M1821" s="5">
        <f>SUMPRODUCT(Exposures!$B$6:$K$6,B1821:K1821)</f>
        <v/>
      </c>
      <c r="N1821" s="5">
        <f>IF(AND($A1821&gt;=DATE(2020,2,1),$A1821&lt;=DATE(2020,5,31)),$M1821,"")</f>
        <v/>
      </c>
      <c r="O1821" s="5">
        <f>IF(AND($A1821&gt;=DATE(2022,1,1),$A1821&lt;=DATE(2022,10,31)),$M1821,"")</f>
        <v/>
      </c>
      <c r="P1821" s="5">
        <f>IF(AND($A1821&gt;=DATE(2018,10,1),$A1821&lt;=DATE(2018,12,31)),$M1821,"")</f>
        <v/>
      </c>
      <c r="Q1821" s="5">
        <f>SUMPRODUCT(Exposures!$B$8:$K$8,B1821:K1821)</f>
        <v/>
      </c>
      <c r="R1821" s="5">
        <f>SUMPRODUCT(Exposures!$B$9:$K$9,B1821:K1821)</f>
        <v/>
      </c>
      <c r="S1821" s="5">
        <f>SUMPRODUCT(Exposures!$B$10:$K$10,B1821:K1821)</f>
        <v/>
      </c>
    </row>
    <row r="1822">
      <c r="A1822" s="1" t="n">
        <v>45103</v>
      </c>
      <c r="B1822" s="5" t="n">
        <v>0.001311716069478242</v>
      </c>
      <c r="C1822" s="5" t="n">
        <v>0.004793533308165391</v>
      </c>
      <c r="D1822" s="5" t="n">
        <v>0.001106085071972529</v>
      </c>
      <c r="E1822" s="5" t="n">
        <v>-0.0004922008523530648</v>
      </c>
      <c r="F1822" s="5" t="n">
        <v>0.001348359434498602</v>
      </c>
      <c r="G1822" s="5" t="n">
        <v>0.006522699103035191</v>
      </c>
      <c r="H1822" s="5" t="n">
        <v>-0.005014241399341608</v>
      </c>
      <c r="I1822" s="5" t="n">
        <v>-0.0008518060323047739</v>
      </c>
      <c r="J1822" s="5" t="n">
        <v>-0.001513513885409748</v>
      </c>
      <c r="K1822" s="5" t="n">
        <v>-0.007452856843913874</v>
      </c>
      <c r="L1822" s="5" t="n">
        <v>-0.002027836974349496</v>
      </c>
      <c r="M1822" s="5">
        <f>SUMPRODUCT(Exposures!$B$6:$K$6,B1822:K1822)</f>
        <v/>
      </c>
      <c r="N1822" s="5">
        <f>IF(AND($A1822&gt;=DATE(2020,2,1),$A1822&lt;=DATE(2020,5,31)),$M1822,"")</f>
        <v/>
      </c>
      <c r="O1822" s="5">
        <f>IF(AND($A1822&gt;=DATE(2022,1,1),$A1822&lt;=DATE(2022,10,31)),$M1822,"")</f>
        <v/>
      </c>
      <c r="P1822" s="5">
        <f>IF(AND($A1822&gt;=DATE(2018,10,1),$A1822&lt;=DATE(2018,12,31)),$M1822,"")</f>
        <v/>
      </c>
      <c r="Q1822" s="5">
        <f>SUMPRODUCT(Exposures!$B$8:$K$8,B1822:K1822)</f>
        <v/>
      </c>
      <c r="R1822" s="5">
        <f>SUMPRODUCT(Exposures!$B$9:$K$9,B1822:K1822)</f>
        <v/>
      </c>
      <c r="S1822" s="5">
        <f>SUMPRODUCT(Exposures!$B$10:$K$10,B1822:K1822)</f>
        <v/>
      </c>
    </row>
    <row r="1823">
      <c r="A1823" s="1" t="n">
        <v>45104</v>
      </c>
      <c r="B1823" s="5" t="n">
        <v>0.009639755162800467</v>
      </c>
      <c r="C1823" s="5" t="n">
        <v>0.002059366784661187</v>
      </c>
      <c r="D1823" s="5" t="n">
        <v>0.00170329149090961</v>
      </c>
      <c r="E1823" s="5" t="n">
        <v>-0.0007128804780382563</v>
      </c>
      <c r="F1823" s="5" t="n">
        <v>-0.001495114041969115</v>
      </c>
      <c r="G1823" s="5" t="n">
        <v>0.01333449722710137</v>
      </c>
      <c r="H1823" s="5" t="n">
        <v>-0.0001450079843850657</v>
      </c>
      <c r="I1823" s="5" t="n">
        <v>-0.002276428611481975</v>
      </c>
      <c r="J1823" s="5" t="n">
        <v>-0.002561266339605647</v>
      </c>
      <c r="K1823" s="5" t="n">
        <v>-0.0001518408123592366</v>
      </c>
      <c r="L1823" s="5" t="n">
        <v>0.0007268786513801478</v>
      </c>
      <c r="M1823" s="5">
        <f>SUMPRODUCT(Exposures!$B$6:$K$6,B1823:K1823)</f>
        <v/>
      </c>
      <c r="N1823" s="5">
        <f>IF(AND($A1823&gt;=DATE(2020,2,1),$A1823&lt;=DATE(2020,5,31)),$M1823,"")</f>
        <v/>
      </c>
      <c r="O1823" s="5">
        <f>IF(AND($A1823&gt;=DATE(2022,1,1),$A1823&lt;=DATE(2022,10,31)),$M1823,"")</f>
        <v/>
      </c>
      <c r="P1823" s="5">
        <f>IF(AND($A1823&gt;=DATE(2018,10,1),$A1823&lt;=DATE(2018,12,31)),$M1823,"")</f>
        <v/>
      </c>
      <c r="Q1823" s="5">
        <f>SUMPRODUCT(Exposures!$B$8:$K$8,B1823:K1823)</f>
        <v/>
      </c>
      <c r="R1823" s="5">
        <f>SUMPRODUCT(Exposures!$B$9:$K$9,B1823:K1823)</f>
        <v/>
      </c>
      <c r="S1823" s="5">
        <f>SUMPRODUCT(Exposures!$B$10:$K$10,B1823:K1823)</f>
        <v/>
      </c>
    </row>
    <row r="1824">
      <c r="A1824" s="1" t="n">
        <v>45105</v>
      </c>
      <c r="B1824" s="5" t="n">
        <v>0.004098808764209582</v>
      </c>
      <c r="C1824" s="5" t="n">
        <v>-0.001728618330871338</v>
      </c>
      <c r="D1824" s="5" t="n">
        <v>0.001210448538021268</v>
      </c>
      <c r="E1824" s="5" t="n">
        <v>8.133426358821762e-05</v>
      </c>
      <c r="F1824" s="5" t="n">
        <v>-0.0009971746649941101</v>
      </c>
      <c r="G1824" s="5" t="n">
        <v>0.001369117802820463</v>
      </c>
      <c r="H1824" s="5" t="n">
        <v>0.002948493577277099</v>
      </c>
      <c r="I1824" s="5" t="n">
        <v>0.001628672719362091</v>
      </c>
      <c r="J1824" s="5" t="n">
        <v>0.0003968625013404932</v>
      </c>
      <c r="K1824" s="5" t="n">
        <v>-0.001891530884609403</v>
      </c>
      <c r="L1824" s="5" t="n">
        <v>-0.001031584750356052</v>
      </c>
      <c r="M1824" s="5">
        <f>SUMPRODUCT(Exposures!$B$6:$K$6,B1824:K1824)</f>
        <v/>
      </c>
      <c r="N1824" s="5">
        <f>IF(AND($A1824&gt;=DATE(2020,2,1),$A1824&lt;=DATE(2020,5,31)),$M1824,"")</f>
        <v/>
      </c>
      <c r="O1824" s="5">
        <f>IF(AND($A1824&gt;=DATE(2022,1,1),$A1824&lt;=DATE(2022,10,31)),$M1824,"")</f>
        <v/>
      </c>
      <c r="P1824" s="5">
        <f>IF(AND($A1824&gt;=DATE(2018,10,1),$A1824&lt;=DATE(2018,12,31)),$M1824,"")</f>
        <v/>
      </c>
      <c r="Q1824" s="5">
        <f>SUMPRODUCT(Exposures!$B$8:$K$8,B1824:K1824)</f>
        <v/>
      </c>
      <c r="R1824" s="5">
        <f>SUMPRODUCT(Exposures!$B$9:$K$9,B1824:K1824)</f>
        <v/>
      </c>
      <c r="S1824" s="5">
        <f>SUMPRODUCT(Exposures!$B$10:$K$10,B1824:K1824)</f>
        <v/>
      </c>
    </row>
    <row r="1825">
      <c r="A1825" s="1" t="n">
        <v>45106</v>
      </c>
      <c r="B1825" s="5" t="n">
        <v>0.003483096865992423</v>
      </c>
      <c r="C1825" s="5" t="n">
        <v>0.002561944830131183</v>
      </c>
      <c r="D1825" s="5" t="n">
        <v>-0.005282528407619736</v>
      </c>
      <c r="E1825" s="5" t="n">
        <v>0.001061677501725044</v>
      </c>
      <c r="F1825" s="5" t="n">
        <v>-0.003305017165659827</v>
      </c>
      <c r="G1825" s="5" t="n">
        <v>0.0110900432469047</v>
      </c>
      <c r="H1825" s="5" t="n">
        <v>-0.002033051864628778</v>
      </c>
      <c r="I1825" s="5" t="n">
        <v>0.0006203195413858921</v>
      </c>
      <c r="J1825" s="5" t="n">
        <v>-0.003991178537895572</v>
      </c>
      <c r="K1825" s="5" t="n">
        <v>-0.004707777196350646</v>
      </c>
      <c r="L1825" s="5" t="n">
        <v>-0.001317777460485546</v>
      </c>
      <c r="M1825" s="5">
        <f>SUMPRODUCT(Exposures!$B$6:$K$6,B1825:K1825)</f>
        <v/>
      </c>
      <c r="N1825" s="5">
        <f>IF(AND($A1825&gt;=DATE(2020,2,1),$A1825&lt;=DATE(2020,5,31)),$M1825,"")</f>
        <v/>
      </c>
      <c r="O1825" s="5">
        <f>IF(AND($A1825&gt;=DATE(2022,1,1),$A1825&lt;=DATE(2022,10,31)),$M1825,"")</f>
        <v/>
      </c>
      <c r="P1825" s="5">
        <f>IF(AND($A1825&gt;=DATE(2018,10,1),$A1825&lt;=DATE(2018,12,31)),$M1825,"")</f>
        <v/>
      </c>
      <c r="Q1825" s="5">
        <f>SUMPRODUCT(Exposures!$B$8:$K$8,B1825:K1825)</f>
        <v/>
      </c>
      <c r="R1825" s="5">
        <f>SUMPRODUCT(Exposures!$B$9:$K$9,B1825:K1825)</f>
        <v/>
      </c>
      <c r="S1825" s="5">
        <f>SUMPRODUCT(Exposures!$B$10:$K$10,B1825:K1825)</f>
        <v/>
      </c>
    </row>
    <row r="1826">
      <c r="A1826" s="1" t="n">
        <v>45107</v>
      </c>
      <c r="B1826" s="5" t="n">
        <v>0.001447709358365148</v>
      </c>
      <c r="C1826" s="5" t="n">
        <v>-0.002511251661701751</v>
      </c>
      <c r="D1826" s="5" t="n">
        <v>0.0001894984634085089</v>
      </c>
      <c r="E1826" s="5" t="n">
        <v>-0.0002420325957578683</v>
      </c>
      <c r="F1826" s="5" t="n">
        <v>0.001649616888939627</v>
      </c>
      <c r="G1826" s="5" t="n">
        <v>0.009282128335863053</v>
      </c>
      <c r="H1826" s="5" t="n">
        <v>-0.0003235654468482796</v>
      </c>
      <c r="I1826" s="5" t="n">
        <v>-0.0001876818320865303</v>
      </c>
      <c r="J1826" s="5" t="n">
        <v>-0.0002416824185341211</v>
      </c>
      <c r="K1826" s="5" t="n">
        <v>-0.001550653114492239</v>
      </c>
      <c r="L1826" s="5" t="n">
        <v>-0.001634410182191</v>
      </c>
      <c r="M1826" s="5">
        <f>SUMPRODUCT(Exposures!$B$6:$K$6,B1826:K1826)</f>
        <v/>
      </c>
      <c r="N1826" s="5">
        <f>IF(AND($A1826&gt;=DATE(2020,2,1),$A1826&lt;=DATE(2020,5,31)),$M1826,"")</f>
        <v/>
      </c>
      <c r="O1826" s="5">
        <f>IF(AND($A1826&gt;=DATE(2022,1,1),$A1826&lt;=DATE(2022,10,31)),$M1826,"")</f>
        <v/>
      </c>
      <c r="P1826" s="5">
        <f>IF(AND($A1826&gt;=DATE(2018,10,1),$A1826&lt;=DATE(2018,12,31)),$M1826,"")</f>
        <v/>
      </c>
      <c r="Q1826" s="5">
        <f>SUMPRODUCT(Exposures!$B$8:$K$8,B1826:K1826)</f>
        <v/>
      </c>
      <c r="R1826" s="5">
        <f>SUMPRODUCT(Exposures!$B$9:$K$9,B1826:K1826)</f>
        <v/>
      </c>
      <c r="S1826" s="5">
        <f>SUMPRODUCT(Exposures!$B$10:$K$10,B1826:K1826)</f>
        <v/>
      </c>
    </row>
    <row r="1827">
      <c r="A1827" s="1" t="n">
        <v>45110</v>
      </c>
      <c r="B1827" s="5" t="n">
        <v>0.001933250733082654</v>
      </c>
      <c r="C1827" s="5" t="n">
        <v>0.001929092842893808</v>
      </c>
      <c r="D1827" s="5" t="n">
        <v>-0.001098311722673132</v>
      </c>
      <c r="E1827" s="5" t="n">
        <v>0.0006933603039355775</v>
      </c>
      <c r="F1827" s="5" t="n">
        <v>0.003531712649346009</v>
      </c>
      <c r="G1827" s="5" t="n">
        <v>0.004702418505586003</v>
      </c>
      <c r="H1827" s="5" t="n">
        <v>-0.001705173068414143</v>
      </c>
      <c r="I1827" s="5" t="n">
        <v>0.001720707842697001</v>
      </c>
      <c r="J1827" s="5" t="n">
        <v>0.0001475545069184675</v>
      </c>
      <c r="K1827" s="5" t="n">
        <v>-0.005129262182297643</v>
      </c>
      <c r="L1827" s="5" t="n">
        <v>0.001985182407551463</v>
      </c>
      <c r="M1827" s="5">
        <f>SUMPRODUCT(Exposures!$B$6:$K$6,B1827:K1827)</f>
        <v/>
      </c>
      <c r="N1827" s="5">
        <f>IF(AND($A1827&gt;=DATE(2020,2,1),$A1827&lt;=DATE(2020,5,31)),$M1827,"")</f>
        <v/>
      </c>
      <c r="O1827" s="5">
        <f>IF(AND($A1827&gt;=DATE(2022,1,1),$A1827&lt;=DATE(2022,10,31)),$M1827,"")</f>
        <v/>
      </c>
      <c r="P1827" s="5">
        <f>IF(AND($A1827&gt;=DATE(2018,10,1),$A1827&lt;=DATE(2018,12,31)),$M1827,"")</f>
        <v/>
      </c>
      <c r="Q1827" s="5">
        <f>SUMPRODUCT(Exposures!$B$8:$K$8,B1827:K1827)</f>
        <v/>
      </c>
      <c r="R1827" s="5">
        <f>SUMPRODUCT(Exposures!$B$9:$K$9,B1827:K1827)</f>
        <v/>
      </c>
      <c r="S1827" s="5">
        <f>SUMPRODUCT(Exposures!$B$10:$K$10,B1827:K1827)</f>
        <v/>
      </c>
    </row>
    <row r="1828">
      <c r="A1828" s="1" t="n">
        <v>45112</v>
      </c>
      <c r="B1828" s="5" t="n">
        <v>-0.0024953700622885</v>
      </c>
      <c r="C1828" s="5" t="n">
        <v>-0.0006516068277728311</v>
      </c>
      <c r="D1828" s="5" t="n">
        <v>0.002769614429649961</v>
      </c>
      <c r="E1828" s="5" t="n">
        <v>-0.002020495920115142</v>
      </c>
      <c r="F1828" s="5" t="n">
        <v>-0.003266184679312557</v>
      </c>
      <c r="G1828" s="5" t="n">
        <v>-0.007093819734249593</v>
      </c>
      <c r="H1828" s="5" t="n">
        <v>-0.002457071570505792</v>
      </c>
      <c r="I1828" s="5" t="n">
        <v>0.0001392858021000714</v>
      </c>
      <c r="J1828" s="5" t="n">
        <v>-0.0001808898105588265</v>
      </c>
      <c r="K1828" s="5" t="n">
        <v>0.007360735205533672</v>
      </c>
      <c r="L1828" s="5" t="n">
        <v>0.0004539471052132707</v>
      </c>
      <c r="M1828" s="5">
        <f>SUMPRODUCT(Exposures!$B$6:$K$6,B1828:K1828)</f>
        <v/>
      </c>
      <c r="N1828" s="5">
        <f>IF(AND($A1828&gt;=DATE(2020,2,1),$A1828&lt;=DATE(2020,5,31)),$M1828,"")</f>
        <v/>
      </c>
      <c r="O1828" s="5">
        <f>IF(AND($A1828&gt;=DATE(2022,1,1),$A1828&lt;=DATE(2022,10,31)),$M1828,"")</f>
        <v/>
      </c>
      <c r="P1828" s="5">
        <f>IF(AND($A1828&gt;=DATE(2018,10,1),$A1828&lt;=DATE(2018,12,31)),$M1828,"")</f>
        <v/>
      </c>
      <c r="Q1828" s="5">
        <f>SUMPRODUCT(Exposures!$B$8:$K$8,B1828:K1828)</f>
        <v/>
      </c>
      <c r="R1828" s="5">
        <f>SUMPRODUCT(Exposures!$B$9:$K$9,B1828:K1828)</f>
        <v/>
      </c>
      <c r="S1828" s="5">
        <f>SUMPRODUCT(Exposures!$B$10:$K$10,B1828:K1828)</f>
        <v/>
      </c>
    </row>
    <row r="1829">
      <c r="A1829" s="1" t="n">
        <v>45113</v>
      </c>
      <c r="B1829" s="5" t="n">
        <v>-0.004899515703192693</v>
      </c>
      <c r="C1829" s="5" t="n">
        <v>0.002909857976532394</v>
      </c>
      <c r="D1829" s="5" t="n">
        <v>0.001483092378603031</v>
      </c>
      <c r="E1829" s="5" t="n">
        <v>-0.0009445750422850981</v>
      </c>
      <c r="F1829" s="5" t="n">
        <v>-0.00274572081784777</v>
      </c>
      <c r="G1829" s="5" t="n">
        <v>-0.01169612191055622</v>
      </c>
      <c r="H1829" s="5" t="n">
        <v>-0.003774594175321294</v>
      </c>
      <c r="I1829" s="5" t="n">
        <v>-0.001761438903430642</v>
      </c>
      <c r="J1829" s="5" t="n">
        <v>-0.001588342423044036</v>
      </c>
      <c r="K1829" s="5" t="n">
        <v>0.003265984539878789</v>
      </c>
      <c r="L1829" s="5" t="n">
        <v>-0.004245171428143067</v>
      </c>
      <c r="M1829" s="5">
        <f>SUMPRODUCT(Exposures!$B$6:$K$6,B1829:K1829)</f>
        <v/>
      </c>
      <c r="N1829" s="5">
        <f>IF(AND($A1829&gt;=DATE(2020,2,1),$A1829&lt;=DATE(2020,5,31)),$M1829,"")</f>
        <v/>
      </c>
      <c r="O1829" s="5">
        <f>IF(AND($A1829&gt;=DATE(2022,1,1),$A1829&lt;=DATE(2022,10,31)),$M1829,"")</f>
        <v/>
      </c>
      <c r="P1829" s="5">
        <f>IF(AND($A1829&gt;=DATE(2018,10,1),$A1829&lt;=DATE(2018,12,31)),$M1829,"")</f>
        <v/>
      </c>
      <c r="Q1829" s="5">
        <f>SUMPRODUCT(Exposures!$B$8:$K$8,B1829:K1829)</f>
        <v/>
      </c>
      <c r="R1829" s="5">
        <f>SUMPRODUCT(Exposures!$B$9:$K$9,B1829:K1829)</f>
        <v/>
      </c>
      <c r="S1829" s="5">
        <f>SUMPRODUCT(Exposures!$B$10:$K$10,B1829:K1829)</f>
        <v/>
      </c>
    </row>
    <row r="1830">
      <c r="A1830" s="1" t="n">
        <v>45114</v>
      </c>
      <c r="B1830" s="5" t="n">
        <v>0.003763280132564178</v>
      </c>
      <c r="C1830" s="5" t="n">
        <v>0.002754338624058695</v>
      </c>
      <c r="D1830" s="5" t="n">
        <v>-0.004508346267355064</v>
      </c>
      <c r="E1830" s="5" t="n">
        <v>-6.626984242028992e-05</v>
      </c>
      <c r="F1830" s="5" t="n">
        <v>-0.008161437532455636</v>
      </c>
      <c r="G1830" s="5" t="n">
        <v>0.009073835947901581</v>
      </c>
      <c r="H1830" s="5" t="n">
        <v>-0.0005919731106722439</v>
      </c>
      <c r="I1830" s="5" t="n">
        <v>-0.002144026731999771</v>
      </c>
      <c r="J1830" s="5" t="n">
        <v>0.01013610544193065</v>
      </c>
      <c r="K1830" s="5" t="n">
        <v>0.008660639995436058</v>
      </c>
      <c r="L1830" s="5" t="n">
        <v>0.004340973835448599</v>
      </c>
      <c r="M1830" s="5">
        <f>SUMPRODUCT(Exposures!$B$6:$K$6,B1830:K1830)</f>
        <v/>
      </c>
      <c r="N1830" s="5">
        <f>IF(AND($A1830&gt;=DATE(2020,2,1),$A1830&lt;=DATE(2020,5,31)),$M1830,"")</f>
        <v/>
      </c>
      <c r="O1830" s="5">
        <f>IF(AND($A1830&gt;=DATE(2022,1,1),$A1830&lt;=DATE(2022,10,31)),$M1830,"")</f>
        <v/>
      </c>
      <c r="P1830" s="5">
        <f>IF(AND($A1830&gt;=DATE(2018,10,1),$A1830&lt;=DATE(2018,12,31)),$M1830,"")</f>
        <v/>
      </c>
      <c r="Q1830" s="5">
        <f>SUMPRODUCT(Exposures!$B$8:$K$8,B1830:K1830)</f>
        <v/>
      </c>
      <c r="R1830" s="5">
        <f>SUMPRODUCT(Exposures!$B$9:$K$9,B1830:K1830)</f>
        <v/>
      </c>
      <c r="S1830" s="5">
        <f>SUMPRODUCT(Exposures!$B$10:$K$10,B1830:K1830)</f>
        <v/>
      </c>
    </row>
    <row r="1831">
      <c r="A1831" s="1" t="n">
        <v>45117</v>
      </c>
      <c r="B1831" s="5" t="n">
        <v>0.001782033277141997</v>
      </c>
      <c r="C1831" s="5" t="n">
        <v>-0.001900129276221925</v>
      </c>
      <c r="D1831" s="5" t="n">
        <v>0.0004141558946693943</v>
      </c>
      <c r="E1831" s="5" t="n">
        <v>0.0007439957081222515</v>
      </c>
      <c r="F1831" s="5" t="n">
        <v>0.0001193738493132177</v>
      </c>
      <c r="G1831" s="5" t="n">
        <v>0.01336597400624641</v>
      </c>
      <c r="H1831" s="5" t="n">
        <v>0.005198598375440325</v>
      </c>
      <c r="I1831" s="5" t="n">
        <v>0.001676939091306459</v>
      </c>
      <c r="J1831" s="5" t="n">
        <v>0.004148818530796845</v>
      </c>
      <c r="K1831" s="5" t="n">
        <v>-0.007327019649376148</v>
      </c>
      <c r="L1831" s="5" t="n">
        <v>0.0008560701160234842</v>
      </c>
      <c r="M1831" s="5">
        <f>SUMPRODUCT(Exposures!$B$6:$K$6,B1831:K1831)</f>
        <v/>
      </c>
      <c r="N1831" s="5">
        <f>IF(AND($A1831&gt;=DATE(2020,2,1),$A1831&lt;=DATE(2020,5,31)),$M1831,"")</f>
        <v/>
      </c>
      <c r="O1831" s="5">
        <f>IF(AND($A1831&gt;=DATE(2022,1,1),$A1831&lt;=DATE(2022,10,31)),$M1831,"")</f>
        <v/>
      </c>
      <c r="P1831" s="5">
        <f>IF(AND($A1831&gt;=DATE(2018,10,1),$A1831&lt;=DATE(2018,12,31)),$M1831,"")</f>
        <v/>
      </c>
      <c r="Q1831" s="5">
        <f>SUMPRODUCT(Exposures!$B$8:$K$8,B1831:K1831)</f>
        <v/>
      </c>
      <c r="R1831" s="5">
        <f>SUMPRODUCT(Exposures!$B$9:$K$9,B1831:K1831)</f>
        <v/>
      </c>
      <c r="S1831" s="5">
        <f>SUMPRODUCT(Exposures!$B$10:$K$10,B1831:K1831)</f>
        <v/>
      </c>
    </row>
    <row r="1832">
      <c r="A1832" s="1" t="n">
        <v>45118</v>
      </c>
      <c r="B1832" s="5" t="n">
        <v>0.002642244696495951</v>
      </c>
      <c r="C1832" s="5" t="n">
        <v>-0.0005913858840031982</v>
      </c>
      <c r="D1832" s="5" t="n">
        <v>0.0006445073861127101</v>
      </c>
      <c r="E1832" s="5" t="n">
        <v>0.001263773462784743</v>
      </c>
      <c r="F1832" s="5" t="n">
        <v>0.0001977015236987139</v>
      </c>
      <c r="G1832" s="5" t="n">
        <v>0.01134692633158182</v>
      </c>
      <c r="H1832" s="5" t="n">
        <v>-0.003583298638634785</v>
      </c>
      <c r="I1832" s="5" t="n">
        <v>1.821563686819037e-05</v>
      </c>
      <c r="J1832" s="5" t="n">
        <v>-0.0003074003530279621</v>
      </c>
      <c r="K1832" s="5" t="n">
        <v>-0.0009566481351740098</v>
      </c>
      <c r="L1832" s="5" t="n">
        <v>0.001864871039981237</v>
      </c>
      <c r="M1832" s="5">
        <f>SUMPRODUCT(Exposures!$B$6:$K$6,B1832:K1832)</f>
        <v/>
      </c>
      <c r="N1832" s="5">
        <f>IF(AND($A1832&gt;=DATE(2020,2,1),$A1832&lt;=DATE(2020,5,31)),$M1832,"")</f>
        <v/>
      </c>
      <c r="O1832" s="5">
        <f>IF(AND($A1832&gt;=DATE(2022,1,1),$A1832&lt;=DATE(2022,10,31)),$M1832,"")</f>
        <v/>
      </c>
      <c r="P1832" s="5">
        <f>IF(AND($A1832&gt;=DATE(2018,10,1),$A1832&lt;=DATE(2018,12,31)),$M1832,"")</f>
        <v/>
      </c>
      <c r="Q1832" s="5">
        <f>SUMPRODUCT(Exposures!$B$8:$K$8,B1832:K1832)</f>
        <v/>
      </c>
      <c r="R1832" s="5">
        <f>SUMPRODUCT(Exposures!$B$9:$K$9,B1832:K1832)</f>
        <v/>
      </c>
      <c r="S1832" s="5">
        <f>SUMPRODUCT(Exposures!$B$10:$K$10,B1832:K1832)</f>
        <v/>
      </c>
    </row>
    <row r="1833">
      <c r="A1833" s="1" t="n">
        <v>45119</v>
      </c>
      <c r="B1833" s="5" t="n">
        <v>0.008162157435860828</v>
      </c>
      <c r="C1833" s="5" t="n">
        <v>0.001492116870411665</v>
      </c>
      <c r="D1833" s="5" t="n">
        <v>0.001342445359620997</v>
      </c>
      <c r="E1833" s="5" t="n">
        <v>-0.001958842594860145</v>
      </c>
      <c r="F1833" s="5" t="n">
        <v>-0.008921880883810305</v>
      </c>
      <c r="G1833" s="5" t="n">
        <v>0.005888356682374148</v>
      </c>
      <c r="H1833" s="5" t="n">
        <v>-0.0001692853505258061</v>
      </c>
      <c r="I1833" s="5" t="n">
        <v>-0.001215099144232203</v>
      </c>
      <c r="J1833" s="5" t="n">
        <v>-0.002404308985566212</v>
      </c>
      <c r="K1833" s="5" t="n">
        <v>0.00809462927380027</v>
      </c>
      <c r="L1833" s="5" t="n">
        <v>0.002518638688218423</v>
      </c>
      <c r="M1833" s="5">
        <f>SUMPRODUCT(Exposures!$B$6:$K$6,B1833:K1833)</f>
        <v/>
      </c>
      <c r="N1833" s="5">
        <f>IF(AND($A1833&gt;=DATE(2020,2,1),$A1833&lt;=DATE(2020,5,31)),$M1833,"")</f>
        <v/>
      </c>
      <c r="O1833" s="5">
        <f>IF(AND($A1833&gt;=DATE(2022,1,1),$A1833&lt;=DATE(2022,10,31)),$M1833,"")</f>
        <v/>
      </c>
      <c r="P1833" s="5">
        <f>IF(AND($A1833&gt;=DATE(2018,10,1),$A1833&lt;=DATE(2018,12,31)),$M1833,"")</f>
        <v/>
      </c>
      <c r="Q1833" s="5">
        <f>SUMPRODUCT(Exposures!$B$8:$K$8,B1833:K1833)</f>
        <v/>
      </c>
      <c r="R1833" s="5">
        <f>SUMPRODUCT(Exposures!$B$9:$K$9,B1833:K1833)</f>
        <v/>
      </c>
      <c r="S1833" s="5">
        <f>SUMPRODUCT(Exposures!$B$10:$K$10,B1833:K1833)</f>
        <v/>
      </c>
    </row>
    <row r="1834">
      <c r="A1834" s="1" t="n">
        <v>45120</v>
      </c>
      <c r="B1834" s="5" t="n">
        <v>0.009050847235639663</v>
      </c>
      <c r="C1834" s="5" t="n">
        <v>0.000108268892077951</v>
      </c>
      <c r="D1834" s="5" t="n">
        <v>-0.001654842425281411</v>
      </c>
      <c r="E1834" s="5" t="n">
        <v>0.0002465013992988031</v>
      </c>
      <c r="F1834" s="5" t="n">
        <v>-0.009241566957977131</v>
      </c>
      <c r="G1834" s="5" t="n">
        <v>0.0106629718920934</v>
      </c>
      <c r="H1834" s="5" t="n">
        <v>0.002343491085363819</v>
      </c>
      <c r="I1834" s="5" t="n">
        <v>0.00311070983748889</v>
      </c>
      <c r="J1834" s="5" t="n">
        <v>0.001791234596135479</v>
      </c>
      <c r="K1834" s="5" t="n">
        <v>0.009797551358894645</v>
      </c>
      <c r="L1834" s="5" t="n">
        <v>0.001435496096068643</v>
      </c>
      <c r="M1834" s="5">
        <f>SUMPRODUCT(Exposures!$B$6:$K$6,B1834:K1834)</f>
        <v/>
      </c>
      <c r="N1834" s="5">
        <f>IF(AND($A1834&gt;=DATE(2020,2,1),$A1834&lt;=DATE(2020,5,31)),$M1834,"")</f>
        <v/>
      </c>
      <c r="O1834" s="5">
        <f>IF(AND($A1834&gt;=DATE(2022,1,1),$A1834&lt;=DATE(2022,10,31)),$M1834,"")</f>
        <v/>
      </c>
      <c r="P1834" s="5">
        <f>IF(AND($A1834&gt;=DATE(2018,10,1),$A1834&lt;=DATE(2018,12,31)),$M1834,"")</f>
        <v/>
      </c>
      <c r="Q1834" s="5">
        <f>SUMPRODUCT(Exposures!$B$8:$K$8,B1834:K1834)</f>
        <v/>
      </c>
      <c r="R1834" s="5">
        <f>SUMPRODUCT(Exposures!$B$9:$K$9,B1834:K1834)</f>
        <v/>
      </c>
      <c r="S1834" s="5">
        <f>SUMPRODUCT(Exposures!$B$10:$K$10,B1834:K1834)</f>
        <v/>
      </c>
    </row>
    <row r="1835">
      <c r="A1835" s="1" t="n">
        <v>45121</v>
      </c>
      <c r="B1835" s="5" t="n">
        <v>-0.006650841893540658</v>
      </c>
      <c r="C1835" s="5" t="n">
        <v>-9.300846846740235e-05</v>
      </c>
      <c r="D1835" s="5" t="n">
        <v>-0.001263358982003768</v>
      </c>
      <c r="E1835" s="5" t="n">
        <v>-0.001127299877412814</v>
      </c>
      <c r="F1835" s="5" t="n">
        <v>0.0009910675106584721</v>
      </c>
      <c r="G1835" s="5" t="n">
        <v>-0.00931140116287906</v>
      </c>
      <c r="H1835" s="5" t="n">
        <v>0.002296816392996866</v>
      </c>
      <c r="I1835" s="5" t="n">
        <v>-0.0003973321933414301</v>
      </c>
      <c r="J1835" s="5" t="n">
        <v>-0.002864984488589111</v>
      </c>
      <c r="K1835" s="5" t="n">
        <v>0.001245709853489052</v>
      </c>
      <c r="L1835" s="5" t="n">
        <v>-0.00376588666411195</v>
      </c>
      <c r="M1835" s="5">
        <f>SUMPRODUCT(Exposures!$B$6:$K$6,B1835:K1835)</f>
        <v/>
      </c>
      <c r="N1835" s="5">
        <f>IF(AND($A1835&gt;=DATE(2020,2,1),$A1835&lt;=DATE(2020,5,31)),$M1835,"")</f>
        <v/>
      </c>
      <c r="O1835" s="5">
        <f>IF(AND($A1835&gt;=DATE(2022,1,1),$A1835&lt;=DATE(2022,10,31)),$M1835,"")</f>
        <v/>
      </c>
      <c r="P1835" s="5">
        <f>IF(AND($A1835&gt;=DATE(2018,10,1),$A1835&lt;=DATE(2018,12,31)),$M1835,"")</f>
        <v/>
      </c>
      <c r="Q1835" s="5">
        <f>SUMPRODUCT(Exposures!$B$8:$K$8,B1835:K1835)</f>
        <v/>
      </c>
      <c r="R1835" s="5">
        <f>SUMPRODUCT(Exposures!$B$9:$K$9,B1835:K1835)</f>
        <v/>
      </c>
      <c r="S1835" s="5">
        <f>SUMPRODUCT(Exposures!$B$10:$K$10,B1835:K1835)</f>
        <v/>
      </c>
    </row>
    <row r="1836">
      <c r="A1836" s="1" t="n">
        <v>45124</v>
      </c>
      <c r="B1836" s="5" t="n">
        <v>0.003041257076588335</v>
      </c>
      <c r="C1836" s="5" t="n">
        <v>-0.0001227411372689167</v>
      </c>
      <c r="D1836" s="5" t="n">
        <v>0.003436901262714629</v>
      </c>
      <c r="E1836" s="5" t="n">
        <v>0.002387421451679972</v>
      </c>
      <c r="F1836" s="5" t="n">
        <v>0.005264325237881434</v>
      </c>
      <c r="G1836" s="5" t="n">
        <v>0.005088261804849377</v>
      </c>
      <c r="H1836" s="5" t="n">
        <v>0.004525110668033033</v>
      </c>
      <c r="I1836" s="5" t="n">
        <v>0.0004000252609645802</v>
      </c>
      <c r="J1836" s="5" t="n">
        <v>0.002175890882005622</v>
      </c>
      <c r="K1836" s="5" t="n">
        <v>-0.006644407778719174</v>
      </c>
      <c r="L1836" s="5" t="n">
        <v>0.0009884153890621617</v>
      </c>
      <c r="M1836" s="5">
        <f>SUMPRODUCT(Exposures!$B$6:$K$6,B1836:K1836)</f>
        <v/>
      </c>
      <c r="N1836" s="5">
        <f>IF(AND($A1836&gt;=DATE(2020,2,1),$A1836&lt;=DATE(2020,5,31)),$M1836,"")</f>
        <v/>
      </c>
      <c r="O1836" s="5">
        <f>IF(AND($A1836&gt;=DATE(2022,1,1),$A1836&lt;=DATE(2022,10,31)),$M1836,"")</f>
        <v/>
      </c>
      <c r="P1836" s="5">
        <f>IF(AND($A1836&gt;=DATE(2018,10,1),$A1836&lt;=DATE(2018,12,31)),$M1836,"")</f>
        <v/>
      </c>
      <c r="Q1836" s="5">
        <f>SUMPRODUCT(Exposures!$B$8:$K$8,B1836:K1836)</f>
        <v/>
      </c>
      <c r="R1836" s="5">
        <f>SUMPRODUCT(Exposures!$B$9:$K$9,B1836:K1836)</f>
        <v/>
      </c>
      <c r="S1836" s="5">
        <f>SUMPRODUCT(Exposures!$B$10:$K$10,B1836:K1836)</f>
        <v/>
      </c>
    </row>
    <row r="1837">
      <c r="A1837" s="1" t="n">
        <v>45125</v>
      </c>
      <c r="B1837" s="5" t="n">
        <v>0.005835323695476083</v>
      </c>
      <c r="C1837" s="5" t="n">
        <v>0.003212854987343742</v>
      </c>
      <c r="D1837" s="5" t="n">
        <v>0.0004366626380567389</v>
      </c>
      <c r="E1837" s="5" t="n">
        <v>0.005389271727030446</v>
      </c>
      <c r="F1837" s="5" t="n">
        <v>0.0008329468123383374</v>
      </c>
      <c r="G1837" s="5" t="n">
        <v>0.01075240027097698</v>
      </c>
      <c r="H1837" s="5" t="n">
        <v>-0.00421848295160452</v>
      </c>
      <c r="I1837" s="5" t="n">
        <v>0.003239922396124876</v>
      </c>
      <c r="J1837" s="5" t="n">
        <v>-0.001341661500644388</v>
      </c>
      <c r="K1837" s="5" t="n">
        <v>-0.008431353665220177</v>
      </c>
      <c r="L1837" s="5" t="n">
        <v>-0.003367739651050692</v>
      </c>
      <c r="M1837" s="5">
        <f>SUMPRODUCT(Exposures!$B$6:$K$6,B1837:K1837)</f>
        <v/>
      </c>
      <c r="N1837" s="5">
        <f>IF(AND($A1837&gt;=DATE(2020,2,1),$A1837&lt;=DATE(2020,5,31)),$M1837,"")</f>
        <v/>
      </c>
      <c r="O1837" s="5">
        <f>IF(AND($A1837&gt;=DATE(2022,1,1),$A1837&lt;=DATE(2022,10,31)),$M1837,"")</f>
        <v/>
      </c>
      <c r="P1837" s="5">
        <f>IF(AND($A1837&gt;=DATE(2018,10,1),$A1837&lt;=DATE(2018,12,31)),$M1837,"")</f>
        <v/>
      </c>
      <c r="Q1837" s="5">
        <f>SUMPRODUCT(Exposures!$B$8:$K$8,B1837:K1837)</f>
        <v/>
      </c>
      <c r="R1837" s="5">
        <f>SUMPRODUCT(Exposures!$B$9:$K$9,B1837:K1837)</f>
        <v/>
      </c>
      <c r="S1837" s="5">
        <f>SUMPRODUCT(Exposures!$B$10:$K$10,B1837:K1837)</f>
        <v/>
      </c>
    </row>
    <row r="1838">
      <c r="A1838" s="1" t="n">
        <v>45126</v>
      </c>
      <c r="B1838" s="5" t="n">
        <v>-0.002524637454379015</v>
      </c>
      <c r="C1838" s="5" t="n">
        <v>0.0003661504366142895</v>
      </c>
      <c r="D1838" s="5" t="n">
        <v>-0.002625557084069857</v>
      </c>
      <c r="E1838" s="5" t="n">
        <v>0.002732395124246589</v>
      </c>
      <c r="F1838" s="5" t="n">
        <v>0.007785110823496013</v>
      </c>
      <c r="G1838" s="5" t="n">
        <v>0.00533576153635393</v>
      </c>
      <c r="H1838" s="5" t="n">
        <v>-0.006375401271320792</v>
      </c>
      <c r="I1838" s="5" t="n">
        <v>-0.0002507152300272935</v>
      </c>
      <c r="J1838" s="5" t="n">
        <v>-0.0003182869758440483</v>
      </c>
      <c r="K1838" s="5" t="n">
        <v>-0.006969823065945869</v>
      </c>
      <c r="L1838" s="5" t="n">
        <v>0.002839582166794467</v>
      </c>
      <c r="M1838" s="5">
        <f>SUMPRODUCT(Exposures!$B$6:$K$6,B1838:K1838)</f>
        <v/>
      </c>
      <c r="N1838" s="5">
        <f>IF(AND($A1838&gt;=DATE(2020,2,1),$A1838&lt;=DATE(2020,5,31)),$M1838,"")</f>
        <v/>
      </c>
      <c r="O1838" s="5">
        <f>IF(AND($A1838&gt;=DATE(2022,1,1),$A1838&lt;=DATE(2022,10,31)),$M1838,"")</f>
        <v/>
      </c>
      <c r="P1838" s="5">
        <f>IF(AND($A1838&gt;=DATE(2018,10,1),$A1838&lt;=DATE(2018,12,31)),$M1838,"")</f>
        <v/>
      </c>
      <c r="Q1838" s="5">
        <f>SUMPRODUCT(Exposures!$B$8:$K$8,B1838:K1838)</f>
        <v/>
      </c>
      <c r="R1838" s="5">
        <f>SUMPRODUCT(Exposures!$B$9:$K$9,B1838:K1838)</f>
        <v/>
      </c>
      <c r="S1838" s="5">
        <f>SUMPRODUCT(Exposures!$B$10:$K$10,B1838:K1838)</f>
        <v/>
      </c>
    </row>
    <row r="1839">
      <c r="A1839" s="1" t="n">
        <v>45127</v>
      </c>
      <c r="B1839" s="5" t="n">
        <v>-0.0108228123758109</v>
      </c>
      <c r="C1839" s="5" t="n">
        <v>-0.0005550224564702163</v>
      </c>
      <c r="D1839" s="5" t="n">
        <v>0.002950030402079739</v>
      </c>
      <c r="E1839" s="5" t="n">
        <v>0.001350067776419937</v>
      </c>
      <c r="F1839" s="5" t="n">
        <v>-0.008950726133362029</v>
      </c>
      <c r="G1839" s="5" t="n">
        <v>-0.005118260301294215</v>
      </c>
      <c r="H1839" s="5" t="n">
        <v>-0.002412393941725768</v>
      </c>
      <c r="I1839" s="5" t="n">
        <v>0.0002493811825118918</v>
      </c>
      <c r="J1839" s="5" t="n">
        <v>-0.004663173194916588</v>
      </c>
      <c r="K1839" s="5" t="n">
        <v>0.006478963845533686</v>
      </c>
      <c r="L1839" s="5" t="n">
        <v>0.001921434624640638</v>
      </c>
      <c r="M1839" s="5">
        <f>SUMPRODUCT(Exposures!$B$6:$K$6,B1839:K1839)</f>
        <v/>
      </c>
      <c r="N1839" s="5">
        <f>IF(AND($A1839&gt;=DATE(2020,2,1),$A1839&lt;=DATE(2020,5,31)),$M1839,"")</f>
        <v/>
      </c>
      <c r="O1839" s="5">
        <f>IF(AND($A1839&gt;=DATE(2022,1,1),$A1839&lt;=DATE(2022,10,31)),$M1839,"")</f>
        <v/>
      </c>
      <c r="P1839" s="5">
        <f>IF(AND($A1839&gt;=DATE(2018,10,1),$A1839&lt;=DATE(2018,12,31)),$M1839,"")</f>
        <v/>
      </c>
      <c r="Q1839" s="5">
        <f>SUMPRODUCT(Exposures!$B$8:$K$8,B1839:K1839)</f>
        <v/>
      </c>
      <c r="R1839" s="5">
        <f>SUMPRODUCT(Exposures!$B$9:$K$9,B1839:K1839)</f>
        <v/>
      </c>
      <c r="S1839" s="5">
        <f>SUMPRODUCT(Exposures!$B$10:$K$10,B1839:K1839)</f>
        <v/>
      </c>
    </row>
    <row r="1840">
      <c r="A1840" s="1" t="n">
        <v>45128</v>
      </c>
      <c r="B1840" s="5" t="n">
        <v>-0.003009913155958856</v>
      </c>
      <c r="C1840" s="5" t="n">
        <v>-0.002316396365435997</v>
      </c>
      <c r="D1840" s="5" t="n">
        <v>-0.001115240746454382</v>
      </c>
      <c r="E1840" s="5" t="n">
        <v>-0.002044666656770501</v>
      </c>
      <c r="F1840" s="5" t="n">
        <v>0.002970645402922933</v>
      </c>
      <c r="G1840" s="5" t="n">
        <v>-0.001075978388249397</v>
      </c>
      <c r="H1840" s="5" t="n">
        <v>-0.001955819859432524</v>
      </c>
      <c r="I1840" s="5" t="n">
        <v>0.0002238597527597817</v>
      </c>
      <c r="J1840" s="5" t="n">
        <v>-0.001859229730649392</v>
      </c>
      <c r="K1840" s="5" t="n">
        <v>-0.0005645631863447713</v>
      </c>
      <c r="L1840" s="5" t="n">
        <v>0.0006466347035268931</v>
      </c>
      <c r="M1840" s="5">
        <f>SUMPRODUCT(Exposures!$B$6:$K$6,B1840:K1840)</f>
        <v/>
      </c>
      <c r="N1840" s="5">
        <f>IF(AND($A1840&gt;=DATE(2020,2,1),$A1840&lt;=DATE(2020,5,31)),$M1840,"")</f>
        <v/>
      </c>
      <c r="O1840" s="5">
        <f>IF(AND($A1840&gt;=DATE(2022,1,1),$A1840&lt;=DATE(2022,10,31)),$M1840,"")</f>
        <v/>
      </c>
      <c r="P1840" s="5">
        <f>IF(AND($A1840&gt;=DATE(2018,10,1),$A1840&lt;=DATE(2018,12,31)),$M1840,"")</f>
        <v/>
      </c>
      <c r="Q1840" s="5">
        <f>SUMPRODUCT(Exposures!$B$8:$K$8,B1840:K1840)</f>
        <v/>
      </c>
      <c r="R1840" s="5">
        <f>SUMPRODUCT(Exposures!$B$9:$K$9,B1840:K1840)</f>
        <v/>
      </c>
      <c r="S1840" s="5">
        <f>SUMPRODUCT(Exposures!$B$10:$K$10,B1840:K1840)</f>
        <v/>
      </c>
    </row>
    <row r="1841">
      <c r="A1841" s="1" t="n">
        <v>45131</v>
      </c>
      <c r="B1841" s="5" t="n">
        <v>0.001282103855876526</v>
      </c>
      <c r="C1841" s="5" t="n">
        <v>0.00179280155836925</v>
      </c>
      <c r="D1841" s="5" t="n">
        <v>0.001855107475473451</v>
      </c>
      <c r="E1841" s="5" t="n">
        <v>2.819901835835258e-05</v>
      </c>
      <c r="F1841" s="5" t="n">
        <v>-0.002171154148239216</v>
      </c>
      <c r="G1841" s="5" t="n">
        <v>0.002368392102084845</v>
      </c>
      <c r="H1841" s="5" t="n">
        <v>-0.002487400698385793</v>
      </c>
      <c r="I1841" s="5" t="n">
        <v>0.00188823953721263</v>
      </c>
      <c r="J1841" s="5" t="n">
        <v>0.002977941169059566</v>
      </c>
      <c r="K1841" s="5" t="n">
        <v>0.005516853014291924</v>
      </c>
      <c r="L1841" s="5" t="n">
        <v>0.005090152251343441</v>
      </c>
      <c r="M1841" s="5">
        <f>SUMPRODUCT(Exposures!$B$6:$K$6,B1841:K1841)</f>
        <v/>
      </c>
      <c r="N1841" s="5">
        <f>IF(AND($A1841&gt;=DATE(2020,2,1),$A1841&lt;=DATE(2020,5,31)),$M1841,"")</f>
        <v/>
      </c>
      <c r="O1841" s="5">
        <f>IF(AND($A1841&gt;=DATE(2022,1,1),$A1841&lt;=DATE(2022,10,31)),$M1841,"")</f>
        <v/>
      </c>
      <c r="P1841" s="5">
        <f>IF(AND($A1841&gt;=DATE(2018,10,1),$A1841&lt;=DATE(2018,12,31)),$M1841,"")</f>
        <v/>
      </c>
      <c r="Q1841" s="5">
        <f>SUMPRODUCT(Exposures!$B$8:$K$8,B1841:K1841)</f>
        <v/>
      </c>
      <c r="R1841" s="5">
        <f>SUMPRODUCT(Exposures!$B$9:$K$9,B1841:K1841)</f>
        <v/>
      </c>
      <c r="S1841" s="5">
        <f>SUMPRODUCT(Exposures!$B$10:$K$10,B1841:K1841)</f>
        <v/>
      </c>
    </row>
    <row r="1842">
      <c r="A1842" s="1" t="n">
        <v>45132</v>
      </c>
      <c r="B1842" s="5" t="n">
        <v>0.001117832946262218</v>
      </c>
      <c r="C1842" s="5" t="n">
        <v>-0.00197650985089133</v>
      </c>
      <c r="D1842" s="5" t="n">
        <v>0.001516610765647135</v>
      </c>
      <c r="E1842" s="5" t="n">
        <v>-0.001433867753110715</v>
      </c>
      <c r="F1842" s="5" t="n">
        <v>0.006064962878119795</v>
      </c>
      <c r="G1842" s="5" t="n">
        <v>0.001053980329285468</v>
      </c>
      <c r="H1842" s="5" t="n">
        <v>0.002304542052287221</v>
      </c>
      <c r="I1842" s="5" t="n">
        <v>-0.0006093553291408814</v>
      </c>
      <c r="J1842" s="5" t="n">
        <v>-0.0003457380318375776</v>
      </c>
      <c r="K1842" s="5" t="n">
        <v>-0.005851193424729076</v>
      </c>
      <c r="L1842" s="5" t="n">
        <v>-0.0008913782009600147</v>
      </c>
      <c r="M1842" s="5">
        <f>SUMPRODUCT(Exposures!$B$6:$K$6,B1842:K1842)</f>
        <v/>
      </c>
      <c r="N1842" s="5">
        <f>IF(AND($A1842&gt;=DATE(2020,2,1),$A1842&lt;=DATE(2020,5,31)),$M1842,"")</f>
        <v/>
      </c>
      <c r="O1842" s="5">
        <f>IF(AND($A1842&gt;=DATE(2022,1,1),$A1842&lt;=DATE(2022,10,31)),$M1842,"")</f>
        <v/>
      </c>
      <c r="P1842" s="5">
        <f>IF(AND($A1842&gt;=DATE(2018,10,1),$A1842&lt;=DATE(2018,12,31)),$M1842,"")</f>
        <v/>
      </c>
      <c r="Q1842" s="5">
        <f>SUMPRODUCT(Exposures!$B$8:$K$8,B1842:K1842)</f>
        <v/>
      </c>
      <c r="R1842" s="5">
        <f>SUMPRODUCT(Exposures!$B$9:$K$9,B1842:K1842)</f>
        <v/>
      </c>
      <c r="S1842" s="5">
        <f>SUMPRODUCT(Exposures!$B$10:$K$10,B1842:K1842)</f>
        <v/>
      </c>
    </row>
    <row r="1843">
      <c r="A1843" s="1" t="n">
        <v>45133</v>
      </c>
      <c r="B1843" s="5" t="n">
        <v>0.003921382090649004</v>
      </c>
      <c r="C1843" s="5" t="n">
        <v>0.001158171689497317</v>
      </c>
      <c r="D1843" s="5" t="n">
        <v>0.007189720046011999</v>
      </c>
      <c r="E1843" s="5" t="n">
        <v>0.0004309268504853967</v>
      </c>
      <c r="F1843" s="5" t="n">
        <v>-0.008091379766520681</v>
      </c>
      <c r="G1843" s="5" t="n">
        <v>0.004422921604747489</v>
      </c>
      <c r="H1843" s="5" t="n">
        <v>-0.004170954181730057</v>
      </c>
      <c r="I1843" s="5" t="n">
        <v>0.001202518641720311</v>
      </c>
      <c r="J1843" s="5" t="n">
        <v>-0.0006805740374778538</v>
      </c>
      <c r="K1843" s="5" t="n">
        <v>0.009200374911691876</v>
      </c>
      <c r="L1843" s="5" t="n">
        <v>0.0007621054970659072</v>
      </c>
      <c r="M1843" s="5">
        <f>SUMPRODUCT(Exposures!$B$6:$K$6,B1843:K1843)</f>
        <v/>
      </c>
      <c r="N1843" s="5">
        <f>IF(AND($A1843&gt;=DATE(2020,2,1),$A1843&lt;=DATE(2020,5,31)),$M1843,"")</f>
        <v/>
      </c>
      <c r="O1843" s="5">
        <f>IF(AND($A1843&gt;=DATE(2022,1,1),$A1843&lt;=DATE(2022,10,31)),$M1843,"")</f>
        <v/>
      </c>
      <c r="P1843" s="5">
        <f>IF(AND($A1843&gt;=DATE(2018,10,1),$A1843&lt;=DATE(2018,12,31)),$M1843,"")</f>
        <v/>
      </c>
      <c r="Q1843" s="5">
        <f>SUMPRODUCT(Exposures!$B$8:$K$8,B1843:K1843)</f>
        <v/>
      </c>
      <c r="R1843" s="5">
        <f>SUMPRODUCT(Exposures!$B$9:$K$9,B1843:K1843)</f>
        <v/>
      </c>
      <c r="S1843" s="5">
        <f>SUMPRODUCT(Exposures!$B$10:$K$10,B1843:K1843)</f>
        <v/>
      </c>
    </row>
    <row r="1844">
      <c r="A1844" s="1" t="n">
        <v>45134</v>
      </c>
      <c r="B1844" s="5" t="n">
        <v>0.001252819723562571</v>
      </c>
      <c r="C1844" s="5" t="n">
        <v>0.003343746552001417</v>
      </c>
      <c r="D1844" s="5" t="n">
        <v>-0.002443998253069257</v>
      </c>
      <c r="E1844" s="5" t="n">
        <v>0.0009514209747255005</v>
      </c>
      <c r="F1844" s="5" t="n">
        <v>-0.001409499492131308</v>
      </c>
      <c r="G1844" s="5" t="n">
        <v>-0.01021096071427534</v>
      </c>
      <c r="H1844" s="5" t="n">
        <v>0.003007624691307693</v>
      </c>
      <c r="I1844" s="5" t="n">
        <v>0.001455938349303827</v>
      </c>
      <c r="J1844" s="5" t="n">
        <v>-0.001666338904623717</v>
      </c>
      <c r="K1844" s="5" t="n">
        <v>0.004371108882801384</v>
      </c>
      <c r="L1844" s="5" t="n">
        <v>-0.00231519572089732</v>
      </c>
      <c r="M1844" s="5">
        <f>SUMPRODUCT(Exposures!$B$6:$K$6,B1844:K1844)</f>
        <v/>
      </c>
      <c r="N1844" s="5">
        <f>IF(AND($A1844&gt;=DATE(2020,2,1),$A1844&lt;=DATE(2020,5,31)),$M1844,"")</f>
        <v/>
      </c>
      <c r="O1844" s="5">
        <f>IF(AND($A1844&gt;=DATE(2022,1,1),$A1844&lt;=DATE(2022,10,31)),$M1844,"")</f>
        <v/>
      </c>
      <c r="P1844" s="5">
        <f>IF(AND($A1844&gt;=DATE(2018,10,1),$A1844&lt;=DATE(2018,12,31)),$M1844,"")</f>
        <v/>
      </c>
      <c r="Q1844" s="5">
        <f>SUMPRODUCT(Exposures!$B$8:$K$8,B1844:K1844)</f>
        <v/>
      </c>
      <c r="R1844" s="5">
        <f>SUMPRODUCT(Exposures!$B$9:$K$9,B1844:K1844)</f>
        <v/>
      </c>
      <c r="S1844" s="5">
        <f>SUMPRODUCT(Exposures!$B$10:$K$10,B1844:K1844)</f>
        <v/>
      </c>
    </row>
    <row r="1845">
      <c r="A1845" s="1" t="n">
        <v>45135</v>
      </c>
      <c r="B1845" s="5" t="n">
        <v>0.002168748760798286</v>
      </c>
      <c r="C1845" s="5" t="n">
        <v>0.0001446997746032338</v>
      </c>
      <c r="D1845" s="5" t="n">
        <v>0.0009872534109632699</v>
      </c>
      <c r="E1845" s="5" t="n">
        <v>-0.0006775560365498587</v>
      </c>
      <c r="F1845" s="5" t="n">
        <v>-0.000852574024132358</v>
      </c>
      <c r="G1845" s="5" t="n">
        <v>0.009514457029103498</v>
      </c>
      <c r="H1845" s="5" t="n">
        <v>7.706133747845456e-05</v>
      </c>
      <c r="I1845" s="5" t="n">
        <v>-0.00105358708629204</v>
      </c>
      <c r="J1845" s="5" t="n">
        <v>0.009206588249782894</v>
      </c>
      <c r="K1845" s="5" t="n">
        <v>0.005724782825091708</v>
      </c>
      <c r="L1845" s="5" t="n">
        <v>0.001297045687154444</v>
      </c>
      <c r="M1845" s="5">
        <f>SUMPRODUCT(Exposures!$B$6:$K$6,B1845:K1845)</f>
        <v/>
      </c>
      <c r="N1845" s="5">
        <f>IF(AND($A1845&gt;=DATE(2020,2,1),$A1845&lt;=DATE(2020,5,31)),$M1845,"")</f>
        <v/>
      </c>
      <c r="O1845" s="5">
        <f>IF(AND($A1845&gt;=DATE(2022,1,1),$A1845&lt;=DATE(2022,10,31)),$M1845,"")</f>
        <v/>
      </c>
      <c r="P1845" s="5">
        <f>IF(AND($A1845&gt;=DATE(2018,10,1),$A1845&lt;=DATE(2018,12,31)),$M1845,"")</f>
        <v/>
      </c>
      <c r="Q1845" s="5">
        <f>SUMPRODUCT(Exposures!$B$8:$K$8,B1845:K1845)</f>
        <v/>
      </c>
      <c r="R1845" s="5">
        <f>SUMPRODUCT(Exposures!$B$9:$K$9,B1845:K1845)</f>
        <v/>
      </c>
      <c r="S1845" s="5">
        <f>SUMPRODUCT(Exposures!$B$10:$K$10,B1845:K1845)</f>
        <v/>
      </c>
    </row>
    <row r="1846">
      <c r="A1846" s="1" t="n">
        <v>45138</v>
      </c>
      <c r="B1846" s="5" t="n">
        <v>0.001898136624283107</v>
      </c>
      <c r="C1846" s="5" t="n">
        <v>-0.002133771924777021</v>
      </c>
      <c r="D1846" s="5" t="n">
        <v>-0.00112313959381626</v>
      </c>
      <c r="E1846" s="5" t="n">
        <v>2.999403550831632e-05</v>
      </c>
      <c r="F1846" s="5" t="n">
        <v>0.003399359830597362</v>
      </c>
      <c r="G1846" s="5" t="n">
        <v>0.006276555941819784</v>
      </c>
      <c r="H1846" s="5" t="n">
        <v>0.001892237039368668</v>
      </c>
      <c r="I1846" s="5" t="n">
        <v>0.002549570055924976</v>
      </c>
      <c r="J1846" s="5" t="n">
        <v>0.005176232808787574</v>
      </c>
      <c r="K1846" s="5" t="n">
        <v>-0.003184738063039776</v>
      </c>
      <c r="L1846" s="5" t="n">
        <v>0.00285050323469564</v>
      </c>
      <c r="M1846" s="5">
        <f>SUMPRODUCT(Exposures!$B$6:$K$6,B1846:K1846)</f>
        <v/>
      </c>
      <c r="N1846" s="5">
        <f>IF(AND($A1846&gt;=DATE(2020,2,1),$A1846&lt;=DATE(2020,5,31)),$M1846,"")</f>
        <v/>
      </c>
      <c r="O1846" s="5">
        <f>IF(AND($A1846&gt;=DATE(2022,1,1),$A1846&lt;=DATE(2022,10,31)),$M1846,"")</f>
        <v/>
      </c>
      <c r="P1846" s="5">
        <f>IF(AND($A1846&gt;=DATE(2018,10,1),$A1846&lt;=DATE(2018,12,31)),$M1846,"")</f>
        <v/>
      </c>
      <c r="Q1846" s="5">
        <f>SUMPRODUCT(Exposures!$B$8:$K$8,B1846:K1846)</f>
        <v/>
      </c>
      <c r="R1846" s="5">
        <f>SUMPRODUCT(Exposures!$B$9:$K$9,B1846:K1846)</f>
        <v/>
      </c>
      <c r="S1846" s="5">
        <f>SUMPRODUCT(Exposures!$B$10:$K$10,B1846:K1846)</f>
        <v/>
      </c>
    </row>
    <row r="1847">
      <c r="A1847" s="1" t="n">
        <v>45139</v>
      </c>
      <c r="B1847" s="5" t="n">
        <v>0.0008127484003491842</v>
      </c>
      <c r="C1847" s="5" t="n">
        <v>-0.0008487736561989078</v>
      </c>
      <c r="D1847" s="5" t="n">
        <v>0.001739702307734403</v>
      </c>
      <c r="E1847" s="5" t="n">
        <v>0.001276151261906568</v>
      </c>
      <c r="F1847" s="5" t="n">
        <v>0.003056724052135847</v>
      </c>
      <c r="G1847" s="5" t="n">
        <v>-0.004249107222959215</v>
      </c>
      <c r="H1847" s="5" t="n">
        <v>0.003205337804625195</v>
      </c>
      <c r="I1847" s="5" t="n">
        <v>0.001869555831364046</v>
      </c>
      <c r="J1847" s="5" t="n">
        <v>-0.003997470975205658</v>
      </c>
      <c r="K1847" s="5" t="n">
        <v>-0.005213159865171972</v>
      </c>
      <c r="L1847" s="5" t="n">
        <v>-0.0009403005792330585</v>
      </c>
      <c r="M1847" s="5">
        <f>SUMPRODUCT(Exposures!$B$6:$K$6,B1847:K1847)</f>
        <v/>
      </c>
      <c r="N1847" s="5">
        <f>IF(AND($A1847&gt;=DATE(2020,2,1),$A1847&lt;=DATE(2020,5,31)),$M1847,"")</f>
        <v/>
      </c>
      <c r="O1847" s="5">
        <f>IF(AND($A1847&gt;=DATE(2022,1,1),$A1847&lt;=DATE(2022,10,31)),$M1847,"")</f>
        <v/>
      </c>
      <c r="P1847" s="5">
        <f>IF(AND($A1847&gt;=DATE(2018,10,1),$A1847&lt;=DATE(2018,12,31)),$M1847,"")</f>
        <v/>
      </c>
      <c r="Q1847" s="5">
        <f>SUMPRODUCT(Exposures!$B$8:$K$8,B1847:K1847)</f>
        <v/>
      </c>
      <c r="R1847" s="5">
        <f>SUMPRODUCT(Exposures!$B$9:$K$9,B1847:K1847)</f>
        <v/>
      </c>
      <c r="S1847" s="5">
        <f>SUMPRODUCT(Exposures!$B$10:$K$10,B1847:K1847)</f>
        <v/>
      </c>
    </row>
    <row r="1848">
      <c r="A1848" s="1" t="n">
        <v>45140</v>
      </c>
      <c r="B1848" s="5" t="n">
        <v>-0.009202690606969953</v>
      </c>
      <c r="C1848" s="5" t="n">
        <v>0.001361883984806077</v>
      </c>
      <c r="D1848" s="5" t="n">
        <v>0.00502150792387987</v>
      </c>
      <c r="E1848" s="5" t="n">
        <v>0.004191104085487031</v>
      </c>
      <c r="F1848" s="5" t="n">
        <v>-0.007065820255114591</v>
      </c>
      <c r="G1848" s="5" t="n">
        <v>-0.01245100215359586</v>
      </c>
      <c r="H1848" s="5" t="n">
        <v>-0.0004831608124182171</v>
      </c>
      <c r="I1848" s="5" t="n">
        <v>0.001214468272853836</v>
      </c>
      <c r="J1848" s="5" t="n">
        <v>-0.006311971186298001</v>
      </c>
      <c r="K1848" s="5" t="n">
        <v>0.0001261361337636987</v>
      </c>
      <c r="L1848" s="5" t="n">
        <v>-0.003009189063214745</v>
      </c>
      <c r="M1848" s="5">
        <f>SUMPRODUCT(Exposures!$B$6:$K$6,B1848:K1848)</f>
        <v/>
      </c>
      <c r="N1848" s="5">
        <f>IF(AND($A1848&gt;=DATE(2020,2,1),$A1848&lt;=DATE(2020,5,31)),$M1848,"")</f>
        <v/>
      </c>
      <c r="O1848" s="5">
        <f>IF(AND($A1848&gt;=DATE(2022,1,1),$A1848&lt;=DATE(2022,10,31)),$M1848,"")</f>
        <v/>
      </c>
      <c r="P1848" s="5">
        <f>IF(AND($A1848&gt;=DATE(2018,10,1),$A1848&lt;=DATE(2018,12,31)),$M1848,"")</f>
        <v/>
      </c>
      <c r="Q1848" s="5">
        <f>SUMPRODUCT(Exposures!$B$8:$K$8,B1848:K1848)</f>
        <v/>
      </c>
      <c r="R1848" s="5">
        <f>SUMPRODUCT(Exposures!$B$9:$K$9,B1848:K1848)</f>
        <v/>
      </c>
      <c r="S1848" s="5">
        <f>SUMPRODUCT(Exposures!$B$10:$K$10,B1848:K1848)</f>
        <v/>
      </c>
    </row>
    <row r="1849">
      <c r="A1849" s="1" t="n">
        <v>45141</v>
      </c>
      <c r="B1849" s="5" t="n">
        <v>0.001938209369510796</v>
      </c>
      <c r="C1849" s="5" t="n">
        <v>0.004947245720616618</v>
      </c>
      <c r="D1849" s="5" t="n">
        <v>0.003137109230564369</v>
      </c>
      <c r="E1849" s="5" t="n">
        <v>0.002444016300390485</v>
      </c>
      <c r="F1849" s="5" t="n">
        <v>-0.003491005829176733</v>
      </c>
      <c r="G1849" s="5" t="n">
        <v>-0.002445727067977957</v>
      </c>
      <c r="H1849" s="5" t="n">
        <v>-0.004583550609851368</v>
      </c>
      <c r="I1849" s="5" t="n">
        <v>-0.0002424439574127811</v>
      </c>
      <c r="J1849" s="5" t="n">
        <v>0.005512391817515022</v>
      </c>
      <c r="K1849" s="5" t="n">
        <v>0.005605520286347644</v>
      </c>
      <c r="L1849" s="5" t="n">
        <v>-0.002557865520905994</v>
      </c>
      <c r="M1849" s="5">
        <f>SUMPRODUCT(Exposures!$B$6:$K$6,B1849:K1849)</f>
        <v/>
      </c>
      <c r="N1849" s="5">
        <f>IF(AND($A1849&gt;=DATE(2020,2,1),$A1849&lt;=DATE(2020,5,31)),$M1849,"")</f>
        <v/>
      </c>
      <c r="O1849" s="5">
        <f>IF(AND($A1849&gt;=DATE(2022,1,1),$A1849&lt;=DATE(2022,10,31)),$M1849,"")</f>
        <v/>
      </c>
      <c r="P1849" s="5">
        <f>IF(AND($A1849&gt;=DATE(2018,10,1),$A1849&lt;=DATE(2018,12,31)),$M1849,"")</f>
        <v/>
      </c>
      <c r="Q1849" s="5">
        <f>SUMPRODUCT(Exposures!$B$8:$K$8,B1849:K1849)</f>
        <v/>
      </c>
      <c r="R1849" s="5">
        <f>SUMPRODUCT(Exposures!$B$9:$K$9,B1849:K1849)</f>
        <v/>
      </c>
      <c r="S1849" s="5">
        <f>SUMPRODUCT(Exposures!$B$10:$K$10,B1849:K1849)</f>
        <v/>
      </c>
    </row>
    <row r="1850">
      <c r="A1850" s="1" t="n">
        <v>45142</v>
      </c>
      <c r="B1850" s="5" t="n">
        <v>0.003776760833728801</v>
      </c>
      <c r="C1850" s="5" t="n">
        <v>0.00322390058814213</v>
      </c>
      <c r="D1850" s="5" t="n">
        <v>-0.001832066094602785</v>
      </c>
      <c r="E1850" s="5" t="n">
        <v>-0.0004668391695900401</v>
      </c>
      <c r="F1850" s="5" t="n">
        <v>0.00654182213551533</v>
      </c>
      <c r="G1850" s="5" t="n">
        <v>-0.001388247113363508</v>
      </c>
      <c r="H1850" s="5" t="n">
        <v>-0.006711800628760543</v>
      </c>
      <c r="I1850" s="5" t="n">
        <v>0.004133389363855345</v>
      </c>
      <c r="J1850" s="5" t="n">
        <v>-0.0001685442506344141</v>
      </c>
      <c r="K1850" s="5" t="n">
        <v>-0.008533150133645057</v>
      </c>
      <c r="L1850" s="5" t="n">
        <v>-0.001959317162316008</v>
      </c>
      <c r="M1850" s="5">
        <f>SUMPRODUCT(Exposures!$B$6:$K$6,B1850:K1850)</f>
        <v/>
      </c>
      <c r="N1850" s="5">
        <f>IF(AND($A1850&gt;=DATE(2020,2,1),$A1850&lt;=DATE(2020,5,31)),$M1850,"")</f>
        <v/>
      </c>
      <c r="O1850" s="5">
        <f>IF(AND($A1850&gt;=DATE(2022,1,1),$A1850&lt;=DATE(2022,10,31)),$M1850,"")</f>
        <v/>
      </c>
      <c r="P1850" s="5">
        <f>IF(AND($A1850&gt;=DATE(2018,10,1),$A1850&lt;=DATE(2018,12,31)),$M1850,"")</f>
        <v/>
      </c>
      <c r="Q1850" s="5">
        <f>SUMPRODUCT(Exposures!$B$8:$K$8,B1850:K1850)</f>
        <v/>
      </c>
      <c r="R1850" s="5">
        <f>SUMPRODUCT(Exposures!$B$9:$K$9,B1850:K1850)</f>
        <v/>
      </c>
      <c r="S1850" s="5">
        <f>SUMPRODUCT(Exposures!$B$10:$K$10,B1850:K1850)</f>
        <v/>
      </c>
    </row>
    <row r="1851">
      <c r="A1851" s="1" t="n">
        <v>45145</v>
      </c>
      <c r="B1851" s="5" t="n">
        <v>0.00210701153866654</v>
      </c>
      <c r="C1851" s="5" t="n">
        <v>0.00263786224521485</v>
      </c>
      <c r="D1851" s="5" t="n">
        <v>0.00267846029812505</v>
      </c>
      <c r="E1851" s="5" t="n">
        <v>0.001299793367656552</v>
      </c>
      <c r="F1851" s="5" t="n">
        <v>-0.00224823835407452</v>
      </c>
      <c r="G1851" s="5" t="n">
        <v>0.005544625346483562</v>
      </c>
      <c r="H1851" s="5" t="n">
        <v>0.004309317071028817</v>
      </c>
      <c r="I1851" s="5" t="n">
        <v>0.005304362095219925</v>
      </c>
      <c r="J1851" s="5" t="n">
        <v>-0.006194319304271155</v>
      </c>
      <c r="K1851" s="5" t="n">
        <v>3.348804608470054e-05</v>
      </c>
      <c r="L1851" s="5" t="n">
        <v>0.00165372624385066</v>
      </c>
      <c r="M1851" s="5">
        <f>SUMPRODUCT(Exposures!$B$6:$K$6,B1851:K1851)</f>
        <v/>
      </c>
      <c r="N1851" s="5">
        <f>IF(AND($A1851&gt;=DATE(2020,2,1),$A1851&lt;=DATE(2020,5,31)),$M1851,"")</f>
        <v/>
      </c>
      <c r="O1851" s="5">
        <f>IF(AND($A1851&gt;=DATE(2022,1,1),$A1851&lt;=DATE(2022,10,31)),$M1851,"")</f>
        <v/>
      </c>
      <c r="P1851" s="5">
        <f>IF(AND($A1851&gt;=DATE(2018,10,1),$A1851&lt;=DATE(2018,12,31)),$M1851,"")</f>
        <v/>
      </c>
      <c r="Q1851" s="5">
        <f>SUMPRODUCT(Exposures!$B$8:$K$8,B1851:K1851)</f>
        <v/>
      </c>
      <c r="R1851" s="5">
        <f>SUMPRODUCT(Exposures!$B$9:$K$9,B1851:K1851)</f>
        <v/>
      </c>
      <c r="S1851" s="5">
        <f>SUMPRODUCT(Exposures!$B$10:$K$10,B1851:K1851)</f>
        <v/>
      </c>
    </row>
    <row r="1852">
      <c r="A1852" s="1" t="n">
        <v>45146</v>
      </c>
      <c r="B1852" s="5" t="n">
        <v>-0.002286744485472355</v>
      </c>
      <c r="C1852" s="5" t="n">
        <v>-0.006150331618420598</v>
      </c>
      <c r="D1852" s="5" t="n">
        <v>-0.00339110300770771</v>
      </c>
      <c r="E1852" s="5" t="n">
        <v>0.001339847837045968</v>
      </c>
      <c r="F1852" s="5" t="n">
        <v>0.000606337022136496</v>
      </c>
      <c r="G1852" s="5" t="n">
        <v>-0.00321924750032656</v>
      </c>
      <c r="H1852" s="5" t="n">
        <v>6.125430778457678e-05</v>
      </c>
      <c r="I1852" s="5" t="n">
        <v>0.0001615347182274415</v>
      </c>
      <c r="J1852" s="5" t="n">
        <v>0.0009336029127788271</v>
      </c>
      <c r="K1852" s="5" t="n">
        <v>-0.002168758663920499</v>
      </c>
      <c r="L1852" s="5" t="n">
        <v>3.777394124518229e-05</v>
      </c>
      <c r="M1852" s="5">
        <f>SUMPRODUCT(Exposures!$B$6:$K$6,B1852:K1852)</f>
        <v/>
      </c>
      <c r="N1852" s="5">
        <f>IF(AND($A1852&gt;=DATE(2020,2,1),$A1852&lt;=DATE(2020,5,31)),$M1852,"")</f>
        <v/>
      </c>
      <c r="O1852" s="5">
        <f>IF(AND($A1852&gt;=DATE(2022,1,1),$A1852&lt;=DATE(2022,10,31)),$M1852,"")</f>
        <v/>
      </c>
      <c r="P1852" s="5">
        <f>IF(AND($A1852&gt;=DATE(2018,10,1),$A1852&lt;=DATE(2018,12,31)),$M1852,"")</f>
        <v/>
      </c>
      <c r="Q1852" s="5">
        <f>SUMPRODUCT(Exposures!$B$8:$K$8,B1852:K1852)</f>
        <v/>
      </c>
      <c r="R1852" s="5">
        <f>SUMPRODUCT(Exposures!$B$9:$K$9,B1852:K1852)</f>
        <v/>
      </c>
      <c r="S1852" s="5">
        <f>SUMPRODUCT(Exposures!$B$10:$K$10,B1852:K1852)</f>
        <v/>
      </c>
    </row>
    <row r="1853">
      <c r="A1853" s="1" t="n">
        <v>45147</v>
      </c>
      <c r="B1853" s="5" t="n">
        <v>-0.01041268988741123</v>
      </c>
      <c r="C1853" s="5" t="n">
        <v>-0.0006696255452078492</v>
      </c>
      <c r="D1853" s="5" t="n">
        <v>0.0007095015025144093</v>
      </c>
      <c r="E1853" s="5" t="n">
        <v>0.0002983071924124988</v>
      </c>
      <c r="F1853" s="5" t="n">
        <v>0.005990459669560874</v>
      </c>
      <c r="G1853" s="5" t="n">
        <v>-0.003900085625503033</v>
      </c>
      <c r="H1853" s="5" t="n">
        <v>-0.001978408731992344</v>
      </c>
      <c r="I1853" s="5" t="n">
        <v>-0.002692409180884947</v>
      </c>
      <c r="J1853" s="5" t="n">
        <v>0.006392911170618725</v>
      </c>
      <c r="K1853" s="5" t="n">
        <v>-0.003768063881530586</v>
      </c>
      <c r="L1853" s="5" t="n">
        <v>-0.003787935789716313</v>
      </c>
      <c r="M1853" s="5">
        <f>SUMPRODUCT(Exposures!$B$6:$K$6,B1853:K1853)</f>
        <v/>
      </c>
      <c r="N1853" s="5">
        <f>IF(AND($A1853&gt;=DATE(2020,2,1),$A1853&lt;=DATE(2020,5,31)),$M1853,"")</f>
        <v/>
      </c>
      <c r="O1853" s="5">
        <f>IF(AND($A1853&gt;=DATE(2022,1,1),$A1853&lt;=DATE(2022,10,31)),$M1853,"")</f>
        <v/>
      </c>
      <c r="P1853" s="5">
        <f>IF(AND($A1853&gt;=DATE(2018,10,1),$A1853&lt;=DATE(2018,12,31)),$M1853,"")</f>
        <v/>
      </c>
      <c r="Q1853" s="5">
        <f>SUMPRODUCT(Exposures!$B$8:$K$8,B1853:K1853)</f>
        <v/>
      </c>
      <c r="R1853" s="5">
        <f>SUMPRODUCT(Exposures!$B$9:$K$9,B1853:K1853)</f>
        <v/>
      </c>
      <c r="S1853" s="5">
        <f>SUMPRODUCT(Exposures!$B$10:$K$10,B1853:K1853)</f>
        <v/>
      </c>
    </row>
    <row r="1854">
      <c r="A1854" s="1" t="n">
        <v>45148</v>
      </c>
      <c r="B1854" s="5" t="n">
        <v>-0.001289800243150438</v>
      </c>
      <c r="C1854" s="5" t="n">
        <v>-0.0001432713319540885</v>
      </c>
      <c r="D1854" s="5" t="n">
        <v>0.001057513341588023</v>
      </c>
      <c r="E1854" s="5" t="n">
        <v>-0.0002010707435881017</v>
      </c>
      <c r="F1854" s="5" t="n">
        <v>-0.004952634945435117</v>
      </c>
      <c r="G1854" s="5" t="n">
        <v>0.001736450223082139</v>
      </c>
      <c r="H1854" s="5" t="n">
        <v>-0.0005675332436413678</v>
      </c>
      <c r="I1854" s="5" t="n">
        <v>0.0004895874180376944</v>
      </c>
      <c r="J1854" s="5" t="n">
        <v>0.002654605482851412</v>
      </c>
      <c r="K1854" s="5" t="n">
        <v>0.005395373777790118</v>
      </c>
      <c r="L1854" s="5" t="n">
        <v>-0.002167622933075443</v>
      </c>
      <c r="M1854" s="5">
        <f>SUMPRODUCT(Exposures!$B$6:$K$6,B1854:K1854)</f>
        <v/>
      </c>
      <c r="N1854" s="5">
        <f>IF(AND($A1854&gt;=DATE(2020,2,1),$A1854&lt;=DATE(2020,5,31)),$M1854,"")</f>
        <v/>
      </c>
      <c r="O1854" s="5">
        <f>IF(AND($A1854&gt;=DATE(2022,1,1),$A1854&lt;=DATE(2022,10,31)),$M1854,"")</f>
        <v/>
      </c>
      <c r="P1854" s="5">
        <f>IF(AND($A1854&gt;=DATE(2018,10,1),$A1854&lt;=DATE(2018,12,31)),$M1854,"")</f>
        <v/>
      </c>
      <c r="Q1854" s="5">
        <f>SUMPRODUCT(Exposures!$B$8:$K$8,B1854:K1854)</f>
        <v/>
      </c>
      <c r="R1854" s="5">
        <f>SUMPRODUCT(Exposures!$B$9:$K$9,B1854:K1854)</f>
        <v/>
      </c>
      <c r="S1854" s="5">
        <f>SUMPRODUCT(Exposures!$B$10:$K$10,B1854:K1854)</f>
        <v/>
      </c>
    </row>
    <row r="1855">
      <c r="A1855" s="1" t="n">
        <v>45149</v>
      </c>
      <c r="B1855" s="5" t="n">
        <v>-0.001603676707666729</v>
      </c>
      <c r="C1855" s="5" t="n">
        <v>6.260596608385725e-05</v>
      </c>
      <c r="D1855" s="5" t="n">
        <v>0.0002848787521523598</v>
      </c>
      <c r="E1855" s="5" t="n">
        <v>0.0007274462381620432</v>
      </c>
      <c r="F1855" s="5" t="n">
        <v>-0.001425042151581157</v>
      </c>
      <c r="G1855" s="5" t="n">
        <v>8.722878159715566e-05</v>
      </c>
      <c r="H1855" s="5" t="n">
        <v>-0.001777613793574862</v>
      </c>
      <c r="I1855" s="5" t="n">
        <v>0.0003944523392594169</v>
      </c>
      <c r="J1855" s="5" t="n">
        <v>-0.002362207191366994</v>
      </c>
      <c r="K1855" s="5" t="n">
        <v>-0.001101414548801584</v>
      </c>
      <c r="L1855" s="5" t="n">
        <v>-0.0006002493538405798</v>
      </c>
      <c r="M1855" s="5">
        <f>SUMPRODUCT(Exposures!$B$6:$K$6,B1855:K1855)</f>
        <v/>
      </c>
      <c r="N1855" s="5">
        <f>IF(AND($A1855&gt;=DATE(2020,2,1),$A1855&lt;=DATE(2020,5,31)),$M1855,"")</f>
        <v/>
      </c>
      <c r="O1855" s="5">
        <f>IF(AND($A1855&gt;=DATE(2022,1,1),$A1855&lt;=DATE(2022,10,31)),$M1855,"")</f>
        <v/>
      </c>
      <c r="P1855" s="5">
        <f>IF(AND($A1855&gt;=DATE(2018,10,1),$A1855&lt;=DATE(2018,12,31)),$M1855,"")</f>
        <v/>
      </c>
      <c r="Q1855" s="5">
        <f>SUMPRODUCT(Exposures!$B$8:$K$8,B1855:K1855)</f>
        <v/>
      </c>
      <c r="R1855" s="5">
        <f>SUMPRODUCT(Exposures!$B$9:$K$9,B1855:K1855)</f>
        <v/>
      </c>
      <c r="S1855" s="5">
        <f>SUMPRODUCT(Exposures!$B$10:$K$10,B1855:K1855)</f>
        <v/>
      </c>
    </row>
    <row r="1856">
      <c r="A1856" s="1" t="n">
        <v>45152</v>
      </c>
      <c r="B1856" s="5" t="n">
        <v>0.002952891264618989</v>
      </c>
      <c r="C1856" s="5" t="n">
        <v>-0.001871882356637189</v>
      </c>
      <c r="D1856" s="5" t="n">
        <v>0.002218693266141091</v>
      </c>
      <c r="E1856" s="5" t="n">
        <v>-0.002635089256266516</v>
      </c>
      <c r="F1856" s="5" t="n">
        <v>0.008393760866570534</v>
      </c>
      <c r="G1856" s="5" t="n">
        <v>0.0003192964913404287</v>
      </c>
      <c r="H1856" s="5" t="n">
        <v>0.00573978371806123</v>
      </c>
      <c r="I1856" s="5" t="n">
        <v>0.002951479519930962</v>
      </c>
      <c r="J1856" s="5" t="n">
        <v>-0.001724220705487257</v>
      </c>
      <c r="K1856" s="5" t="n">
        <v>-0.008207847467101504</v>
      </c>
      <c r="L1856" s="5" t="n">
        <v>-0.002251069848769156</v>
      </c>
      <c r="M1856" s="5">
        <f>SUMPRODUCT(Exposures!$B$6:$K$6,B1856:K1856)</f>
        <v/>
      </c>
      <c r="N1856" s="5">
        <f>IF(AND($A1856&gt;=DATE(2020,2,1),$A1856&lt;=DATE(2020,5,31)),$M1856,"")</f>
        <v/>
      </c>
      <c r="O1856" s="5">
        <f>IF(AND($A1856&gt;=DATE(2022,1,1),$A1856&lt;=DATE(2022,10,31)),$M1856,"")</f>
        <v/>
      </c>
      <c r="P1856" s="5">
        <f>IF(AND($A1856&gt;=DATE(2018,10,1),$A1856&lt;=DATE(2018,12,31)),$M1856,"")</f>
        <v/>
      </c>
      <c r="Q1856" s="5">
        <f>SUMPRODUCT(Exposures!$B$8:$K$8,B1856:K1856)</f>
        <v/>
      </c>
      <c r="R1856" s="5">
        <f>SUMPRODUCT(Exposures!$B$9:$K$9,B1856:K1856)</f>
        <v/>
      </c>
      <c r="S1856" s="5">
        <f>SUMPRODUCT(Exposures!$B$10:$K$10,B1856:K1856)</f>
        <v/>
      </c>
    </row>
    <row r="1857">
      <c r="A1857" s="1" t="n">
        <v>45153</v>
      </c>
      <c r="B1857" s="5" t="n">
        <v>-0.004861113869735914</v>
      </c>
      <c r="C1857" s="5" t="n">
        <v>0.0004197733975993897</v>
      </c>
      <c r="D1857" s="5" t="n">
        <v>0.0008830556246739858</v>
      </c>
      <c r="E1857" s="5" t="n">
        <v>-9.993390403392711e-05</v>
      </c>
      <c r="F1857" s="5" t="n">
        <v>-0.001561809122616162</v>
      </c>
      <c r="G1857" s="5" t="n">
        <v>-0.01465440930099694</v>
      </c>
      <c r="H1857" s="5" t="n">
        <v>0.0006963929086690528</v>
      </c>
      <c r="I1857" s="5" t="n">
        <v>1.117079624910768e-05</v>
      </c>
      <c r="J1857" s="5" t="n">
        <v>-0.0006904715266046716</v>
      </c>
      <c r="K1857" s="5" t="n">
        <v>0.001571394566131703</v>
      </c>
      <c r="L1857" s="5" t="n">
        <v>-0.003461494645691721</v>
      </c>
      <c r="M1857" s="5">
        <f>SUMPRODUCT(Exposures!$B$6:$K$6,B1857:K1857)</f>
        <v/>
      </c>
      <c r="N1857" s="5">
        <f>IF(AND($A1857&gt;=DATE(2020,2,1),$A1857&lt;=DATE(2020,5,31)),$M1857,"")</f>
        <v/>
      </c>
      <c r="O1857" s="5">
        <f>IF(AND($A1857&gt;=DATE(2022,1,1),$A1857&lt;=DATE(2022,10,31)),$M1857,"")</f>
        <v/>
      </c>
      <c r="P1857" s="5">
        <f>IF(AND($A1857&gt;=DATE(2018,10,1),$A1857&lt;=DATE(2018,12,31)),$M1857,"")</f>
        <v/>
      </c>
      <c r="Q1857" s="5">
        <f>SUMPRODUCT(Exposures!$B$8:$K$8,B1857:K1857)</f>
        <v/>
      </c>
      <c r="R1857" s="5">
        <f>SUMPRODUCT(Exposures!$B$9:$K$9,B1857:K1857)</f>
        <v/>
      </c>
      <c r="S1857" s="5">
        <f>SUMPRODUCT(Exposures!$B$10:$K$10,B1857:K1857)</f>
        <v/>
      </c>
    </row>
    <row r="1858">
      <c r="A1858" s="1" t="n">
        <v>45154</v>
      </c>
      <c r="B1858" s="5" t="n">
        <v>-0.003002360983991023</v>
      </c>
      <c r="C1858" s="5" t="n">
        <v>-0.002700327236538221</v>
      </c>
      <c r="D1858" s="5" t="n">
        <v>-0.001043580391011925</v>
      </c>
      <c r="E1858" s="5" t="n">
        <v>0.0007467684503833503</v>
      </c>
      <c r="F1858" s="5" t="n">
        <v>-0.003390658629297914</v>
      </c>
      <c r="G1858" s="5" t="n">
        <v>-0.008260355045197846</v>
      </c>
      <c r="H1858" s="5" t="n">
        <v>0.0007276964756291765</v>
      </c>
      <c r="I1858" s="5" t="n">
        <v>-0.00226025428254986</v>
      </c>
      <c r="J1858" s="5" t="n">
        <v>-0.002674904451945428</v>
      </c>
      <c r="K1858" s="5" t="n">
        <v>0.002397409401210545</v>
      </c>
      <c r="L1858" s="5" t="n">
        <v>5.253697926082358e-05</v>
      </c>
      <c r="M1858" s="5">
        <f>SUMPRODUCT(Exposures!$B$6:$K$6,B1858:K1858)</f>
        <v/>
      </c>
      <c r="N1858" s="5">
        <f>IF(AND($A1858&gt;=DATE(2020,2,1),$A1858&lt;=DATE(2020,5,31)),$M1858,"")</f>
        <v/>
      </c>
      <c r="O1858" s="5">
        <f>IF(AND($A1858&gt;=DATE(2022,1,1),$A1858&lt;=DATE(2022,10,31)),$M1858,"")</f>
        <v/>
      </c>
      <c r="P1858" s="5">
        <f>IF(AND($A1858&gt;=DATE(2018,10,1),$A1858&lt;=DATE(2018,12,31)),$M1858,"")</f>
        <v/>
      </c>
      <c r="Q1858" s="5">
        <f>SUMPRODUCT(Exposures!$B$8:$K$8,B1858:K1858)</f>
        <v/>
      </c>
      <c r="R1858" s="5">
        <f>SUMPRODUCT(Exposures!$B$9:$K$9,B1858:K1858)</f>
        <v/>
      </c>
      <c r="S1858" s="5">
        <f>SUMPRODUCT(Exposures!$B$10:$K$10,B1858:K1858)</f>
        <v/>
      </c>
    </row>
    <row r="1859">
      <c r="A1859" s="1" t="n">
        <v>45155</v>
      </c>
      <c r="B1859" s="5" t="n">
        <v>4.519353909555597e-05</v>
      </c>
      <c r="C1859" s="5" t="n">
        <v>0.001569198632770245</v>
      </c>
      <c r="D1859" s="5" t="n">
        <v>6.745829549611322e-05</v>
      </c>
      <c r="E1859" s="5" t="n">
        <v>8.269184215646312e-05</v>
      </c>
      <c r="F1859" s="5" t="n">
        <v>-0.008636353061968655</v>
      </c>
      <c r="G1859" s="5" t="n">
        <v>-0.009194744067389751</v>
      </c>
      <c r="H1859" s="5" t="n">
        <v>-0.003946270393669049</v>
      </c>
      <c r="I1859" s="5" t="n">
        <v>0.001303008360619741</v>
      </c>
      <c r="J1859" s="5" t="n">
        <v>0.0001586172724711892</v>
      </c>
      <c r="K1859" s="5" t="n">
        <v>0.009931275652166923</v>
      </c>
      <c r="L1859" s="5" t="n">
        <v>-0.0002489133851474019</v>
      </c>
      <c r="M1859" s="5">
        <f>SUMPRODUCT(Exposures!$B$6:$K$6,B1859:K1859)</f>
        <v/>
      </c>
      <c r="N1859" s="5">
        <f>IF(AND($A1859&gt;=DATE(2020,2,1),$A1859&lt;=DATE(2020,5,31)),$M1859,"")</f>
        <v/>
      </c>
      <c r="O1859" s="5">
        <f>IF(AND($A1859&gt;=DATE(2022,1,1),$A1859&lt;=DATE(2022,10,31)),$M1859,"")</f>
        <v/>
      </c>
      <c r="P1859" s="5">
        <f>IF(AND($A1859&gt;=DATE(2018,10,1),$A1859&lt;=DATE(2018,12,31)),$M1859,"")</f>
        <v/>
      </c>
      <c r="Q1859" s="5">
        <f>SUMPRODUCT(Exposures!$B$8:$K$8,B1859:K1859)</f>
        <v/>
      </c>
      <c r="R1859" s="5">
        <f>SUMPRODUCT(Exposures!$B$9:$K$9,B1859:K1859)</f>
        <v/>
      </c>
      <c r="S1859" s="5">
        <f>SUMPRODUCT(Exposures!$B$10:$K$10,B1859:K1859)</f>
        <v/>
      </c>
    </row>
    <row r="1860">
      <c r="A1860" s="1" t="n">
        <v>45156</v>
      </c>
      <c r="B1860" s="5" t="n">
        <v>0.001795761862970574</v>
      </c>
      <c r="C1860" s="5" t="n">
        <v>-0.0008367685430260186</v>
      </c>
      <c r="D1860" s="5" t="n">
        <v>2.380244189297934e-05</v>
      </c>
      <c r="E1860" s="5" t="n">
        <v>-0.0002165019143466231</v>
      </c>
      <c r="F1860" s="5" t="n">
        <v>0.005173733830931053</v>
      </c>
      <c r="G1860" s="5" t="n">
        <v>0.004317082951155333</v>
      </c>
      <c r="H1860" s="5" t="n">
        <v>0.002065178791019385</v>
      </c>
      <c r="I1860" s="5" t="n">
        <v>-0.0001269504395990746</v>
      </c>
      <c r="J1860" s="5" t="n">
        <v>-0.001314067120025067</v>
      </c>
      <c r="K1860" s="5" t="n">
        <v>-0.009346698111429814</v>
      </c>
      <c r="L1860" s="5" t="n">
        <v>-0.002171421560612431</v>
      </c>
      <c r="M1860" s="5">
        <f>SUMPRODUCT(Exposures!$B$6:$K$6,B1860:K1860)</f>
        <v/>
      </c>
      <c r="N1860" s="5">
        <f>IF(AND($A1860&gt;=DATE(2020,2,1),$A1860&lt;=DATE(2020,5,31)),$M1860,"")</f>
        <v/>
      </c>
      <c r="O1860" s="5">
        <f>IF(AND($A1860&gt;=DATE(2022,1,1),$A1860&lt;=DATE(2022,10,31)),$M1860,"")</f>
        <v/>
      </c>
      <c r="P1860" s="5">
        <f>IF(AND($A1860&gt;=DATE(2018,10,1),$A1860&lt;=DATE(2018,12,31)),$M1860,"")</f>
        <v/>
      </c>
      <c r="Q1860" s="5">
        <f>SUMPRODUCT(Exposures!$B$8:$K$8,B1860:K1860)</f>
        <v/>
      </c>
      <c r="R1860" s="5">
        <f>SUMPRODUCT(Exposures!$B$9:$K$9,B1860:K1860)</f>
        <v/>
      </c>
      <c r="S1860" s="5">
        <f>SUMPRODUCT(Exposures!$B$10:$K$10,B1860:K1860)</f>
        <v/>
      </c>
    </row>
    <row r="1861">
      <c r="A1861" s="1" t="n">
        <v>45159</v>
      </c>
      <c r="B1861" s="5" t="n">
        <v>-1.640788897992306e-05</v>
      </c>
      <c r="C1861" s="5" t="n">
        <v>-0.001994567739731213</v>
      </c>
      <c r="D1861" s="5" t="n">
        <v>0.003999679976812225</v>
      </c>
      <c r="E1861" s="5" t="n">
        <v>-0.003260658059569189</v>
      </c>
      <c r="F1861" s="5" t="n">
        <v>0.005859370840350618</v>
      </c>
      <c r="G1861" s="5" t="n">
        <v>0.0003187449966224564</v>
      </c>
      <c r="H1861" s="5" t="n">
        <v>0.002898043241804244</v>
      </c>
      <c r="I1861" s="5" t="n">
        <v>0.001918086245233675</v>
      </c>
      <c r="J1861" s="5" t="n">
        <v>-0.0004651967751151098</v>
      </c>
      <c r="K1861" s="5" t="n">
        <v>-0.003223463606798079</v>
      </c>
      <c r="L1861" s="5" t="n">
        <v>0.0008823645625248495</v>
      </c>
      <c r="M1861" s="5">
        <f>SUMPRODUCT(Exposures!$B$6:$K$6,B1861:K1861)</f>
        <v/>
      </c>
      <c r="N1861" s="5">
        <f>IF(AND($A1861&gt;=DATE(2020,2,1),$A1861&lt;=DATE(2020,5,31)),$M1861,"")</f>
        <v/>
      </c>
      <c r="O1861" s="5">
        <f>IF(AND($A1861&gt;=DATE(2022,1,1),$A1861&lt;=DATE(2022,10,31)),$M1861,"")</f>
        <v/>
      </c>
      <c r="P1861" s="5">
        <f>IF(AND($A1861&gt;=DATE(2018,10,1),$A1861&lt;=DATE(2018,12,31)),$M1861,"")</f>
        <v/>
      </c>
      <c r="Q1861" s="5">
        <f>SUMPRODUCT(Exposures!$B$8:$K$8,B1861:K1861)</f>
        <v/>
      </c>
      <c r="R1861" s="5">
        <f>SUMPRODUCT(Exposures!$B$9:$K$9,B1861:K1861)</f>
        <v/>
      </c>
      <c r="S1861" s="5">
        <f>SUMPRODUCT(Exposures!$B$10:$K$10,B1861:K1861)</f>
        <v/>
      </c>
    </row>
    <row r="1862">
      <c r="A1862" s="1" t="n">
        <v>45160</v>
      </c>
      <c r="B1862" s="5" t="n">
        <v>-0.0005695701635576874</v>
      </c>
      <c r="C1862" s="5" t="n">
        <v>-0.00430576841499703</v>
      </c>
      <c r="D1862" s="5" t="n">
        <v>-0.002077005611635154</v>
      </c>
      <c r="E1862" s="5" t="n">
        <v>-0.002547611706441502</v>
      </c>
      <c r="F1862" s="5" t="n">
        <v>-0.004703535419187307</v>
      </c>
      <c r="G1862" s="5" t="n">
        <v>-0.004993945802946085</v>
      </c>
      <c r="H1862" s="5" t="n">
        <v>0.00146825037697639</v>
      </c>
      <c r="I1862" s="5" t="n">
        <v>-0.001302609763296951</v>
      </c>
      <c r="J1862" s="5" t="n">
        <v>-0.00092092096250594</v>
      </c>
      <c r="K1862" s="5" t="n">
        <v>0.005667162473334809</v>
      </c>
      <c r="L1862" s="5" t="n">
        <v>-0.00218875934657404</v>
      </c>
      <c r="M1862" s="5">
        <f>SUMPRODUCT(Exposures!$B$6:$K$6,B1862:K1862)</f>
        <v/>
      </c>
      <c r="N1862" s="5">
        <f>IF(AND($A1862&gt;=DATE(2020,2,1),$A1862&lt;=DATE(2020,5,31)),$M1862,"")</f>
        <v/>
      </c>
      <c r="O1862" s="5">
        <f>IF(AND($A1862&gt;=DATE(2022,1,1),$A1862&lt;=DATE(2022,10,31)),$M1862,"")</f>
        <v/>
      </c>
      <c r="P1862" s="5">
        <f>IF(AND($A1862&gt;=DATE(2018,10,1),$A1862&lt;=DATE(2018,12,31)),$M1862,"")</f>
        <v/>
      </c>
      <c r="Q1862" s="5">
        <f>SUMPRODUCT(Exposures!$B$8:$K$8,B1862:K1862)</f>
        <v/>
      </c>
      <c r="R1862" s="5">
        <f>SUMPRODUCT(Exposures!$B$9:$K$9,B1862:K1862)</f>
        <v/>
      </c>
      <c r="S1862" s="5">
        <f>SUMPRODUCT(Exposures!$B$10:$K$10,B1862:K1862)</f>
        <v/>
      </c>
    </row>
    <row r="1863">
      <c r="A1863" s="1" t="n">
        <v>45161</v>
      </c>
      <c r="B1863" s="5" t="n">
        <v>0.004152721030158724</v>
      </c>
      <c r="C1863" s="5" t="n">
        <v>0.0003965315831095662</v>
      </c>
      <c r="D1863" s="5" t="n">
        <v>0.004226649448118181</v>
      </c>
      <c r="E1863" s="5" t="n">
        <v>0.0004886412074715819</v>
      </c>
      <c r="F1863" s="5" t="n">
        <v>0.0009935311764086969</v>
      </c>
      <c r="G1863" s="5" t="n">
        <v>0.01154419350663139</v>
      </c>
      <c r="H1863" s="5" t="n">
        <v>0.004296266178986613</v>
      </c>
      <c r="I1863" s="5" t="n">
        <v>-0.0004484599179726132</v>
      </c>
      <c r="J1863" s="5" t="n">
        <v>0.00336308143767147</v>
      </c>
      <c r="K1863" s="5" t="n">
        <v>0.0002587647294699839</v>
      </c>
      <c r="L1863" s="5" t="n">
        <v>0.0003342248013203972</v>
      </c>
      <c r="M1863" s="5">
        <f>SUMPRODUCT(Exposures!$B$6:$K$6,B1863:K1863)</f>
        <v/>
      </c>
      <c r="N1863" s="5">
        <f>IF(AND($A1863&gt;=DATE(2020,2,1),$A1863&lt;=DATE(2020,5,31)),$M1863,"")</f>
        <v/>
      </c>
      <c r="O1863" s="5">
        <f>IF(AND($A1863&gt;=DATE(2022,1,1),$A1863&lt;=DATE(2022,10,31)),$M1863,"")</f>
        <v/>
      </c>
      <c r="P1863" s="5">
        <f>IF(AND($A1863&gt;=DATE(2018,10,1),$A1863&lt;=DATE(2018,12,31)),$M1863,"")</f>
        <v/>
      </c>
      <c r="Q1863" s="5">
        <f>SUMPRODUCT(Exposures!$B$8:$K$8,B1863:K1863)</f>
        <v/>
      </c>
      <c r="R1863" s="5">
        <f>SUMPRODUCT(Exposures!$B$9:$K$9,B1863:K1863)</f>
        <v/>
      </c>
      <c r="S1863" s="5">
        <f>SUMPRODUCT(Exposures!$B$10:$K$10,B1863:K1863)</f>
        <v/>
      </c>
    </row>
    <row r="1864">
      <c r="A1864" s="1" t="n">
        <v>45162</v>
      </c>
      <c r="B1864" s="5" t="n">
        <v>-0.003835680637126725</v>
      </c>
      <c r="C1864" s="5" t="n">
        <v>0.002380214269477952</v>
      </c>
      <c r="D1864" s="5" t="n">
        <v>-0.0009455928119877968</v>
      </c>
      <c r="E1864" s="5" t="n">
        <v>0.002542067349997155</v>
      </c>
      <c r="F1864" s="5" t="n">
        <v>-0.009106076581085263</v>
      </c>
      <c r="G1864" s="5" t="n">
        <v>-0.0106443330063585</v>
      </c>
      <c r="H1864" s="5" t="n">
        <v>-0.003064577537844206</v>
      </c>
      <c r="I1864" s="5" t="n">
        <v>-0.002044413533575374</v>
      </c>
      <c r="J1864" s="5" t="n">
        <v>-0.005224577146281443</v>
      </c>
      <c r="K1864" s="5" t="n">
        <v>0.005754940953897142</v>
      </c>
      <c r="L1864" s="5" t="n">
        <v>0.001929575562603471</v>
      </c>
      <c r="M1864" s="5">
        <f>SUMPRODUCT(Exposures!$B$6:$K$6,B1864:K1864)</f>
        <v/>
      </c>
      <c r="N1864" s="5">
        <f>IF(AND($A1864&gt;=DATE(2020,2,1),$A1864&lt;=DATE(2020,5,31)),$M1864,"")</f>
        <v/>
      </c>
      <c r="O1864" s="5">
        <f>IF(AND($A1864&gt;=DATE(2022,1,1),$A1864&lt;=DATE(2022,10,31)),$M1864,"")</f>
        <v/>
      </c>
      <c r="P1864" s="5">
        <f>IF(AND($A1864&gt;=DATE(2018,10,1),$A1864&lt;=DATE(2018,12,31)),$M1864,"")</f>
        <v/>
      </c>
      <c r="Q1864" s="5">
        <f>SUMPRODUCT(Exposures!$B$8:$K$8,B1864:K1864)</f>
        <v/>
      </c>
      <c r="R1864" s="5">
        <f>SUMPRODUCT(Exposures!$B$9:$K$9,B1864:K1864)</f>
        <v/>
      </c>
      <c r="S1864" s="5">
        <f>SUMPRODUCT(Exposures!$B$10:$K$10,B1864:K1864)</f>
        <v/>
      </c>
    </row>
    <row r="1865">
      <c r="A1865" s="1" t="n">
        <v>45163</v>
      </c>
      <c r="B1865" s="5" t="n">
        <v>0.004062489456871401</v>
      </c>
      <c r="C1865" s="5" t="n">
        <v>-0.005073002312174479</v>
      </c>
      <c r="D1865" s="5" t="n">
        <v>0.000472471038082676</v>
      </c>
      <c r="E1865" s="5" t="n">
        <v>-0.001994214850342034</v>
      </c>
      <c r="F1865" s="5" t="n">
        <v>0.002696652073520869</v>
      </c>
      <c r="G1865" s="5" t="n">
        <v>0.004796983188081148</v>
      </c>
      <c r="H1865" s="5" t="n">
        <v>-0.00109308269129569</v>
      </c>
      <c r="I1865" s="5" t="n">
        <v>0.0006127175355533959</v>
      </c>
      <c r="J1865" s="5" t="n">
        <v>-0.002726275054415888</v>
      </c>
      <c r="K1865" s="5" t="n">
        <v>-0.001652976980436356</v>
      </c>
      <c r="L1865" s="5" t="n">
        <v>0.0002564286261067857</v>
      </c>
      <c r="M1865" s="5">
        <f>SUMPRODUCT(Exposures!$B$6:$K$6,B1865:K1865)</f>
        <v/>
      </c>
      <c r="N1865" s="5">
        <f>IF(AND($A1865&gt;=DATE(2020,2,1),$A1865&lt;=DATE(2020,5,31)),$M1865,"")</f>
        <v/>
      </c>
      <c r="O1865" s="5">
        <f>IF(AND($A1865&gt;=DATE(2022,1,1),$A1865&lt;=DATE(2022,10,31)),$M1865,"")</f>
        <v/>
      </c>
      <c r="P1865" s="5">
        <f>IF(AND($A1865&gt;=DATE(2018,10,1),$A1865&lt;=DATE(2018,12,31)),$M1865,"")</f>
        <v/>
      </c>
      <c r="Q1865" s="5">
        <f>SUMPRODUCT(Exposures!$B$8:$K$8,B1865:K1865)</f>
        <v/>
      </c>
      <c r="R1865" s="5">
        <f>SUMPRODUCT(Exposures!$B$9:$K$9,B1865:K1865)</f>
        <v/>
      </c>
      <c r="S1865" s="5">
        <f>SUMPRODUCT(Exposures!$B$10:$K$10,B1865:K1865)</f>
        <v/>
      </c>
    </row>
    <row r="1866">
      <c r="A1866" s="1" t="n">
        <v>45166</v>
      </c>
      <c r="B1866" s="5" t="n">
        <v>0.003248780541372765</v>
      </c>
      <c r="C1866" s="5" t="n">
        <v>0.001447241865112805</v>
      </c>
      <c r="D1866" s="5" t="n">
        <v>-0.002320881779081995</v>
      </c>
      <c r="E1866" s="5" t="n">
        <v>-0.0001184840673397554</v>
      </c>
      <c r="F1866" s="5" t="n">
        <v>-0.00402022584171328</v>
      </c>
      <c r="G1866" s="5" t="n">
        <v>0.009119377207940803</v>
      </c>
      <c r="H1866" s="5" t="n">
        <v>-0.000827851685270207</v>
      </c>
      <c r="I1866" s="5" t="n">
        <v>-0.0003504194825239366</v>
      </c>
      <c r="J1866" s="5" t="n">
        <v>0.002486535756698422</v>
      </c>
      <c r="K1866" s="5" t="n">
        <v>0.004017087866256305</v>
      </c>
      <c r="L1866" s="5" t="n">
        <v>0.0005534478304833393</v>
      </c>
      <c r="M1866" s="5">
        <f>SUMPRODUCT(Exposures!$B$6:$K$6,B1866:K1866)</f>
        <v/>
      </c>
      <c r="N1866" s="5">
        <f>IF(AND($A1866&gt;=DATE(2020,2,1),$A1866&lt;=DATE(2020,5,31)),$M1866,"")</f>
        <v/>
      </c>
      <c r="O1866" s="5">
        <f>IF(AND($A1866&gt;=DATE(2022,1,1),$A1866&lt;=DATE(2022,10,31)),$M1866,"")</f>
        <v/>
      </c>
      <c r="P1866" s="5">
        <f>IF(AND($A1866&gt;=DATE(2018,10,1),$A1866&lt;=DATE(2018,12,31)),$M1866,"")</f>
        <v/>
      </c>
      <c r="Q1866" s="5">
        <f>SUMPRODUCT(Exposures!$B$8:$K$8,B1866:K1866)</f>
        <v/>
      </c>
      <c r="R1866" s="5">
        <f>SUMPRODUCT(Exposures!$B$9:$K$9,B1866:K1866)</f>
        <v/>
      </c>
      <c r="S1866" s="5">
        <f>SUMPRODUCT(Exposures!$B$10:$K$10,B1866:K1866)</f>
        <v/>
      </c>
    </row>
    <row r="1867">
      <c r="A1867" s="1" t="n">
        <v>45167</v>
      </c>
      <c r="B1867" s="5" t="n">
        <v>0.005592433492991779</v>
      </c>
      <c r="C1867" s="5" t="n">
        <v>0.0003173292788331112</v>
      </c>
      <c r="D1867" s="5" t="n">
        <v>-0.00288681868968384</v>
      </c>
      <c r="E1867" s="5" t="n">
        <v>0.001442685941002884</v>
      </c>
      <c r="F1867" s="5" t="n">
        <v>0.004902799296788488</v>
      </c>
      <c r="G1867" s="5" t="n">
        <v>0.01478686523623284</v>
      </c>
      <c r="H1867" s="5" t="n">
        <v>0.001768422493414291</v>
      </c>
      <c r="I1867" s="5" t="n">
        <v>0.000260949502856767</v>
      </c>
      <c r="J1867" s="5" t="n">
        <v>0.005164910524017505</v>
      </c>
      <c r="K1867" s="5" t="n">
        <v>-0.002548451198184582</v>
      </c>
      <c r="L1867" s="5" t="n">
        <v>-0.0004209262113170501</v>
      </c>
      <c r="M1867" s="5">
        <f>SUMPRODUCT(Exposures!$B$6:$K$6,B1867:K1867)</f>
        <v/>
      </c>
      <c r="N1867" s="5">
        <f>IF(AND($A1867&gt;=DATE(2020,2,1),$A1867&lt;=DATE(2020,5,31)),$M1867,"")</f>
        <v/>
      </c>
      <c r="O1867" s="5">
        <f>IF(AND($A1867&gt;=DATE(2022,1,1),$A1867&lt;=DATE(2022,10,31)),$M1867,"")</f>
        <v/>
      </c>
      <c r="P1867" s="5">
        <f>IF(AND($A1867&gt;=DATE(2018,10,1),$A1867&lt;=DATE(2018,12,31)),$M1867,"")</f>
        <v/>
      </c>
      <c r="Q1867" s="5">
        <f>SUMPRODUCT(Exposures!$B$8:$K$8,B1867:K1867)</f>
        <v/>
      </c>
      <c r="R1867" s="5">
        <f>SUMPRODUCT(Exposures!$B$9:$K$9,B1867:K1867)</f>
        <v/>
      </c>
      <c r="S1867" s="5">
        <f>SUMPRODUCT(Exposures!$B$10:$K$10,B1867:K1867)</f>
        <v/>
      </c>
    </row>
    <row r="1868">
      <c r="A1868" s="1" t="n">
        <v>45168</v>
      </c>
      <c r="B1868" s="5" t="n">
        <v>0.001881646643546786</v>
      </c>
      <c r="C1868" s="5" t="n">
        <v>-0.001704137298703835</v>
      </c>
      <c r="D1868" s="5" t="n">
        <v>-0.003260213639246098</v>
      </c>
      <c r="E1868" s="5" t="n">
        <v>0.0005072564851743744</v>
      </c>
      <c r="F1868" s="5" t="n">
        <v>0.004200437113348852</v>
      </c>
      <c r="G1868" s="5" t="n">
        <v>0.002989227261404292</v>
      </c>
      <c r="H1868" s="5" t="n">
        <v>0.001238373466314487</v>
      </c>
      <c r="I1868" s="5" t="n">
        <v>-0.0005678485304639706</v>
      </c>
      <c r="J1868" s="5" t="n">
        <v>0.001707421605867165</v>
      </c>
      <c r="K1868" s="5" t="n">
        <v>-0.002868930615614037</v>
      </c>
      <c r="L1868" s="5" t="n">
        <v>-0.0007944332149477625</v>
      </c>
      <c r="M1868" s="5">
        <f>SUMPRODUCT(Exposures!$B$6:$K$6,B1868:K1868)</f>
        <v/>
      </c>
      <c r="N1868" s="5">
        <f>IF(AND($A1868&gt;=DATE(2020,2,1),$A1868&lt;=DATE(2020,5,31)),$M1868,"")</f>
        <v/>
      </c>
      <c r="O1868" s="5">
        <f>IF(AND($A1868&gt;=DATE(2022,1,1),$A1868&lt;=DATE(2022,10,31)),$M1868,"")</f>
        <v/>
      </c>
      <c r="P1868" s="5">
        <f>IF(AND($A1868&gt;=DATE(2018,10,1),$A1868&lt;=DATE(2018,12,31)),$M1868,"")</f>
        <v/>
      </c>
      <c r="Q1868" s="5">
        <f>SUMPRODUCT(Exposures!$B$8:$K$8,B1868:K1868)</f>
        <v/>
      </c>
      <c r="R1868" s="5">
        <f>SUMPRODUCT(Exposures!$B$9:$K$9,B1868:K1868)</f>
        <v/>
      </c>
      <c r="S1868" s="5">
        <f>SUMPRODUCT(Exposures!$B$10:$K$10,B1868:K1868)</f>
        <v/>
      </c>
    </row>
    <row r="1869">
      <c r="A1869" s="1" t="n">
        <v>45169</v>
      </c>
      <c r="B1869" s="5" t="n">
        <v>0.005775396903265178</v>
      </c>
      <c r="C1869" s="5" t="n">
        <v>-0.0001123806408865502</v>
      </c>
      <c r="D1869" s="5" t="n">
        <v>0.002428572902465661</v>
      </c>
      <c r="E1869" s="5" t="n">
        <v>0.0006712652175807621</v>
      </c>
      <c r="F1869" s="5" t="n">
        <v>0.003997612476503935</v>
      </c>
      <c r="G1869" s="5" t="n">
        <v>-0.001117446750047579</v>
      </c>
      <c r="H1869" s="5" t="n">
        <v>0.0006212309813469535</v>
      </c>
      <c r="I1869" s="5" t="n">
        <v>-0.001183505584605694</v>
      </c>
      <c r="J1869" s="5" t="n">
        <v>-0.001611793215838014</v>
      </c>
      <c r="K1869" s="5" t="n">
        <v>-0.003399921948239172</v>
      </c>
      <c r="L1869" s="5" t="n">
        <v>0.0006773324303575592</v>
      </c>
      <c r="M1869" s="5">
        <f>SUMPRODUCT(Exposures!$B$6:$K$6,B1869:K1869)</f>
        <v/>
      </c>
      <c r="N1869" s="5">
        <f>IF(AND($A1869&gt;=DATE(2020,2,1),$A1869&lt;=DATE(2020,5,31)),$M1869,"")</f>
        <v/>
      </c>
      <c r="O1869" s="5">
        <f>IF(AND($A1869&gt;=DATE(2022,1,1),$A1869&lt;=DATE(2022,10,31)),$M1869,"")</f>
        <v/>
      </c>
      <c r="P1869" s="5">
        <f>IF(AND($A1869&gt;=DATE(2018,10,1),$A1869&lt;=DATE(2018,12,31)),$M1869,"")</f>
        <v/>
      </c>
      <c r="Q1869" s="5">
        <f>SUMPRODUCT(Exposures!$B$8:$K$8,B1869:K1869)</f>
        <v/>
      </c>
      <c r="R1869" s="5">
        <f>SUMPRODUCT(Exposures!$B$9:$K$9,B1869:K1869)</f>
        <v/>
      </c>
      <c r="S1869" s="5">
        <f>SUMPRODUCT(Exposures!$B$10:$K$10,B1869:K1869)</f>
        <v/>
      </c>
    </row>
    <row r="1870">
      <c r="A1870" s="1" t="n">
        <v>45170</v>
      </c>
      <c r="B1870" s="5" t="n">
        <v>0.0008258489127836088</v>
      </c>
      <c r="C1870" s="5" t="n">
        <v>-0.0003821302572830372</v>
      </c>
      <c r="D1870" s="5" t="n">
        <v>-0.0001680298837526796</v>
      </c>
      <c r="E1870" s="5" t="n">
        <v>-0.0001097065765625458</v>
      </c>
      <c r="F1870" s="5" t="n">
        <v>-0.001984661161684167</v>
      </c>
      <c r="G1870" s="5" t="n">
        <v>0.006314495520131156</v>
      </c>
      <c r="H1870" s="5" t="n">
        <v>0.0006083894202400285</v>
      </c>
      <c r="I1870" s="5" t="n">
        <v>-0.0001269763273284629</v>
      </c>
      <c r="J1870" s="5" t="n">
        <v>0.003924097948818256</v>
      </c>
      <c r="K1870" s="5" t="n">
        <v>0.002476686743598405</v>
      </c>
      <c r="L1870" s="5" t="n">
        <v>0.00357317002909633</v>
      </c>
      <c r="M1870" s="5">
        <f>SUMPRODUCT(Exposures!$B$6:$K$6,B1870:K1870)</f>
        <v/>
      </c>
      <c r="N1870" s="5">
        <f>IF(AND($A1870&gt;=DATE(2020,2,1),$A1870&lt;=DATE(2020,5,31)),$M1870,"")</f>
        <v/>
      </c>
      <c r="O1870" s="5">
        <f>IF(AND($A1870&gt;=DATE(2022,1,1),$A1870&lt;=DATE(2022,10,31)),$M1870,"")</f>
        <v/>
      </c>
      <c r="P1870" s="5">
        <f>IF(AND($A1870&gt;=DATE(2018,10,1),$A1870&lt;=DATE(2018,12,31)),$M1870,"")</f>
        <v/>
      </c>
      <c r="Q1870" s="5">
        <f>SUMPRODUCT(Exposures!$B$8:$K$8,B1870:K1870)</f>
        <v/>
      </c>
      <c r="R1870" s="5">
        <f>SUMPRODUCT(Exposures!$B$9:$K$9,B1870:K1870)</f>
        <v/>
      </c>
      <c r="S1870" s="5">
        <f>SUMPRODUCT(Exposures!$B$10:$K$10,B1870:K1870)</f>
        <v/>
      </c>
    </row>
    <row r="1871">
      <c r="A1871" s="1" t="n">
        <v>45174</v>
      </c>
      <c r="B1871" s="5" t="n">
        <v>0.0004402757919067368</v>
      </c>
      <c r="C1871" s="5" t="n">
        <v>0.001699636789265501</v>
      </c>
      <c r="D1871" s="5" t="n">
        <v>-0.001976587743005853</v>
      </c>
      <c r="E1871" s="5" t="n">
        <v>-0.001095308246620558</v>
      </c>
      <c r="F1871" s="5" t="n">
        <v>0.003528085947477488</v>
      </c>
      <c r="G1871" s="5" t="n">
        <v>-0.01295495571331167</v>
      </c>
      <c r="H1871" s="5" t="n">
        <v>-0.001051398542194771</v>
      </c>
      <c r="I1871" s="5" t="n">
        <v>0.0018468052350401</v>
      </c>
      <c r="J1871" s="5" t="n">
        <v>0.00309587576048959</v>
      </c>
      <c r="K1871" s="5" t="n">
        <v>0.002476382200204937</v>
      </c>
      <c r="L1871" s="5" t="n">
        <v>6.216625754007992e-05</v>
      </c>
      <c r="M1871" s="5">
        <f>SUMPRODUCT(Exposures!$B$6:$K$6,B1871:K1871)</f>
        <v/>
      </c>
      <c r="N1871" s="5">
        <f>IF(AND($A1871&gt;=DATE(2020,2,1),$A1871&lt;=DATE(2020,5,31)),$M1871,"")</f>
        <v/>
      </c>
      <c r="O1871" s="5">
        <f>IF(AND($A1871&gt;=DATE(2022,1,1),$A1871&lt;=DATE(2022,10,31)),$M1871,"")</f>
        <v/>
      </c>
      <c r="P1871" s="5">
        <f>IF(AND($A1871&gt;=DATE(2018,10,1),$A1871&lt;=DATE(2018,12,31)),$M1871,"")</f>
        <v/>
      </c>
      <c r="Q1871" s="5">
        <f>SUMPRODUCT(Exposures!$B$8:$K$8,B1871:K1871)</f>
        <v/>
      </c>
      <c r="R1871" s="5">
        <f>SUMPRODUCT(Exposures!$B$9:$K$9,B1871:K1871)</f>
        <v/>
      </c>
      <c r="S1871" s="5">
        <f>SUMPRODUCT(Exposures!$B$10:$K$10,B1871:K1871)</f>
        <v/>
      </c>
    </row>
    <row r="1872">
      <c r="A1872" s="1" t="n">
        <v>45175</v>
      </c>
      <c r="B1872" s="5" t="n">
        <v>-0.0006610316211515047</v>
      </c>
      <c r="C1872" s="5" t="n">
        <v>-0.0004360881730506654</v>
      </c>
      <c r="D1872" s="5" t="n">
        <v>0.001094907176363275</v>
      </c>
      <c r="E1872" s="5" t="n">
        <v>-0.0001722908761707671</v>
      </c>
      <c r="F1872" s="5" t="n">
        <v>-0.003221543105633341</v>
      </c>
      <c r="G1872" s="5" t="n">
        <v>-0.003979446747733796</v>
      </c>
      <c r="H1872" s="5" t="n">
        <v>0.0006562309398444216</v>
      </c>
      <c r="I1872" s="5" t="n">
        <v>0.0007874083888403736</v>
      </c>
      <c r="J1872" s="5" t="n">
        <v>-0.001020969630008358</v>
      </c>
      <c r="K1872" s="5" t="n">
        <v>0.0006885017725010961</v>
      </c>
      <c r="L1872" s="5" t="n">
        <v>0.0008827579050148401</v>
      </c>
      <c r="M1872" s="5">
        <f>SUMPRODUCT(Exposures!$B$6:$K$6,B1872:K1872)</f>
        <v/>
      </c>
      <c r="N1872" s="5">
        <f>IF(AND($A1872&gt;=DATE(2020,2,1),$A1872&lt;=DATE(2020,5,31)),$M1872,"")</f>
        <v/>
      </c>
      <c r="O1872" s="5">
        <f>IF(AND($A1872&gt;=DATE(2022,1,1),$A1872&lt;=DATE(2022,10,31)),$M1872,"")</f>
        <v/>
      </c>
      <c r="P1872" s="5">
        <f>IF(AND($A1872&gt;=DATE(2018,10,1),$A1872&lt;=DATE(2018,12,31)),$M1872,"")</f>
        <v/>
      </c>
      <c r="Q1872" s="5">
        <f>SUMPRODUCT(Exposures!$B$8:$K$8,B1872:K1872)</f>
        <v/>
      </c>
      <c r="R1872" s="5">
        <f>SUMPRODUCT(Exposures!$B$9:$K$9,B1872:K1872)</f>
        <v/>
      </c>
      <c r="S1872" s="5">
        <f>SUMPRODUCT(Exposures!$B$10:$K$10,B1872:K1872)</f>
        <v/>
      </c>
    </row>
    <row r="1873">
      <c r="A1873" s="1" t="n">
        <v>45176</v>
      </c>
      <c r="B1873" s="5" t="n">
        <v>-0.004277083995144948</v>
      </c>
      <c r="C1873" s="5" t="n">
        <v>-7.410708896646691e-06</v>
      </c>
      <c r="D1873" s="5" t="n">
        <v>7.020995612580153e-05</v>
      </c>
      <c r="E1873" s="5" t="n">
        <v>0.001187475032913945</v>
      </c>
      <c r="F1873" s="5" t="n">
        <v>-0.002765064884906363</v>
      </c>
      <c r="G1873" s="5" t="n">
        <v>-0.007283953274097697</v>
      </c>
      <c r="H1873" s="5" t="n">
        <v>-0.002132468968882425</v>
      </c>
      <c r="I1873" s="5" t="n">
        <v>0.003016895496430102</v>
      </c>
      <c r="J1873" s="5" t="n">
        <v>-0.007270507830707705</v>
      </c>
      <c r="K1873" s="5" t="n">
        <v>0.0003662472614239512</v>
      </c>
      <c r="L1873" s="5" t="n">
        <v>-0.001230704474598194</v>
      </c>
      <c r="M1873" s="5">
        <f>SUMPRODUCT(Exposures!$B$6:$K$6,B1873:K1873)</f>
        <v/>
      </c>
      <c r="N1873" s="5">
        <f>IF(AND($A1873&gt;=DATE(2020,2,1),$A1873&lt;=DATE(2020,5,31)),$M1873,"")</f>
        <v/>
      </c>
      <c r="O1873" s="5">
        <f>IF(AND($A1873&gt;=DATE(2022,1,1),$A1873&lt;=DATE(2022,10,31)),$M1873,"")</f>
        <v/>
      </c>
      <c r="P1873" s="5">
        <f>IF(AND($A1873&gt;=DATE(2018,10,1),$A1873&lt;=DATE(2018,12,31)),$M1873,"")</f>
        <v/>
      </c>
      <c r="Q1873" s="5">
        <f>SUMPRODUCT(Exposures!$B$8:$K$8,B1873:K1873)</f>
        <v/>
      </c>
      <c r="R1873" s="5">
        <f>SUMPRODUCT(Exposures!$B$9:$K$9,B1873:K1873)</f>
        <v/>
      </c>
      <c r="S1873" s="5">
        <f>SUMPRODUCT(Exposures!$B$10:$K$10,B1873:K1873)</f>
        <v/>
      </c>
    </row>
    <row r="1874">
      <c r="A1874" s="1" t="n">
        <v>45177</v>
      </c>
      <c r="B1874" s="5" t="n">
        <v>0.002073126878091311</v>
      </c>
      <c r="C1874" s="5" t="n">
        <v>0.003798682539182983</v>
      </c>
      <c r="D1874" s="5" t="n">
        <v>0.0006025276210191956</v>
      </c>
      <c r="E1874" s="5" t="n">
        <v>0.002524078508954254</v>
      </c>
      <c r="F1874" s="5" t="n">
        <v>-0.001928930267583491</v>
      </c>
      <c r="G1874" s="5" t="n">
        <v>-0.000604606634335431</v>
      </c>
      <c r="H1874" s="5" t="n">
        <v>-0.001730264268639406</v>
      </c>
      <c r="I1874" s="5" t="n">
        <v>-0.0001415833290738871</v>
      </c>
      <c r="J1874" s="5" t="n">
        <v>-0.003092814622033609</v>
      </c>
      <c r="K1874" s="5" t="n">
        <v>0.00207419713865642</v>
      </c>
      <c r="L1874" s="5" t="n">
        <v>-0.001172626221705945</v>
      </c>
      <c r="M1874" s="5">
        <f>SUMPRODUCT(Exposures!$B$6:$K$6,B1874:K1874)</f>
        <v/>
      </c>
      <c r="N1874" s="5">
        <f>IF(AND($A1874&gt;=DATE(2020,2,1),$A1874&lt;=DATE(2020,5,31)),$M1874,"")</f>
        <v/>
      </c>
      <c r="O1874" s="5">
        <f>IF(AND($A1874&gt;=DATE(2022,1,1),$A1874&lt;=DATE(2022,10,31)),$M1874,"")</f>
        <v/>
      </c>
      <c r="P1874" s="5">
        <f>IF(AND($A1874&gt;=DATE(2018,10,1),$A1874&lt;=DATE(2018,12,31)),$M1874,"")</f>
        <v/>
      </c>
      <c r="Q1874" s="5">
        <f>SUMPRODUCT(Exposures!$B$8:$K$8,B1874:K1874)</f>
        <v/>
      </c>
      <c r="R1874" s="5">
        <f>SUMPRODUCT(Exposures!$B$9:$K$9,B1874:K1874)</f>
        <v/>
      </c>
      <c r="S1874" s="5">
        <f>SUMPRODUCT(Exposures!$B$10:$K$10,B1874:K1874)</f>
        <v/>
      </c>
    </row>
    <row r="1875">
      <c r="A1875" s="1" t="n">
        <v>45180</v>
      </c>
      <c r="B1875" s="5" t="n">
        <v>0.0005998148901862016</v>
      </c>
      <c r="C1875" s="5" t="n">
        <v>-0.003582722273556595</v>
      </c>
      <c r="D1875" s="5" t="n">
        <v>0.0003325473593680981</v>
      </c>
      <c r="E1875" s="5" t="n">
        <v>0.0006223440230939393</v>
      </c>
      <c r="F1875" s="5" t="n">
        <v>0.0009419933604742912</v>
      </c>
      <c r="G1875" s="5" t="n">
        <v>0.001289120417291295</v>
      </c>
      <c r="H1875" s="5" t="n">
        <v>-0.0002522376436695774</v>
      </c>
      <c r="I1875" s="5" t="n">
        <v>0.0008599661601041615</v>
      </c>
      <c r="J1875" s="5" t="n">
        <v>-0.003016623801363571</v>
      </c>
      <c r="K1875" s="5" t="n">
        <v>0.0006412900374450662</v>
      </c>
      <c r="L1875" s="5" t="n">
        <v>0.002027670282960076</v>
      </c>
      <c r="M1875" s="5">
        <f>SUMPRODUCT(Exposures!$B$6:$K$6,B1875:K1875)</f>
        <v/>
      </c>
      <c r="N1875" s="5">
        <f>IF(AND($A1875&gt;=DATE(2020,2,1),$A1875&lt;=DATE(2020,5,31)),$M1875,"")</f>
        <v/>
      </c>
      <c r="O1875" s="5">
        <f>IF(AND($A1875&gt;=DATE(2022,1,1),$A1875&lt;=DATE(2022,10,31)),$M1875,"")</f>
        <v/>
      </c>
      <c r="P1875" s="5">
        <f>IF(AND($A1875&gt;=DATE(2018,10,1),$A1875&lt;=DATE(2018,12,31)),$M1875,"")</f>
        <v/>
      </c>
      <c r="Q1875" s="5">
        <f>SUMPRODUCT(Exposures!$B$8:$K$8,B1875:K1875)</f>
        <v/>
      </c>
      <c r="R1875" s="5">
        <f>SUMPRODUCT(Exposures!$B$9:$K$9,B1875:K1875)</f>
        <v/>
      </c>
      <c r="S1875" s="5">
        <f>SUMPRODUCT(Exposures!$B$10:$K$10,B1875:K1875)</f>
        <v/>
      </c>
    </row>
    <row r="1876">
      <c r="A1876" s="1" t="n">
        <v>45181</v>
      </c>
      <c r="B1876" s="5" t="n">
        <v>-0.002988754364932808</v>
      </c>
      <c r="C1876" s="5" t="n">
        <v>-0.0003139611033276836</v>
      </c>
      <c r="D1876" s="5" t="n">
        <v>0.0008263539388650015</v>
      </c>
      <c r="E1876" s="5" t="n">
        <v>0.001405251813274237</v>
      </c>
      <c r="F1876" s="5" t="n">
        <v>-0.002783438361804311</v>
      </c>
      <c r="G1876" s="5" t="n">
        <v>0.000125355829209111</v>
      </c>
      <c r="H1876" s="5" t="n">
        <v>-0.001296704116273414</v>
      </c>
      <c r="I1876" s="5" t="n">
        <v>0.0003633689933086753</v>
      </c>
      <c r="J1876" s="5" t="n">
        <v>0.0001678750382303265</v>
      </c>
      <c r="K1876" s="5" t="n">
        <v>-0.0001518285140556046</v>
      </c>
      <c r="L1876" s="5" t="n">
        <v>0.00380878726716982</v>
      </c>
      <c r="M1876" s="5">
        <f>SUMPRODUCT(Exposures!$B$6:$K$6,B1876:K1876)</f>
        <v/>
      </c>
      <c r="N1876" s="5">
        <f>IF(AND($A1876&gt;=DATE(2020,2,1),$A1876&lt;=DATE(2020,5,31)),$M1876,"")</f>
        <v/>
      </c>
      <c r="O1876" s="5">
        <f>IF(AND($A1876&gt;=DATE(2022,1,1),$A1876&lt;=DATE(2022,10,31)),$M1876,"")</f>
        <v/>
      </c>
      <c r="P1876" s="5">
        <f>IF(AND($A1876&gt;=DATE(2018,10,1),$A1876&lt;=DATE(2018,12,31)),$M1876,"")</f>
        <v/>
      </c>
      <c r="Q1876" s="5">
        <f>SUMPRODUCT(Exposures!$B$8:$K$8,B1876:K1876)</f>
        <v/>
      </c>
      <c r="R1876" s="5">
        <f>SUMPRODUCT(Exposures!$B$9:$K$9,B1876:K1876)</f>
        <v/>
      </c>
      <c r="S1876" s="5">
        <f>SUMPRODUCT(Exposures!$B$10:$K$10,B1876:K1876)</f>
        <v/>
      </c>
    </row>
    <row r="1877">
      <c r="A1877" s="1" t="n">
        <v>45182</v>
      </c>
      <c r="B1877" s="5" t="n">
        <v>0.001756642942260022</v>
      </c>
      <c r="C1877" s="5" t="n">
        <v>-0.0003908479442084495</v>
      </c>
      <c r="D1877" s="5" t="n">
        <v>0.002195611866766603</v>
      </c>
      <c r="E1877" s="5" t="n">
        <v>-0.002029731999371417</v>
      </c>
      <c r="F1877" s="5" t="n">
        <v>-0.005239448088180792</v>
      </c>
      <c r="G1877" s="5" t="n">
        <v>-0.002910965360518335</v>
      </c>
      <c r="H1877" s="5" t="n">
        <v>-0.003161797386826452</v>
      </c>
      <c r="I1877" s="5" t="n">
        <v>0.0009709593296249963</v>
      </c>
      <c r="J1877" s="5" t="n">
        <v>-0.003864500193416045</v>
      </c>
      <c r="K1877" s="5" t="n">
        <v>0.006737946135491149</v>
      </c>
      <c r="L1877" s="5" t="n">
        <v>0.0006072608680807658</v>
      </c>
      <c r="M1877" s="5">
        <f>SUMPRODUCT(Exposures!$B$6:$K$6,B1877:K1877)</f>
        <v/>
      </c>
      <c r="N1877" s="5">
        <f>IF(AND($A1877&gt;=DATE(2020,2,1),$A1877&lt;=DATE(2020,5,31)),$M1877,"")</f>
        <v/>
      </c>
      <c r="O1877" s="5">
        <f>IF(AND($A1877&gt;=DATE(2022,1,1),$A1877&lt;=DATE(2022,10,31)),$M1877,"")</f>
        <v/>
      </c>
      <c r="P1877" s="5">
        <f>IF(AND($A1877&gt;=DATE(2018,10,1),$A1877&lt;=DATE(2018,12,31)),$M1877,"")</f>
        <v/>
      </c>
      <c r="Q1877" s="5">
        <f>SUMPRODUCT(Exposures!$B$8:$K$8,B1877:K1877)</f>
        <v/>
      </c>
      <c r="R1877" s="5">
        <f>SUMPRODUCT(Exposures!$B$9:$K$9,B1877:K1877)</f>
        <v/>
      </c>
      <c r="S1877" s="5">
        <f>SUMPRODUCT(Exposures!$B$10:$K$10,B1877:K1877)</f>
        <v/>
      </c>
    </row>
    <row r="1878">
      <c r="A1878" s="1" t="n">
        <v>45183</v>
      </c>
      <c r="B1878" s="5" t="n">
        <v>0.001695653362445817</v>
      </c>
      <c r="C1878" s="5" t="n">
        <v>0.002209450586236661</v>
      </c>
      <c r="D1878" s="5" t="n">
        <v>0.0001902972461443149</v>
      </c>
      <c r="E1878" s="5" t="n">
        <v>0.003509437253048529</v>
      </c>
      <c r="F1878" s="5" t="n">
        <v>0.002727514920500101</v>
      </c>
      <c r="G1878" s="5" t="n">
        <v>0.01235269948157742</v>
      </c>
      <c r="H1878" s="5" t="n">
        <v>-0.0009282837635191401</v>
      </c>
      <c r="I1878" s="5" t="n">
        <v>-0.001160127965637879</v>
      </c>
      <c r="J1878" s="5" t="n">
        <v>0.001159657306077574</v>
      </c>
      <c r="K1878" s="5" t="n">
        <v>-0.005140191733823328</v>
      </c>
      <c r="L1878" s="5" t="n">
        <v>-0.001175055530243207</v>
      </c>
      <c r="M1878" s="5">
        <f>SUMPRODUCT(Exposures!$B$6:$K$6,B1878:K1878)</f>
        <v/>
      </c>
      <c r="N1878" s="5">
        <f>IF(AND($A1878&gt;=DATE(2020,2,1),$A1878&lt;=DATE(2020,5,31)),$M1878,"")</f>
        <v/>
      </c>
      <c r="O1878" s="5">
        <f>IF(AND($A1878&gt;=DATE(2022,1,1),$A1878&lt;=DATE(2022,10,31)),$M1878,"")</f>
        <v/>
      </c>
      <c r="P1878" s="5">
        <f>IF(AND($A1878&gt;=DATE(2018,10,1),$A1878&lt;=DATE(2018,12,31)),$M1878,"")</f>
        <v/>
      </c>
      <c r="Q1878" s="5">
        <f>SUMPRODUCT(Exposures!$B$8:$K$8,B1878:K1878)</f>
        <v/>
      </c>
      <c r="R1878" s="5">
        <f>SUMPRODUCT(Exposures!$B$9:$K$9,B1878:K1878)</f>
        <v/>
      </c>
      <c r="S1878" s="5">
        <f>SUMPRODUCT(Exposures!$B$10:$K$10,B1878:K1878)</f>
        <v/>
      </c>
    </row>
    <row r="1879">
      <c r="A1879" s="1" t="n">
        <v>45184</v>
      </c>
      <c r="B1879" s="5" t="n">
        <v>0.0001293367683471176</v>
      </c>
      <c r="C1879" s="5" t="n">
        <v>0.0007561684588676711</v>
      </c>
      <c r="D1879" s="5" t="n">
        <v>0.001283012894868023</v>
      </c>
      <c r="E1879" s="5" t="n">
        <v>0.001729297552049009</v>
      </c>
      <c r="F1879" s="5" t="n">
        <v>-0.00635259506483488</v>
      </c>
      <c r="G1879" s="5" t="n">
        <v>-0.006295752856927357</v>
      </c>
      <c r="H1879" s="5" t="n">
        <v>-0.002995446929583574</v>
      </c>
      <c r="I1879" s="5" t="n">
        <v>-0.0009855611516104989</v>
      </c>
      <c r="J1879" s="5" t="n">
        <v>-0.001347832927413085</v>
      </c>
      <c r="K1879" s="5" t="n">
        <v>0.003778648475023334</v>
      </c>
      <c r="L1879" s="5" t="n">
        <v>0.002440565318150508</v>
      </c>
      <c r="M1879" s="5">
        <f>SUMPRODUCT(Exposures!$B$6:$K$6,B1879:K1879)</f>
        <v/>
      </c>
      <c r="N1879" s="5">
        <f>IF(AND($A1879&gt;=DATE(2020,2,1),$A1879&lt;=DATE(2020,5,31)),$M1879,"")</f>
        <v/>
      </c>
      <c r="O1879" s="5">
        <f>IF(AND($A1879&gt;=DATE(2022,1,1),$A1879&lt;=DATE(2022,10,31)),$M1879,"")</f>
        <v/>
      </c>
      <c r="P1879" s="5">
        <f>IF(AND($A1879&gt;=DATE(2018,10,1),$A1879&lt;=DATE(2018,12,31)),$M1879,"")</f>
        <v/>
      </c>
      <c r="Q1879" s="5">
        <f>SUMPRODUCT(Exposures!$B$8:$K$8,B1879:K1879)</f>
        <v/>
      </c>
      <c r="R1879" s="5">
        <f>SUMPRODUCT(Exposures!$B$9:$K$9,B1879:K1879)</f>
        <v/>
      </c>
      <c r="S1879" s="5">
        <f>SUMPRODUCT(Exposures!$B$10:$K$10,B1879:K1879)</f>
        <v/>
      </c>
    </row>
    <row r="1880">
      <c r="A1880" s="1" t="n">
        <v>45187</v>
      </c>
      <c r="B1880" s="5" t="n">
        <v>-0.0007948070123038483</v>
      </c>
      <c r="C1880" s="5" t="n">
        <v>-0.001128755565736294</v>
      </c>
      <c r="D1880" s="5" t="n">
        <v>0.001036052271910975</v>
      </c>
      <c r="E1880" s="5" t="n">
        <v>0.0001865079117471295</v>
      </c>
      <c r="F1880" s="5" t="n">
        <v>-5.281736687704343e-05</v>
      </c>
      <c r="G1880" s="5" t="n">
        <v>-0.002987810581965902</v>
      </c>
      <c r="H1880" s="5" t="n">
        <v>0.0006015674369350917</v>
      </c>
      <c r="I1880" s="5" t="n">
        <v>0.0001683165512004428</v>
      </c>
      <c r="J1880" s="5" t="n">
        <v>-0.002306577700204438</v>
      </c>
      <c r="K1880" s="5" t="n">
        <v>0.001601078172294788</v>
      </c>
      <c r="L1880" s="5" t="n">
        <v>-0.0008990889087146688</v>
      </c>
      <c r="M1880" s="5">
        <f>SUMPRODUCT(Exposures!$B$6:$K$6,B1880:K1880)</f>
        <v/>
      </c>
      <c r="N1880" s="5">
        <f>IF(AND($A1880&gt;=DATE(2020,2,1),$A1880&lt;=DATE(2020,5,31)),$M1880,"")</f>
        <v/>
      </c>
      <c r="O1880" s="5">
        <f>IF(AND($A1880&gt;=DATE(2022,1,1),$A1880&lt;=DATE(2022,10,31)),$M1880,"")</f>
        <v/>
      </c>
      <c r="P1880" s="5">
        <f>IF(AND($A1880&gt;=DATE(2018,10,1),$A1880&lt;=DATE(2018,12,31)),$M1880,"")</f>
        <v/>
      </c>
      <c r="Q1880" s="5">
        <f>SUMPRODUCT(Exposures!$B$8:$K$8,B1880:K1880)</f>
        <v/>
      </c>
      <c r="R1880" s="5">
        <f>SUMPRODUCT(Exposures!$B$9:$K$9,B1880:K1880)</f>
        <v/>
      </c>
      <c r="S1880" s="5">
        <f>SUMPRODUCT(Exposures!$B$10:$K$10,B1880:K1880)</f>
        <v/>
      </c>
    </row>
    <row r="1881">
      <c r="A1881" s="1" t="n">
        <v>45188</v>
      </c>
      <c r="B1881" s="5" t="n">
        <v>-0.004222086275032169</v>
      </c>
      <c r="C1881" s="5" t="n">
        <v>0.00173365299321071</v>
      </c>
      <c r="D1881" s="5" t="n">
        <v>0.0007808356263877656</v>
      </c>
      <c r="E1881" s="5" t="n">
        <v>0.001101102530622904</v>
      </c>
      <c r="F1881" s="5" t="n">
        <v>0.002663888905433728</v>
      </c>
      <c r="G1881" s="5" t="n">
        <v>-0.00437669000838819</v>
      </c>
      <c r="H1881" s="5" t="n">
        <v>0.000236922171352294</v>
      </c>
      <c r="I1881" s="5" t="n">
        <v>-0.001189930474277614</v>
      </c>
      <c r="J1881" s="5" t="n">
        <v>2.083289404156553e-05</v>
      </c>
      <c r="K1881" s="5" t="n">
        <v>-0.001135649876431054</v>
      </c>
      <c r="L1881" s="5" t="n">
        <v>-0.0003427787136075439</v>
      </c>
      <c r="M1881" s="5">
        <f>SUMPRODUCT(Exposures!$B$6:$K$6,B1881:K1881)</f>
        <v/>
      </c>
      <c r="N1881" s="5">
        <f>IF(AND($A1881&gt;=DATE(2020,2,1),$A1881&lt;=DATE(2020,5,31)),$M1881,"")</f>
        <v/>
      </c>
      <c r="O1881" s="5">
        <f>IF(AND($A1881&gt;=DATE(2022,1,1),$A1881&lt;=DATE(2022,10,31)),$M1881,"")</f>
        <v/>
      </c>
      <c r="P1881" s="5">
        <f>IF(AND($A1881&gt;=DATE(2018,10,1),$A1881&lt;=DATE(2018,12,31)),$M1881,"")</f>
        <v/>
      </c>
      <c r="Q1881" s="5">
        <f>SUMPRODUCT(Exposures!$B$8:$K$8,B1881:K1881)</f>
        <v/>
      </c>
      <c r="R1881" s="5">
        <f>SUMPRODUCT(Exposures!$B$9:$K$9,B1881:K1881)</f>
        <v/>
      </c>
      <c r="S1881" s="5">
        <f>SUMPRODUCT(Exposures!$B$10:$K$10,B1881:K1881)</f>
        <v/>
      </c>
    </row>
    <row r="1882">
      <c r="A1882" s="1" t="n">
        <v>45189</v>
      </c>
      <c r="B1882" s="5" t="n">
        <v>-0.004554982307139703</v>
      </c>
      <c r="C1882" s="5" t="n">
        <v>0.0001976293063350338</v>
      </c>
      <c r="D1882" s="5" t="n">
        <v>0.001463962817570557</v>
      </c>
      <c r="E1882" s="5" t="n">
        <v>0.0008566657307743172</v>
      </c>
      <c r="F1882" s="5" t="n">
        <v>0.004193338240914684</v>
      </c>
      <c r="G1882" s="5" t="n">
        <v>-0.003607132353997785</v>
      </c>
      <c r="H1882" s="5" t="n">
        <v>-0.001476196533274488</v>
      </c>
      <c r="I1882" s="5" t="n">
        <v>0.0008899989075580651</v>
      </c>
      <c r="J1882" s="5" t="n">
        <v>-0.002991516408936164</v>
      </c>
      <c r="K1882" s="5" t="n">
        <v>-0.007746655102952275</v>
      </c>
      <c r="L1882" s="5" t="n">
        <v>-0.001488715457274608</v>
      </c>
      <c r="M1882" s="5">
        <f>SUMPRODUCT(Exposures!$B$6:$K$6,B1882:K1882)</f>
        <v/>
      </c>
      <c r="N1882" s="5">
        <f>IF(AND($A1882&gt;=DATE(2020,2,1),$A1882&lt;=DATE(2020,5,31)),$M1882,"")</f>
        <v/>
      </c>
      <c r="O1882" s="5">
        <f>IF(AND($A1882&gt;=DATE(2022,1,1),$A1882&lt;=DATE(2022,10,31)),$M1882,"")</f>
        <v/>
      </c>
      <c r="P1882" s="5">
        <f>IF(AND($A1882&gt;=DATE(2018,10,1),$A1882&lt;=DATE(2018,12,31)),$M1882,"")</f>
        <v/>
      </c>
      <c r="Q1882" s="5">
        <f>SUMPRODUCT(Exposures!$B$8:$K$8,B1882:K1882)</f>
        <v/>
      </c>
      <c r="R1882" s="5">
        <f>SUMPRODUCT(Exposures!$B$9:$K$9,B1882:K1882)</f>
        <v/>
      </c>
      <c r="S1882" s="5">
        <f>SUMPRODUCT(Exposures!$B$10:$K$10,B1882:K1882)</f>
        <v/>
      </c>
    </row>
    <row r="1883">
      <c r="A1883" s="1" t="n">
        <v>45190</v>
      </c>
      <c r="B1883" s="5" t="n">
        <v>-0.0100542040670253</v>
      </c>
      <c r="C1883" s="5" t="n">
        <v>0.001688606374078959</v>
      </c>
      <c r="D1883" s="5" t="n">
        <v>-0.00351118607774047</v>
      </c>
      <c r="E1883" s="5" t="n">
        <v>0.0005538098342087165</v>
      </c>
      <c r="F1883" s="5" t="n">
        <v>-0.003165106976828726</v>
      </c>
      <c r="G1883" s="5" t="n">
        <v>-0.01623641578785887</v>
      </c>
      <c r="H1883" s="5" t="n">
        <v>0.0006999641731697244</v>
      </c>
      <c r="I1883" s="5" t="n">
        <v>0.001309399082456982</v>
      </c>
      <c r="J1883" s="5" t="n">
        <v>0.004891779646650649</v>
      </c>
      <c r="K1883" s="5" t="n">
        <v>0.001559202638376122</v>
      </c>
      <c r="L1883" s="5" t="n">
        <v>-0.002625361224148315</v>
      </c>
      <c r="M1883" s="5">
        <f>SUMPRODUCT(Exposures!$B$6:$K$6,B1883:K1883)</f>
        <v/>
      </c>
      <c r="N1883" s="5">
        <f>IF(AND($A1883&gt;=DATE(2020,2,1),$A1883&lt;=DATE(2020,5,31)),$M1883,"")</f>
        <v/>
      </c>
      <c r="O1883" s="5">
        <f>IF(AND($A1883&gt;=DATE(2022,1,1),$A1883&lt;=DATE(2022,10,31)),$M1883,"")</f>
        <v/>
      </c>
      <c r="P1883" s="5">
        <f>IF(AND($A1883&gt;=DATE(2018,10,1),$A1883&lt;=DATE(2018,12,31)),$M1883,"")</f>
        <v/>
      </c>
      <c r="Q1883" s="5">
        <f>SUMPRODUCT(Exposures!$B$8:$K$8,B1883:K1883)</f>
        <v/>
      </c>
      <c r="R1883" s="5">
        <f>SUMPRODUCT(Exposures!$B$9:$K$9,B1883:K1883)</f>
        <v/>
      </c>
      <c r="S1883" s="5">
        <f>SUMPRODUCT(Exposures!$B$10:$K$10,B1883:K1883)</f>
        <v/>
      </c>
    </row>
    <row r="1884">
      <c r="A1884" s="1" t="n">
        <v>45191</v>
      </c>
      <c r="B1884" s="5" t="n">
        <v>-0.003368270643774408</v>
      </c>
      <c r="C1884" s="5" t="n">
        <v>0.001291815591233711</v>
      </c>
      <c r="D1884" s="5" t="n">
        <v>0.003326733863479355</v>
      </c>
      <c r="E1884" s="5" t="n">
        <v>-0.001135949079156678</v>
      </c>
      <c r="F1884" s="5" t="n">
        <v>-0.003362240471028167</v>
      </c>
      <c r="G1884" s="5" t="n">
        <v>-0.002474218308867986</v>
      </c>
      <c r="H1884" s="5" t="n">
        <v>0.002045747185524695</v>
      </c>
      <c r="I1884" s="5" t="n">
        <v>-0.002365054332633215</v>
      </c>
      <c r="J1884" s="5" t="n">
        <v>0.004652610995909782</v>
      </c>
      <c r="K1884" s="5" t="n">
        <v>0.007625932125999473</v>
      </c>
      <c r="L1884" s="5" t="n">
        <v>0.0006198058174955149</v>
      </c>
      <c r="M1884" s="5">
        <f>SUMPRODUCT(Exposures!$B$6:$K$6,B1884:K1884)</f>
        <v/>
      </c>
      <c r="N1884" s="5">
        <f>IF(AND($A1884&gt;=DATE(2020,2,1),$A1884&lt;=DATE(2020,5,31)),$M1884,"")</f>
        <v/>
      </c>
      <c r="O1884" s="5">
        <f>IF(AND($A1884&gt;=DATE(2022,1,1),$A1884&lt;=DATE(2022,10,31)),$M1884,"")</f>
        <v/>
      </c>
      <c r="P1884" s="5">
        <f>IF(AND($A1884&gt;=DATE(2018,10,1),$A1884&lt;=DATE(2018,12,31)),$M1884,"")</f>
        <v/>
      </c>
      <c r="Q1884" s="5">
        <f>SUMPRODUCT(Exposures!$B$8:$K$8,B1884:K1884)</f>
        <v/>
      </c>
      <c r="R1884" s="5">
        <f>SUMPRODUCT(Exposures!$B$9:$K$9,B1884:K1884)</f>
        <v/>
      </c>
      <c r="S1884" s="5">
        <f>SUMPRODUCT(Exposures!$B$10:$K$10,B1884:K1884)</f>
        <v/>
      </c>
    </row>
    <row r="1885">
      <c r="A1885" s="1" t="n">
        <v>45194</v>
      </c>
      <c r="B1885" s="5" t="n">
        <v>0.0003810047387057663</v>
      </c>
      <c r="C1885" s="5" t="n">
        <v>0.001476583497130479</v>
      </c>
      <c r="D1885" s="5" t="n">
        <v>0.0004493373441875769</v>
      </c>
      <c r="E1885" s="5" t="n">
        <v>0.001970758044981409</v>
      </c>
      <c r="F1885" s="5" t="n">
        <v>-0.002006802677614274</v>
      </c>
      <c r="G1885" s="5" t="n">
        <v>0.002768569052568178</v>
      </c>
      <c r="H1885" s="5" t="n">
        <v>0.0006807910952958528</v>
      </c>
      <c r="I1885" s="5" t="n">
        <v>0.001854971200616429</v>
      </c>
      <c r="J1885" s="5" t="n">
        <v>-0.0002090796360908475</v>
      </c>
      <c r="K1885" s="5" t="n">
        <v>0.00111160430701615</v>
      </c>
      <c r="L1885" s="5" t="n">
        <v>-0.000819770154907979</v>
      </c>
      <c r="M1885" s="5">
        <f>SUMPRODUCT(Exposures!$B$6:$K$6,B1885:K1885)</f>
        <v/>
      </c>
      <c r="N1885" s="5">
        <f>IF(AND($A1885&gt;=DATE(2020,2,1),$A1885&lt;=DATE(2020,5,31)),$M1885,"")</f>
        <v/>
      </c>
      <c r="O1885" s="5">
        <f>IF(AND($A1885&gt;=DATE(2022,1,1),$A1885&lt;=DATE(2022,10,31)),$M1885,"")</f>
        <v/>
      </c>
      <c r="P1885" s="5">
        <f>IF(AND($A1885&gt;=DATE(2018,10,1),$A1885&lt;=DATE(2018,12,31)),$M1885,"")</f>
        <v/>
      </c>
      <c r="Q1885" s="5">
        <f>SUMPRODUCT(Exposures!$B$8:$K$8,B1885:K1885)</f>
        <v/>
      </c>
      <c r="R1885" s="5">
        <f>SUMPRODUCT(Exposures!$B$9:$K$9,B1885:K1885)</f>
        <v/>
      </c>
      <c r="S1885" s="5">
        <f>SUMPRODUCT(Exposures!$B$10:$K$10,B1885:K1885)</f>
        <v/>
      </c>
    </row>
    <row r="1886">
      <c r="A1886" s="1" t="n">
        <v>45195</v>
      </c>
      <c r="B1886" s="5" t="n">
        <v>-0.007224551234538633</v>
      </c>
      <c r="C1886" s="5" t="n">
        <v>-0.0008685330960212761</v>
      </c>
      <c r="D1886" s="5" t="n">
        <v>-0.002354749706775992</v>
      </c>
      <c r="E1886" s="5" t="n">
        <v>-0.0006792488274655123</v>
      </c>
      <c r="F1886" s="5" t="n">
        <v>0.003786302894392592</v>
      </c>
      <c r="G1886" s="5" t="n">
        <v>-0.01494655921055759</v>
      </c>
      <c r="H1886" s="5" t="n">
        <v>0.004232566804610762</v>
      </c>
      <c r="I1886" s="5" t="n">
        <v>0.0006204935075810392</v>
      </c>
      <c r="J1886" s="5" t="n">
        <v>0.004954974445874755</v>
      </c>
      <c r="K1886" s="5" t="n">
        <v>-0.0034936619725735</v>
      </c>
      <c r="L1886" s="5" t="n">
        <v>-3.021029903334119e-06</v>
      </c>
      <c r="M1886" s="5">
        <f>SUMPRODUCT(Exposures!$B$6:$K$6,B1886:K1886)</f>
        <v/>
      </c>
      <c r="N1886" s="5">
        <f>IF(AND($A1886&gt;=DATE(2020,2,1),$A1886&lt;=DATE(2020,5,31)),$M1886,"")</f>
        <v/>
      </c>
      <c r="O1886" s="5">
        <f>IF(AND($A1886&gt;=DATE(2022,1,1),$A1886&lt;=DATE(2022,10,31)),$M1886,"")</f>
        <v/>
      </c>
      <c r="P1886" s="5">
        <f>IF(AND($A1886&gt;=DATE(2018,10,1),$A1886&lt;=DATE(2018,12,31)),$M1886,"")</f>
        <v/>
      </c>
      <c r="Q1886" s="5">
        <f>SUMPRODUCT(Exposures!$B$8:$K$8,B1886:K1886)</f>
        <v/>
      </c>
      <c r="R1886" s="5">
        <f>SUMPRODUCT(Exposures!$B$9:$K$9,B1886:K1886)</f>
        <v/>
      </c>
      <c r="S1886" s="5">
        <f>SUMPRODUCT(Exposures!$B$10:$K$10,B1886:K1886)</f>
        <v/>
      </c>
    </row>
    <row r="1887">
      <c r="A1887" s="1" t="n">
        <v>45196</v>
      </c>
      <c r="B1887" s="5" t="n">
        <v>0.0019118715394838</v>
      </c>
      <c r="C1887" s="5" t="n">
        <v>0.001263186097203428</v>
      </c>
      <c r="D1887" s="5" t="n">
        <v>0.001092215281949108</v>
      </c>
      <c r="E1887" s="5" t="n">
        <v>-0.0001943695256272925</v>
      </c>
      <c r="F1887" s="5" t="n">
        <v>-0.002785006740895176</v>
      </c>
      <c r="G1887" s="5" t="n">
        <v>0.004621482231286142</v>
      </c>
      <c r="H1887" s="5" t="n">
        <v>0.004265752059452179</v>
      </c>
      <c r="I1887" s="5" t="n">
        <v>0.0002036674386441368</v>
      </c>
      <c r="J1887" s="5" t="n">
        <v>0.00426280946783196</v>
      </c>
      <c r="K1887" s="5" t="n">
        <v>0.001455476082084117</v>
      </c>
      <c r="L1887" s="5" t="n">
        <v>-0.001232186789806541</v>
      </c>
      <c r="M1887" s="5">
        <f>SUMPRODUCT(Exposures!$B$6:$K$6,B1887:K1887)</f>
        <v/>
      </c>
      <c r="N1887" s="5">
        <f>IF(AND($A1887&gt;=DATE(2020,2,1),$A1887&lt;=DATE(2020,5,31)),$M1887,"")</f>
        <v/>
      </c>
      <c r="O1887" s="5">
        <f>IF(AND($A1887&gt;=DATE(2022,1,1),$A1887&lt;=DATE(2022,10,31)),$M1887,"")</f>
        <v/>
      </c>
      <c r="P1887" s="5">
        <f>IF(AND($A1887&gt;=DATE(2018,10,1),$A1887&lt;=DATE(2018,12,31)),$M1887,"")</f>
        <v/>
      </c>
      <c r="Q1887" s="5">
        <f>SUMPRODUCT(Exposures!$B$8:$K$8,B1887:K1887)</f>
        <v/>
      </c>
      <c r="R1887" s="5">
        <f>SUMPRODUCT(Exposures!$B$9:$K$9,B1887:K1887)</f>
        <v/>
      </c>
      <c r="S1887" s="5">
        <f>SUMPRODUCT(Exposures!$B$10:$K$10,B1887:K1887)</f>
        <v/>
      </c>
    </row>
    <row r="1888">
      <c r="A1888" s="1" t="n">
        <v>45197</v>
      </c>
      <c r="B1888" s="5" t="n">
        <v>0.008407428662820585</v>
      </c>
      <c r="C1888" s="5" t="n">
        <v>0.003942914981251137</v>
      </c>
      <c r="D1888" s="5" t="n">
        <v>-0.001251223816196103</v>
      </c>
      <c r="E1888" s="5" t="n">
        <v>-0.0006182185848806197</v>
      </c>
      <c r="F1888" s="5" t="n">
        <v>0.004889958330842444</v>
      </c>
      <c r="G1888" s="5" t="n">
        <v>0.008901887113552318</v>
      </c>
      <c r="H1888" s="5" t="n">
        <v>-0.001662244066259161</v>
      </c>
      <c r="I1888" s="5" t="n">
        <v>0.002630273747572185</v>
      </c>
      <c r="J1888" s="5" t="n">
        <v>-0.001281353029554531</v>
      </c>
      <c r="K1888" s="5" t="n">
        <v>-0.006064793541955315</v>
      </c>
      <c r="L1888" s="5" t="n">
        <v>0.0002575572254385401</v>
      </c>
      <c r="M1888" s="5">
        <f>SUMPRODUCT(Exposures!$B$6:$K$6,B1888:K1888)</f>
        <v/>
      </c>
      <c r="N1888" s="5">
        <f>IF(AND($A1888&gt;=DATE(2020,2,1),$A1888&lt;=DATE(2020,5,31)),$M1888,"")</f>
        <v/>
      </c>
      <c r="O1888" s="5">
        <f>IF(AND($A1888&gt;=DATE(2022,1,1),$A1888&lt;=DATE(2022,10,31)),$M1888,"")</f>
        <v/>
      </c>
      <c r="P1888" s="5">
        <f>IF(AND($A1888&gt;=DATE(2018,10,1),$A1888&lt;=DATE(2018,12,31)),$M1888,"")</f>
        <v/>
      </c>
      <c r="Q1888" s="5">
        <f>SUMPRODUCT(Exposures!$B$8:$K$8,B1888:K1888)</f>
        <v/>
      </c>
      <c r="R1888" s="5">
        <f>SUMPRODUCT(Exposures!$B$9:$K$9,B1888:K1888)</f>
        <v/>
      </c>
      <c r="S1888" s="5">
        <f>SUMPRODUCT(Exposures!$B$10:$K$10,B1888:K1888)</f>
        <v/>
      </c>
    </row>
    <row r="1889">
      <c r="A1889" s="1" t="n">
        <v>45198</v>
      </c>
      <c r="B1889" s="5" t="n">
        <v>0.0008890966084669815</v>
      </c>
      <c r="C1889" s="5" t="n">
        <v>-0.004016545743099597</v>
      </c>
      <c r="D1889" s="5" t="n">
        <v>0.005074925617212029</v>
      </c>
      <c r="E1889" s="5" t="n">
        <v>0.0001413101197941619</v>
      </c>
      <c r="F1889" s="5" t="n">
        <v>0.001275861389224303</v>
      </c>
      <c r="G1889" s="5" t="n">
        <v>-0.002114532310376275</v>
      </c>
      <c r="H1889" s="5" t="n">
        <v>-0.002644007847924928</v>
      </c>
      <c r="I1889" s="5" t="n">
        <v>-0.002528663849306895</v>
      </c>
      <c r="J1889" s="5" t="n">
        <v>0.0003355882897004657</v>
      </c>
      <c r="K1889" s="5" t="n">
        <v>0.00018070558671889</v>
      </c>
      <c r="L1889" s="5" t="n">
        <v>0.001451822117136615</v>
      </c>
      <c r="M1889" s="5">
        <f>SUMPRODUCT(Exposures!$B$6:$K$6,B1889:K1889)</f>
        <v/>
      </c>
      <c r="N1889" s="5">
        <f>IF(AND($A1889&gt;=DATE(2020,2,1),$A1889&lt;=DATE(2020,5,31)),$M1889,"")</f>
        <v/>
      </c>
      <c r="O1889" s="5">
        <f>IF(AND($A1889&gt;=DATE(2022,1,1),$A1889&lt;=DATE(2022,10,31)),$M1889,"")</f>
        <v/>
      </c>
      <c r="P1889" s="5">
        <f>IF(AND($A1889&gt;=DATE(2018,10,1),$A1889&lt;=DATE(2018,12,31)),$M1889,"")</f>
        <v/>
      </c>
      <c r="Q1889" s="5">
        <f>SUMPRODUCT(Exposures!$B$8:$K$8,B1889:K1889)</f>
        <v/>
      </c>
      <c r="R1889" s="5">
        <f>SUMPRODUCT(Exposures!$B$9:$K$9,B1889:K1889)</f>
        <v/>
      </c>
      <c r="S1889" s="5">
        <f>SUMPRODUCT(Exposures!$B$10:$K$10,B1889:K1889)</f>
        <v/>
      </c>
    </row>
    <row r="1890">
      <c r="A1890" s="1" t="n">
        <v>45201</v>
      </c>
      <c r="B1890" s="5" t="n">
        <v>-0.0007082850267567265</v>
      </c>
      <c r="C1890" s="5" t="n">
        <v>-0.0006666590697660445</v>
      </c>
      <c r="D1890" s="5" t="n">
        <v>0.00574043678166099</v>
      </c>
      <c r="E1890" s="5" t="n">
        <v>-0.001040851935598957</v>
      </c>
      <c r="F1890" s="5" t="n">
        <v>0.002004467231574475</v>
      </c>
      <c r="G1890" s="5" t="n">
        <v>-0.0126010062245977</v>
      </c>
      <c r="H1890" s="5" t="n">
        <v>0.005389742626683184</v>
      </c>
      <c r="I1890" s="5" t="n">
        <v>0.0009216742831206021</v>
      </c>
      <c r="J1890" s="5" t="n">
        <v>0.001510742392904049</v>
      </c>
      <c r="K1890" s="5" t="n">
        <v>0.005528772887802173</v>
      </c>
      <c r="L1890" s="5" t="n">
        <v>-0.001704677329068988</v>
      </c>
      <c r="M1890" s="5">
        <f>SUMPRODUCT(Exposures!$B$6:$K$6,B1890:K1890)</f>
        <v/>
      </c>
      <c r="N1890" s="5">
        <f>IF(AND($A1890&gt;=DATE(2020,2,1),$A1890&lt;=DATE(2020,5,31)),$M1890,"")</f>
        <v/>
      </c>
      <c r="O1890" s="5">
        <f>IF(AND($A1890&gt;=DATE(2022,1,1),$A1890&lt;=DATE(2022,10,31)),$M1890,"")</f>
        <v/>
      </c>
      <c r="P1890" s="5">
        <f>IF(AND($A1890&gt;=DATE(2018,10,1),$A1890&lt;=DATE(2018,12,31)),$M1890,"")</f>
        <v/>
      </c>
      <c r="Q1890" s="5">
        <f>SUMPRODUCT(Exposures!$B$8:$K$8,B1890:K1890)</f>
        <v/>
      </c>
      <c r="R1890" s="5">
        <f>SUMPRODUCT(Exposures!$B$9:$K$9,B1890:K1890)</f>
        <v/>
      </c>
      <c r="S1890" s="5">
        <f>SUMPRODUCT(Exposures!$B$10:$K$10,B1890:K1890)</f>
        <v/>
      </c>
    </row>
    <row r="1891">
      <c r="A1891" s="1" t="n">
        <v>45202</v>
      </c>
      <c r="B1891" s="5" t="n">
        <v>-0.005746108023117217</v>
      </c>
      <c r="C1891" s="5" t="n">
        <v>-0.0006154546486463058</v>
      </c>
      <c r="D1891" s="5" t="n">
        <v>-0.006353080155285671</v>
      </c>
      <c r="E1891" s="5" t="n">
        <v>-0.002602991178723446</v>
      </c>
      <c r="F1891" s="5" t="n">
        <v>-0.003553521168139441</v>
      </c>
      <c r="G1891" s="5" t="n">
        <v>-0.01999472958748004</v>
      </c>
      <c r="H1891" s="5" t="n">
        <v>-0.001885632767617326</v>
      </c>
      <c r="I1891" s="5" t="n">
        <v>-0.001988353339234371</v>
      </c>
      <c r="J1891" s="5" t="n">
        <v>-0.008732407387077363</v>
      </c>
      <c r="K1891" s="5" t="n">
        <v>0.003761705941051236</v>
      </c>
      <c r="L1891" s="5" t="n">
        <v>-8.628847886334688e-05</v>
      </c>
      <c r="M1891" s="5">
        <f>SUMPRODUCT(Exposures!$B$6:$K$6,B1891:K1891)</f>
        <v/>
      </c>
      <c r="N1891" s="5">
        <f>IF(AND($A1891&gt;=DATE(2020,2,1),$A1891&lt;=DATE(2020,5,31)),$M1891,"")</f>
        <v/>
      </c>
      <c r="O1891" s="5">
        <f>IF(AND($A1891&gt;=DATE(2022,1,1),$A1891&lt;=DATE(2022,10,31)),$M1891,"")</f>
        <v/>
      </c>
      <c r="P1891" s="5">
        <f>IF(AND($A1891&gt;=DATE(2018,10,1),$A1891&lt;=DATE(2018,12,31)),$M1891,"")</f>
        <v/>
      </c>
      <c r="Q1891" s="5">
        <f>SUMPRODUCT(Exposures!$B$8:$K$8,B1891:K1891)</f>
        <v/>
      </c>
      <c r="R1891" s="5">
        <f>SUMPRODUCT(Exposures!$B$9:$K$9,B1891:K1891)</f>
        <v/>
      </c>
      <c r="S1891" s="5">
        <f>SUMPRODUCT(Exposures!$B$10:$K$10,B1891:K1891)</f>
        <v/>
      </c>
    </row>
    <row r="1892">
      <c r="A1892" s="1" t="n">
        <v>45203</v>
      </c>
      <c r="B1892" s="5" t="n">
        <v>0.00326932758781444</v>
      </c>
      <c r="C1892" s="5" t="n">
        <v>-0.0006517546224641868</v>
      </c>
      <c r="D1892" s="5" t="n">
        <v>-0.00171295483075445</v>
      </c>
      <c r="E1892" s="5" t="n">
        <v>4.954489386786751e-05</v>
      </c>
      <c r="F1892" s="5" t="n">
        <v>0.002786986181326411</v>
      </c>
      <c r="G1892" s="5" t="n">
        <v>0.004786717325901844</v>
      </c>
      <c r="H1892" s="5" t="n">
        <v>0.001867479961408677</v>
      </c>
      <c r="I1892" s="5" t="n">
        <v>-0.00156618486731148</v>
      </c>
      <c r="J1892" s="5" t="n">
        <v>-0.005533952786510002</v>
      </c>
      <c r="K1892" s="5" t="n">
        <v>-0.00240714502856547</v>
      </c>
      <c r="L1892" s="5" t="n">
        <v>-0.002856598968075465</v>
      </c>
      <c r="M1892" s="5">
        <f>SUMPRODUCT(Exposures!$B$6:$K$6,B1892:K1892)</f>
        <v/>
      </c>
      <c r="N1892" s="5">
        <f>IF(AND($A1892&gt;=DATE(2020,2,1),$A1892&lt;=DATE(2020,5,31)),$M1892,"")</f>
        <v/>
      </c>
      <c r="O1892" s="5">
        <f>IF(AND($A1892&gt;=DATE(2022,1,1),$A1892&lt;=DATE(2022,10,31)),$M1892,"")</f>
        <v/>
      </c>
      <c r="P1892" s="5">
        <f>IF(AND($A1892&gt;=DATE(2018,10,1),$A1892&lt;=DATE(2018,12,31)),$M1892,"")</f>
        <v/>
      </c>
      <c r="Q1892" s="5">
        <f>SUMPRODUCT(Exposures!$B$8:$K$8,B1892:K1892)</f>
        <v/>
      </c>
      <c r="R1892" s="5">
        <f>SUMPRODUCT(Exposures!$B$9:$K$9,B1892:K1892)</f>
        <v/>
      </c>
      <c r="S1892" s="5">
        <f>SUMPRODUCT(Exposures!$B$10:$K$10,B1892:K1892)</f>
        <v/>
      </c>
    </row>
    <row r="1893">
      <c r="A1893" s="1" t="n">
        <v>45204</v>
      </c>
      <c r="B1893" s="5" t="n">
        <v>0.0004644026238522225</v>
      </c>
      <c r="C1893" s="5" t="n">
        <v>0.000878686001546172</v>
      </c>
      <c r="D1893" s="5" t="n">
        <v>0.006362838160076724</v>
      </c>
      <c r="E1893" s="5" t="n">
        <v>-0.002185581353087426</v>
      </c>
      <c r="F1893" s="5" t="n">
        <v>-0.003467108538323319</v>
      </c>
      <c r="G1893" s="5" t="n">
        <v>-0.002315289062667093</v>
      </c>
      <c r="H1893" s="5" t="n">
        <v>-0.001163153887274589</v>
      </c>
      <c r="I1893" s="5" t="n">
        <v>0.001171414463279194</v>
      </c>
      <c r="J1893" s="5" t="n">
        <v>-0.003336640808518737</v>
      </c>
      <c r="K1893" s="5" t="n">
        <v>0.002314310628867603</v>
      </c>
      <c r="L1893" s="5" t="n">
        <v>0.002791751020656972</v>
      </c>
      <c r="M1893" s="5">
        <f>SUMPRODUCT(Exposures!$B$6:$K$6,B1893:K1893)</f>
        <v/>
      </c>
      <c r="N1893" s="5">
        <f>IF(AND($A1893&gt;=DATE(2020,2,1),$A1893&lt;=DATE(2020,5,31)),$M1893,"")</f>
        <v/>
      </c>
      <c r="O1893" s="5">
        <f>IF(AND($A1893&gt;=DATE(2022,1,1),$A1893&lt;=DATE(2022,10,31)),$M1893,"")</f>
        <v/>
      </c>
      <c r="P1893" s="5">
        <f>IF(AND($A1893&gt;=DATE(2018,10,1),$A1893&lt;=DATE(2018,12,31)),$M1893,"")</f>
        <v/>
      </c>
      <c r="Q1893" s="5">
        <f>SUMPRODUCT(Exposures!$B$8:$K$8,B1893:K1893)</f>
        <v/>
      </c>
      <c r="R1893" s="5">
        <f>SUMPRODUCT(Exposures!$B$9:$K$9,B1893:K1893)</f>
        <v/>
      </c>
      <c r="S1893" s="5">
        <f>SUMPRODUCT(Exposures!$B$10:$K$10,B1893:K1893)</f>
        <v/>
      </c>
    </row>
    <row r="1894">
      <c r="A1894" s="1" t="n">
        <v>45205</v>
      </c>
      <c r="B1894" s="5" t="n">
        <v>0.002078050461671783</v>
      </c>
      <c r="C1894" s="5" t="n">
        <v>-1.912778265912088e-05</v>
      </c>
      <c r="D1894" s="5" t="n">
        <v>-0.0005203298973896705</v>
      </c>
      <c r="E1894" s="5" t="n">
        <v>0.001062185897147052</v>
      </c>
      <c r="F1894" s="5" t="n">
        <v>-0.004759323965589104</v>
      </c>
      <c r="G1894" s="5" t="n">
        <v>0.009791225496650402</v>
      </c>
      <c r="H1894" s="5" t="n">
        <v>0.00279028829177992</v>
      </c>
      <c r="I1894" s="5" t="n">
        <v>-0.0001097517635865799</v>
      </c>
      <c r="J1894" s="5" t="n">
        <v>0.005310321530298182</v>
      </c>
      <c r="K1894" s="5" t="n">
        <v>0.007776448361659987</v>
      </c>
      <c r="L1894" s="5" t="n">
        <v>0.0003146806940911328</v>
      </c>
      <c r="M1894" s="5">
        <f>SUMPRODUCT(Exposures!$B$6:$K$6,B1894:K1894)</f>
        <v/>
      </c>
      <c r="N1894" s="5">
        <f>IF(AND($A1894&gt;=DATE(2020,2,1),$A1894&lt;=DATE(2020,5,31)),$M1894,"")</f>
        <v/>
      </c>
      <c r="O1894" s="5">
        <f>IF(AND($A1894&gt;=DATE(2022,1,1),$A1894&lt;=DATE(2022,10,31)),$M1894,"")</f>
        <v/>
      </c>
      <c r="P1894" s="5">
        <f>IF(AND($A1894&gt;=DATE(2018,10,1),$A1894&lt;=DATE(2018,12,31)),$M1894,"")</f>
        <v/>
      </c>
      <c r="Q1894" s="5">
        <f>SUMPRODUCT(Exposures!$B$8:$K$8,B1894:K1894)</f>
        <v/>
      </c>
      <c r="R1894" s="5">
        <f>SUMPRODUCT(Exposures!$B$9:$K$9,B1894:K1894)</f>
        <v/>
      </c>
      <c r="S1894" s="5">
        <f>SUMPRODUCT(Exposures!$B$10:$K$10,B1894:K1894)</f>
        <v/>
      </c>
    </row>
    <row r="1895">
      <c r="A1895" s="1" t="n">
        <v>45208</v>
      </c>
      <c r="B1895" s="5" t="n">
        <v>1.268345928424354e-05</v>
      </c>
      <c r="C1895" s="5" t="n">
        <v>0.002464666132559452</v>
      </c>
      <c r="D1895" s="5" t="n">
        <v>-0.00894782271272637</v>
      </c>
      <c r="E1895" s="5" t="n">
        <v>0.0006426027169369334</v>
      </c>
      <c r="F1895" s="5" t="n">
        <v>-0.003060037169240138</v>
      </c>
      <c r="G1895" s="5" t="n">
        <v>0.004915512067673013</v>
      </c>
      <c r="H1895" s="5" t="n">
        <v>-0.001779738617822167</v>
      </c>
      <c r="I1895" s="5" t="n">
        <v>-0.0004708228238811204</v>
      </c>
      <c r="J1895" s="5" t="n">
        <v>-0.003581889390410458</v>
      </c>
      <c r="K1895" s="5" t="n">
        <v>0.001683972776148909</v>
      </c>
      <c r="L1895" s="5" t="n">
        <v>-0.000549152139026468</v>
      </c>
      <c r="M1895" s="5">
        <f>SUMPRODUCT(Exposures!$B$6:$K$6,B1895:K1895)</f>
        <v/>
      </c>
      <c r="N1895" s="5">
        <f>IF(AND($A1895&gt;=DATE(2020,2,1),$A1895&lt;=DATE(2020,5,31)),$M1895,"")</f>
        <v/>
      </c>
      <c r="O1895" s="5">
        <f>IF(AND($A1895&gt;=DATE(2022,1,1),$A1895&lt;=DATE(2022,10,31)),$M1895,"")</f>
        <v/>
      </c>
      <c r="P1895" s="5">
        <f>IF(AND($A1895&gt;=DATE(2018,10,1),$A1895&lt;=DATE(2018,12,31)),$M1895,"")</f>
        <v/>
      </c>
      <c r="Q1895" s="5">
        <f>SUMPRODUCT(Exposures!$B$8:$K$8,B1895:K1895)</f>
        <v/>
      </c>
      <c r="R1895" s="5">
        <f>SUMPRODUCT(Exposures!$B$9:$K$9,B1895:K1895)</f>
        <v/>
      </c>
      <c r="S1895" s="5">
        <f>SUMPRODUCT(Exposures!$B$10:$K$10,B1895:K1895)</f>
        <v/>
      </c>
    </row>
    <row r="1896">
      <c r="A1896" s="1" t="n">
        <v>45209</v>
      </c>
      <c r="B1896" s="5" t="n">
        <v>-0.001509443950120086</v>
      </c>
      <c r="C1896" s="5" t="n">
        <v>-0.000106977541636848</v>
      </c>
      <c r="D1896" s="5" t="n">
        <v>0.001112577511256129</v>
      </c>
      <c r="E1896" s="5" t="n">
        <v>0.001149384628877953</v>
      </c>
      <c r="F1896" s="5" t="n">
        <v>0.003897039346584216</v>
      </c>
      <c r="G1896" s="5" t="n">
        <v>0.01319512699210927</v>
      </c>
      <c r="H1896" s="5" t="n">
        <v>0.002194810182041525</v>
      </c>
      <c r="I1896" s="5" t="n">
        <v>-0.0003556152758006453</v>
      </c>
      <c r="J1896" s="5" t="n">
        <v>0.00905438909048076</v>
      </c>
      <c r="K1896" s="5" t="n">
        <v>-0.003163743393788017</v>
      </c>
      <c r="L1896" s="5" t="n">
        <v>0.001297949792210388</v>
      </c>
      <c r="M1896" s="5">
        <f>SUMPRODUCT(Exposures!$B$6:$K$6,B1896:K1896)</f>
        <v/>
      </c>
      <c r="N1896" s="5">
        <f>IF(AND($A1896&gt;=DATE(2020,2,1),$A1896&lt;=DATE(2020,5,31)),$M1896,"")</f>
        <v/>
      </c>
      <c r="O1896" s="5">
        <f>IF(AND($A1896&gt;=DATE(2022,1,1),$A1896&lt;=DATE(2022,10,31)),$M1896,"")</f>
        <v/>
      </c>
      <c r="P1896" s="5">
        <f>IF(AND($A1896&gt;=DATE(2018,10,1),$A1896&lt;=DATE(2018,12,31)),$M1896,"")</f>
        <v/>
      </c>
      <c r="Q1896" s="5">
        <f>SUMPRODUCT(Exposures!$B$8:$K$8,B1896:K1896)</f>
        <v/>
      </c>
      <c r="R1896" s="5">
        <f>SUMPRODUCT(Exposures!$B$9:$K$9,B1896:K1896)</f>
        <v/>
      </c>
      <c r="S1896" s="5">
        <f>SUMPRODUCT(Exposures!$B$10:$K$10,B1896:K1896)</f>
        <v/>
      </c>
    </row>
    <row r="1897">
      <c r="A1897" s="1" t="n">
        <v>45210</v>
      </c>
      <c r="B1897" s="5" t="n">
        <v>0.003635701677155863</v>
      </c>
      <c r="C1897" s="5" t="n">
        <v>0.002766599365247023</v>
      </c>
      <c r="D1897" s="5" t="n">
        <v>-0.004415837412440358</v>
      </c>
      <c r="E1897" s="5" t="n">
        <v>0.001983932952841681</v>
      </c>
      <c r="F1897" s="5" t="n">
        <v>0.0009624449735728604</v>
      </c>
      <c r="G1897" s="5" t="n">
        <v>0.001452366113123699</v>
      </c>
      <c r="H1897" s="5" t="n">
        <v>0.001533816673076777</v>
      </c>
      <c r="I1897" s="5" t="n">
        <v>-0.002337032780591103</v>
      </c>
      <c r="J1897" s="5" t="n">
        <v>-0.001649278757441736</v>
      </c>
      <c r="K1897" s="5" t="n">
        <v>0.001016217574624781</v>
      </c>
      <c r="L1897" s="5" t="n">
        <v>-0.00201449855561915</v>
      </c>
      <c r="M1897" s="5">
        <f>SUMPRODUCT(Exposures!$B$6:$K$6,B1897:K1897)</f>
        <v/>
      </c>
      <c r="N1897" s="5">
        <f>IF(AND($A1897&gt;=DATE(2020,2,1),$A1897&lt;=DATE(2020,5,31)),$M1897,"")</f>
        <v/>
      </c>
      <c r="O1897" s="5">
        <f>IF(AND($A1897&gt;=DATE(2022,1,1),$A1897&lt;=DATE(2022,10,31)),$M1897,"")</f>
        <v/>
      </c>
      <c r="P1897" s="5">
        <f>IF(AND($A1897&gt;=DATE(2018,10,1),$A1897&lt;=DATE(2018,12,31)),$M1897,"")</f>
        <v/>
      </c>
      <c r="Q1897" s="5">
        <f>SUMPRODUCT(Exposures!$B$8:$K$8,B1897:K1897)</f>
        <v/>
      </c>
      <c r="R1897" s="5">
        <f>SUMPRODUCT(Exposures!$B$9:$K$9,B1897:K1897)</f>
        <v/>
      </c>
      <c r="S1897" s="5">
        <f>SUMPRODUCT(Exposures!$B$10:$K$10,B1897:K1897)</f>
        <v/>
      </c>
    </row>
    <row r="1898">
      <c r="A1898" s="1" t="n">
        <v>45211</v>
      </c>
      <c r="B1898" s="5" t="n">
        <v>-0.0001548414055653315</v>
      </c>
      <c r="C1898" s="5" t="n">
        <v>0.002833203392808507</v>
      </c>
      <c r="D1898" s="5" t="n">
        <v>0.001131346620282704</v>
      </c>
      <c r="E1898" s="5" t="n">
        <v>0.0008058436298341954</v>
      </c>
      <c r="F1898" s="5" t="n">
        <v>0.00781603087668863</v>
      </c>
      <c r="G1898" s="5" t="n">
        <v>-0.01911520590172405</v>
      </c>
      <c r="H1898" s="5" t="n">
        <v>0.0004136170838833615</v>
      </c>
      <c r="I1898" s="5" t="n">
        <v>0.003339915719535957</v>
      </c>
      <c r="J1898" s="5" t="n">
        <v>-0.00715953369229376</v>
      </c>
      <c r="K1898" s="5" t="n">
        <v>-0.004089187703654653</v>
      </c>
      <c r="L1898" s="5" t="n">
        <v>0.0006935902849546273</v>
      </c>
      <c r="M1898" s="5">
        <f>SUMPRODUCT(Exposures!$B$6:$K$6,B1898:K1898)</f>
        <v/>
      </c>
      <c r="N1898" s="5">
        <f>IF(AND($A1898&gt;=DATE(2020,2,1),$A1898&lt;=DATE(2020,5,31)),$M1898,"")</f>
        <v/>
      </c>
      <c r="O1898" s="5">
        <f>IF(AND($A1898&gt;=DATE(2022,1,1),$A1898&lt;=DATE(2022,10,31)),$M1898,"")</f>
        <v/>
      </c>
      <c r="P1898" s="5">
        <f>IF(AND($A1898&gt;=DATE(2018,10,1),$A1898&lt;=DATE(2018,12,31)),$M1898,"")</f>
        <v/>
      </c>
      <c r="Q1898" s="5">
        <f>SUMPRODUCT(Exposures!$B$8:$K$8,B1898:K1898)</f>
        <v/>
      </c>
      <c r="R1898" s="5">
        <f>SUMPRODUCT(Exposures!$B$9:$K$9,B1898:K1898)</f>
        <v/>
      </c>
      <c r="S1898" s="5">
        <f>SUMPRODUCT(Exposures!$B$10:$K$10,B1898:K1898)</f>
        <v/>
      </c>
    </row>
    <row r="1899">
      <c r="A1899" s="1" t="n">
        <v>45212</v>
      </c>
      <c r="B1899" s="5" t="n">
        <v>-0.009363654550064594</v>
      </c>
      <c r="C1899" s="5" t="n">
        <v>-0.0007358631408647785</v>
      </c>
      <c r="D1899" s="5" t="n">
        <v>-0.000902605156226902</v>
      </c>
      <c r="E1899" s="5" t="n">
        <v>0.0005117028421839363</v>
      </c>
      <c r="F1899" s="5" t="n">
        <v>-0.002079106370138719</v>
      </c>
      <c r="G1899" s="5" t="n">
        <v>-0.007677314939852667</v>
      </c>
      <c r="H1899" s="5" t="n">
        <v>-0.005625127450720074</v>
      </c>
      <c r="I1899" s="5" t="n">
        <v>0.000906480121848344</v>
      </c>
      <c r="J1899" s="5" t="n">
        <v>0.002168097115715832</v>
      </c>
      <c r="K1899" s="5" t="n">
        <v>0.003778530924176744</v>
      </c>
      <c r="L1899" s="5" t="n">
        <v>-0.0006762272311500535</v>
      </c>
      <c r="M1899" s="5">
        <f>SUMPRODUCT(Exposures!$B$6:$K$6,B1899:K1899)</f>
        <v/>
      </c>
      <c r="N1899" s="5">
        <f>IF(AND($A1899&gt;=DATE(2020,2,1),$A1899&lt;=DATE(2020,5,31)),$M1899,"")</f>
        <v/>
      </c>
      <c r="O1899" s="5">
        <f>IF(AND($A1899&gt;=DATE(2022,1,1),$A1899&lt;=DATE(2022,10,31)),$M1899,"")</f>
        <v/>
      </c>
      <c r="P1899" s="5">
        <f>IF(AND($A1899&gt;=DATE(2018,10,1),$A1899&lt;=DATE(2018,12,31)),$M1899,"")</f>
        <v/>
      </c>
      <c r="Q1899" s="5">
        <f>SUMPRODUCT(Exposures!$B$8:$K$8,B1899:K1899)</f>
        <v/>
      </c>
      <c r="R1899" s="5">
        <f>SUMPRODUCT(Exposures!$B$9:$K$9,B1899:K1899)</f>
        <v/>
      </c>
      <c r="S1899" s="5">
        <f>SUMPRODUCT(Exposures!$B$10:$K$10,B1899:K1899)</f>
        <v/>
      </c>
    </row>
    <row r="1900">
      <c r="A1900" s="1" t="n">
        <v>45215</v>
      </c>
      <c r="B1900" s="5" t="n">
        <v>0.004061641194654865</v>
      </c>
      <c r="C1900" s="5" t="n">
        <v>0.0001048823236401516</v>
      </c>
      <c r="D1900" s="5" t="n">
        <v>-0.001374213578465091</v>
      </c>
      <c r="E1900" s="5" t="n">
        <v>-0.0007637835211132542</v>
      </c>
      <c r="F1900" s="5" t="n">
        <v>-0.002703121595025099</v>
      </c>
      <c r="G1900" s="5" t="n">
        <v>0.01785954198337679</v>
      </c>
      <c r="H1900" s="5" t="n">
        <v>-0.002229802965718454</v>
      </c>
      <c r="I1900" s="5" t="n">
        <v>0.0009890001967792622</v>
      </c>
      <c r="J1900" s="5" t="n">
        <v>0.001939493550795037</v>
      </c>
      <c r="K1900" s="5" t="n">
        <v>-0.002461969980386554</v>
      </c>
      <c r="L1900" s="5" t="n">
        <v>0.0005540909823194816</v>
      </c>
      <c r="M1900" s="5">
        <f>SUMPRODUCT(Exposures!$B$6:$K$6,B1900:K1900)</f>
        <v/>
      </c>
      <c r="N1900" s="5">
        <f>IF(AND($A1900&gt;=DATE(2020,2,1),$A1900&lt;=DATE(2020,5,31)),$M1900,"")</f>
        <v/>
      </c>
      <c r="O1900" s="5">
        <f>IF(AND($A1900&gt;=DATE(2022,1,1),$A1900&lt;=DATE(2022,10,31)),$M1900,"")</f>
        <v/>
      </c>
      <c r="P1900" s="5">
        <f>IF(AND($A1900&gt;=DATE(2018,10,1),$A1900&lt;=DATE(2018,12,31)),$M1900,"")</f>
        <v/>
      </c>
      <c r="Q1900" s="5">
        <f>SUMPRODUCT(Exposures!$B$8:$K$8,B1900:K1900)</f>
        <v/>
      </c>
      <c r="R1900" s="5">
        <f>SUMPRODUCT(Exposures!$B$9:$K$9,B1900:K1900)</f>
        <v/>
      </c>
      <c r="S1900" s="5">
        <f>SUMPRODUCT(Exposures!$B$10:$K$10,B1900:K1900)</f>
        <v/>
      </c>
    </row>
    <row r="1901">
      <c r="A1901" s="1" t="n">
        <v>45216</v>
      </c>
      <c r="B1901" s="5" t="n">
        <v>0.001806363633413641</v>
      </c>
      <c r="C1901" s="5" t="n">
        <v>0.0008939050300536096</v>
      </c>
      <c r="D1901" s="5" t="n">
        <v>-0.003792266886159145</v>
      </c>
      <c r="E1901" s="5" t="n">
        <v>-0.0003290388962456196</v>
      </c>
      <c r="F1901" s="5" t="n">
        <v>-0.00157455670878486</v>
      </c>
      <c r="G1901" s="5" t="n">
        <v>0.007354581850835236</v>
      </c>
      <c r="H1901" s="5" t="n">
        <v>-4.708668066779691e-05</v>
      </c>
      <c r="I1901" s="5" t="n">
        <v>0.0006946497874597389</v>
      </c>
      <c r="J1901" s="5" t="n">
        <v>0.0003761887803457808</v>
      </c>
      <c r="K1901" s="5" t="n">
        <v>-0.001430430232989474</v>
      </c>
      <c r="L1901" s="5" t="n">
        <v>0.00123502971842048</v>
      </c>
      <c r="M1901" s="5">
        <f>SUMPRODUCT(Exposures!$B$6:$K$6,B1901:K1901)</f>
        <v/>
      </c>
      <c r="N1901" s="5">
        <f>IF(AND($A1901&gt;=DATE(2020,2,1),$A1901&lt;=DATE(2020,5,31)),$M1901,"")</f>
        <v/>
      </c>
      <c r="O1901" s="5">
        <f>IF(AND($A1901&gt;=DATE(2022,1,1),$A1901&lt;=DATE(2022,10,31)),$M1901,"")</f>
        <v/>
      </c>
      <c r="P1901" s="5">
        <f>IF(AND($A1901&gt;=DATE(2018,10,1),$A1901&lt;=DATE(2018,12,31)),$M1901,"")</f>
        <v/>
      </c>
      <c r="Q1901" s="5">
        <f>SUMPRODUCT(Exposures!$B$8:$K$8,B1901:K1901)</f>
        <v/>
      </c>
      <c r="R1901" s="5">
        <f>SUMPRODUCT(Exposures!$B$9:$K$9,B1901:K1901)</f>
        <v/>
      </c>
      <c r="S1901" s="5">
        <f>SUMPRODUCT(Exposures!$B$10:$K$10,B1901:K1901)</f>
        <v/>
      </c>
    </row>
    <row r="1902">
      <c r="A1902" s="1" t="n">
        <v>45217</v>
      </c>
      <c r="B1902" s="5" t="n">
        <v>-0.00920639101500681</v>
      </c>
      <c r="C1902" s="5" t="n">
        <v>0.001950677764847356</v>
      </c>
      <c r="D1902" s="5" t="n">
        <v>0.0003640997263588525</v>
      </c>
      <c r="E1902" s="5" t="n">
        <v>0.000634524584126883</v>
      </c>
      <c r="F1902" s="5" t="n">
        <v>-0.0002198139883412926</v>
      </c>
      <c r="G1902" s="5" t="n">
        <v>-0.01924064844592307</v>
      </c>
      <c r="H1902" s="5" t="n">
        <v>0.00181946876280197</v>
      </c>
      <c r="I1902" s="5" t="n">
        <v>0.003039992563648242</v>
      </c>
      <c r="J1902" s="5" t="n">
        <v>-0.0007398093677794763</v>
      </c>
      <c r="K1902" s="5" t="n">
        <v>0.003203249327331199</v>
      </c>
      <c r="L1902" s="5" t="n">
        <v>-0.0008923391566677894</v>
      </c>
      <c r="M1902" s="5">
        <f>SUMPRODUCT(Exposures!$B$6:$K$6,B1902:K1902)</f>
        <v/>
      </c>
      <c r="N1902" s="5">
        <f>IF(AND($A1902&gt;=DATE(2020,2,1),$A1902&lt;=DATE(2020,5,31)),$M1902,"")</f>
        <v/>
      </c>
      <c r="O1902" s="5">
        <f>IF(AND($A1902&gt;=DATE(2022,1,1),$A1902&lt;=DATE(2022,10,31)),$M1902,"")</f>
        <v/>
      </c>
      <c r="P1902" s="5">
        <f>IF(AND($A1902&gt;=DATE(2018,10,1),$A1902&lt;=DATE(2018,12,31)),$M1902,"")</f>
        <v/>
      </c>
      <c r="Q1902" s="5">
        <f>SUMPRODUCT(Exposures!$B$8:$K$8,B1902:K1902)</f>
        <v/>
      </c>
      <c r="R1902" s="5">
        <f>SUMPRODUCT(Exposures!$B$9:$K$9,B1902:K1902)</f>
        <v/>
      </c>
      <c r="S1902" s="5">
        <f>SUMPRODUCT(Exposures!$B$10:$K$10,B1902:K1902)</f>
        <v/>
      </c>
    </row>
    <row r="1903">
      <c r="A1903" s="1" t="n">
        <v>45218</v>
      </c>
      <c r="B1903" s="5" t="n">
        <v>-0.00255746660285535</v>
      </c>
      <c r="C1903" s="5" t="n">
        <v>-0.0003916393483642184</v>
      </c>
      <c r="D1903" s="5" t="n">
        <v>-0.0025538266049367</v>
      </c>
      <c r="E1903" s="5" t="n">
        <v>-0.001652766777145248</v>
      </c>
      <c r="F1903" s="5" t="n">
        <v>0.002747611915415231</v>
      </c>
      <c r="G1903" s="5" t="n">
        <v>-0.01574380351630836</v>
      </c>
      <c r="H1903" s="5" t="n">
        <v>-0.001010704727085438</v>
      </c>
      <c r="I1903" s="5" t="n">
        <v>-0.0007169035778475721</v>
      </c>
      <c r="J1903" s="5" t="n">
        <v>-0.002672366159749555</v>
      </c>
      <c r="K1903" s="5" t="n">
        <v>-0.0004986332979780802</v>
      </c>
      <c r="L1903" s="5" t="n">
        <v>-0.001930347463334752</v>
      </c>
      <c r="M1903" s="5">
        <f>SUMPRODUCT(Exposures!$B$6:$K$6,B1903:K1903)</f>
        <v/>
      </c>
      <c r="N1903" s="5">
        <f>IF(AND($A1903&gt;=DATE(2020,2,1),$A1903&lt;=DATE(2020,5,31)),$M1903,"")</f>
        <v/>
      </c>
      <c r="O1903" s="5">
        <f>IF(AND($A1903&gt;=DATE(2022,1,1),$A1903&lt;=DATE(2022,10,31)),$M1903,"")</f>
        <v/>
      </c>
      <c r="P1903" s="5">
        <f>IF(AND($A1903&gt;=DATE(2018,10,1),$A1903&lt;=DATE(2018,12,31)),$M1903,"")</f>
        <v/>
      </c>
      <c r="Q1903" s="5">
        <f>SUMPRODUCT(Exposures!$B$8:$K$8,B1903:K1903)</f>
        <v/>
      </c>
      <c r="R1903" s="5">
        <f>SUMPRODUCT(Exposures!$B$9:$K$9,B1903:K1903)</f>
        <v/>
      </c>
      <c r="S1903" s="5">
        <f>SUMPRODUCT(Exposures!$B$10:$K$10,B1903:K1903)</f>
        <v/>
      </c>
    </row>
    <row r="1904">
      <c r="A1904" s="1" t="n">
        <v>45219</v>
      </c>
      <c r="B1904" s="5" t="n">
        <v>-0.00279403422499224</v>
      </c>
      <c r="C1904" s="5" t="n">
        <v>-0.001083664410200174</v>
      </c>
      <c r="D1904" s="5" t="n">
        <v>0.001692636716925724</v>
      </c>
      <c r="E1904" s="5" t="n">
        <v>-0.002535222676496664</v>
      </c>
      <c r="F1904" s="5" t="n">
        <v>-0.002703074531773137</v>
      </c>
      <c r="G1904" s="5" t="n">
        <v>-0.01079608217937363</v>
      </c>
      <c r="H1904" s="5" t="n">
        <v>-0.0005655490243741311</v>
      </c>
      <c r="I1904" s="5" t="n">
        <v>0.0003483393293743344</v>
      </c>
      <c r="J1904" s="5" t="n">
        <v>-0.0007149231110388483</v>
      </c>
      <c r="K1904" s="5" t="n">
        <v>0.0004763503640253002</v>
      </c>
      <c r="L1904" s="5" t="n">
        <v>-0.001274749061679546</v>
      </c>
      <c r="M1904" s="5">
        <f>SUMPRODUCT(Exposures!$B$6:$K$6,B1904:K1904)</f>
        <v/>
      </c>
      <c r="N1904" s="5">
        <f>IF(AND($A1904&gt;=DATE(2020,2,1),$A1904&lt;=DATE(2020,5,31)),$M1904,"")</f>
        <v/>
      </c>
      <c r="O1904" s="5">
        <f>IF(AND($A1904&gt;=DATE(2022,1,1),$A1904&lt;=DATE(2022,10,31)),$M1904,"")</f>
        <v/>
      </c>
      <c r="P1904" s="5">
        <f>IF(AND($A1904&gt;=DATE(2018,10,1),$A1904&lt;=DATE(2018,12,31)),$M1904,"")</f>
        <v/>
      </c>
      <c r="Q1904" s="5">
        <f>SUMPRODUCT(Exposures!$B$8:$K$8,B1904:K1904)</f>
        <v/>
      </c>
      <c r="R1904" s="5">
        <f>SUMPRODUCT(Exposures!$B$9:$K$9,B1904:K1904)</f>
        <v/>
      </c>
      <c r="S1904" s="5">
        <f>SUMPRODUCT(Exposures!$B$10:$K$10,B1904:K1904)</f>
        <v/>
      </c>
    </row>
    <row r="1905">
      <c r="A1905" s="1" t="n">
        <v>45222</v>
      </c>
      <c r="B1905" s="5" t="n">
        <v>0.0005400537548672987</v>
      </c>
      <c r="C1905" s="5" t="n">
        <v>-0.0007716865187149893</v>
      </c>
      <c r="D1905" s="5" t="n">
        <v>0.001500413507082394</v>
      </c>
      <c r="E1905" s="5" t="n">
        <v>0.0005271373381349553</v>
      </c>
      <c r="F1905" s="5" t="n">
        <v>0.0002283364720925379</v>
      </c>
      <c r="G1905" s="5" t="n">
        <v>-0.00723993397445687</v>
      </c>
      <c r="H1905" s="5" t="n">
        <v>0.003631643916528455</v>
      </c>
      <c r="I1905" s="5" t="n">
        <v>-0.0008906913436357443</v>
      </c>
      <c r="J1905" s="5" t="n">
        <v>0.001316306876170627</v>
      </c>
      <c r="K1905" s="5" t="n">
        <v>0.00186690411413191</v>
      </c>
      <c r="L1905" s="5" t="n">
        <v>-0.00156370938576996</v>
      </c>
      <c r="M1905" s="5">
        <f>SUMPRODUCT(Exposures!$B$6:$K$6,B1905:K1905)</f>
        <v/>
      </c>
      <c r="N1905" s="5">
        <f>IF(AND($A1905&gt;=DATE(2020,2,1),$A1905&lt;=DATE(2020,5,31)),$M1905,"")</f>
        <v/>
      </c>
      <c r="O1905" s="5">
        <f>IF(AND($A1905&gt;=DATE(2022,1,1),$A1905&lt;=DATE(2022,10,31)),$M1905,"")</f>
        <v/>
      </c>
      <c r="P1905" s="5">
        <f>IF(AND($A1905&gt;=DATE(2018,10,1),$A1905&lt;=DATE(2018,12,31)),$M1905,"")</f>
        <v/>
      </c>
      <c r="Q1905" s="5">
        <f>SUMPRODUCT(Exposures!$B$8:$K$8,B1905:K1905)</f>
        <v/>
      </c>
      <c r="R1905" s="5">
        <f>SUMPRODUCT(Exposures!$B$9:$K$9,B1905:K1905)</f>
        <v/>
      </c>
      <c r="S1905" s="5">
        <f>SUMPRODUCT(Exposures!$B$10:$K$10,B1905:K1905)</f>
        <v/>
      </c>
    </row>
    <row r="1906">
      <c r="A1906" s="1" t="n">
        <v>45223</v>
      </c>
      <c r="B1906" s="5" t="n">
        <v>-0.004006491548871905</v>
      </c>
      <c r="C1906" s="5" t="n">
        <v>-0.0017655756337059</v>
      </c>
      <c r="D1906" s="5" t="n">
        <v>0.005255063339931215</v>
      </c>
      <c r="E1906" s="5" t="n">
        <v>0.001048098590304855</v>
      </c>
      <c r="F1906" s="5" t="n">
        <v>3.203277375265243e-05</v>
      </c>
      <c r="G1906" s="5" t="n">
        <v>0.007731800968064312</v>
      </c>
      <c r="H1906" s="5" t="n">
        <v>0.004856279978152231</v>
      </c>
      <c r="I1906" s="5" t="n">
        <v>0.0003324838000028964</v>
      </c>
      <c r="J1906" s="5" t="n">
        <v>0.006977688630549036</v>
      </c>
      <c r="K1906" s="5" t="n">
        <v>0.002160052359452281</v>
      </c>
      <c r="L1906" s="5" t="n">
        <v>0.0005919761038390432</v>
      </c>
      <c r="M1906" s="5">
        <f>SUMPRODUCT(Exposures!$B$6:$K$6,B1906:K1906)</f>
        <v/>
      </c>
      <c r="N1906" s="5">
        <f>IF(AND($A1906&gt;=DATE(2020,2,1),$A1906&lt;=DATE(2020,5,31)),$M1906,"")</f>
        <v/>
      </c>
      <c r="O1906" s="5">
        <f>IF(AND($A1906&gt;=DATE(2022,1,1),$A1906&lt;=DATE(2022,10,31)),$M1906,"")</f>
        <v/>
      </c>
      <c r="P1906" s="5">
        <f>IF(AND($A1906&gt;=DATE(2018,10,1),$A1906&lt;=DATE(2018,12,31)),$M1906,"")</f>
        <v/>
      </c>
      <c r="Q1906" s="5">
        <f>SUMPRODUCT(Exposures!$B$8:$K$8,B1906:K1906)</f>
        <v/>
      </c>
      <c r="R1906" s="5">
        <f>SUMPRODUCT(Exposures!$B$9:$K$9,B1906:K1906)</f>
        <v/>
      </c>
      <c r="S1906" s="5">
        <f>SUMPRODUCT(Exposures!$B$10:$K$10,B1906:K1906)</f>
        <v/>
      </c>
    </row>
    <row r="1907">
      <c r="A1907" s="1" t="n">
        <v>45224</v>
      </c>
      <c r="B1907" s="5" t="n">
        <v>-0.0152931491846411</v>
      </c>
      <c r="C1907" s="5" t="n">
        <v>0.00217106528438689</v>
      </c>
      <c r="D1907" s="5" t="n">
        <v>0.001642943438795568</v>
      </c>
      <c r="E1907" s="5" t="n">
        <v>0.00331494592513952</v>
      </c>
      <c r="F1907" s="5" t="n">
        <v>0.003945604329149671</v>
      </c>
      <c r="G1907" s="5" t="n">
        <v>-0.01664936766820426</v>
      </c>
      <c r="H1907" s="5" t="n">
        <v>3.03540574357958e-05</v>
      </c>
      <c r="I1907" s="5" t="n">
        <v>0.002713451321076078</v>
      </c>
      <c r="J1907" s="5" t="n">
        <v>-0.0007708994039631024</v>
      </c>
      <c r="K1907" s="5" t="n">
        <v>-0.01151417179939271</v>
      </c>
      <c r="L1907" s="5" t="n">
        <v>0.001612450992003137</v>
      </c>
      <c r="M1907" s="5">
        <f>SUMPRODUCT(Exposures!$B$6:$K$6,B1907:K1907)</f>
        <v/>
      </c>
      <c r="N1907" s="5">
        <f>IF(AND($A1907&gt;=DATE(2020,2,1),$A1907&lt;=DATE(2020,5,31)),$M1907,"")</f>
        <v/>
      </c>
      <c r="O1907" s="5">
        <f>IF(AND($A1907&gt;=DATE(2022,1,1),$A1907&lt;=DATE(2022,10,31)),$M1907,"")</f>
        <v/>
      </c>
      <c r="P1907" s="5">
        <f>IF(AND($A1907&gt;=DATE(2018,10,1),$A1907&lt;=DATE(2018,12,31)),$M1907,"")</f>
        <v/>
      </c>
      <c r="Q1907" s="5">
        <f>SUMPRODUCT(Exposures!$B$8:$K$8,B1907:K1907)</f>
        <v/>
      </c>
      <c r="R1907" s="5">
        <f>SUMPRODUCT(Exposures!$B$9:$K$9,B1907:K1907)</f>
        <v/>
      </c>
      <c r="S1907" s="5">
        <f>SUMPRODUCT(Exposures!$B$10:$K$10,B1907:K1907)</f>
        <v/>
      </c>
    </row>
    <row r="1908">
      <c r="A1908" s="1" t="n">
        <v>45225</v>
      </c>
      <c r="B1908" s="5" t="n">
        <v>0.003455676337470504</v>
      </c>
      <c r="C1908" s="5" t="n">
        <v>-0.001839733283730479</v>
      </c>
      <c r="D1908" s="5" t="n">
        <v>-0.001537621905484566</v>
      </c>
      <c r="E1908" s="5" t="n">
        <v>0.00394933584555289</v>
      </c>
      <c r="F1908" s="5" t="n">
        <v>-0.008823232610312563</v>
      </c>
      <c r="G1908" s="5" t="n">
        <v>-0.0006013041471401294</v>
      </c>
      <c r="H1908" s="5" t="n">
        <v>-0.004976493052831176</v>
      </c>
      <c r="I1908" s="5" t="n">
        <v>0.0001658661277095807</v>
      </c>
      <c r="J1908" s="5" t="n">
        <v>-0.005998833090738709</v>
      </c>
      <c r="K1908" s="5" t="n">
        <v>0.002519289688035751</v>
      </c>
      <c r="L1908" s="5" t="n">
        <v>0.003980062873101447</v>
      </c>
      <c r="M1908" s="5">
        <f>SUMPRODUCT(Exposures!$B$6:$K$6,B1908:K1908)</f>
        <v/>
      </c>
      <c r="N1908" s="5">
        <f>IF(AND($A1908&gt;=DATE(2020,2,1),$A1908&lt;=DATE(2020,5,31)),$M1908,"")</f>
        <v/>
      </c>
      <c r="O1908" s="5">
        <f>IF(AND($A1908&gt;=DATE(2022,1,1),$A1908&lt;=DATE(2022,10,31)),$M1908,"")</f>
        <v/>
      </c>
      <c r="P1908" s="5">
        <f>IF(AND($A1908&gt;=DATE(2018,10,1),$A1908&lt;=DATE(2018,12,31)),$M1908,"")</f>
        <v/>
      </c>
      <c r="Q1908" s="5">
        <f>SUMPRODUCT(Exposures!$B$8:$K$8,B1908:K1908)</f>
        <v/>
      </c>
      <c r="R1908" s="5">
        <f>SUMPRODUCT(Exposures!$B$9:$K$9,B1908:K1908)</f>
        <v/>
      </c>
      <c r="S1908" s="5">
        <f>SUMPRODUCT(Exposures!$B$10:$K$10,B1908:K1908)</f>
        <v/>
      </c>
    </row>
    <row r="1909">
      <c r="A1909" s="1" t="n">
        <v>45226</v>
      </c>
      <c r="B1909" s="5" t="n">
        <v>0.003875044082286306</v>
      </c>
      <c r="C1909" s="5" t="n">
        <v>0.002390410123576259</v>
      </c>
      <c r="D1909" s="5" t="n">
        <v>0.001646639862546308</v>
      </c>
      <c r="E1909" s="5" t="n">
        <v>-0.003318479821549115</v>
      </c>
      <c r="F1909" s="5" t="n">
        <v>0.008158484387385081</v>
      </c>
      <c r="G1909" s="5" t="n">
        <v>-0.01602805701955033</v>
      </c>
      <c r="H1909" s="5" t="n">
        <v>0.004538373271742621</v>
      </c>
      <c r="I1909" s="5" t="n">
        <v>-0.00134196883998542</v>
      </c>
      <c r="J1909" s="5" t="n">
        <v>-0.00560712548600437</v>
      </c>
      <c r="K1909" s="5" t="n">
        <v>-0.003200789125405585</v>
      </c>
      <c r="L1909" s="5" t="n">
        <v>0.000738522259322497</v>
      </c>
      <c r="M1909" s="5">
        <f>SUMPRODUCT(Exposures!$B$6:$K$6,B1909:K1909)</f>
        <v/>
      </c>
      <c r="N1909" s="5">
        <f>IF(AND($A1909&gt;=DATE(2020,2,1),$A1909&lt;=DATE(2020,5,31)),$M1909,"")</f>
        <v/>
      </c>
      <c r="O1909" s="5">
        <f>IF(AND($A1909&gt;=DATE(2022,1,1),$A1909&lt;=DATE(2022,10,31)),$M1909,"")</f>
        <v/>
      </c>
      <c r="P1909" s="5">
        <f>IF(AND($A1909&gt;=DATE(2018,10,1),$A1909&lt;=DATE(2018,12,31)),$M1909,"")</f>
        <v/>
      </c>
      <c r="Q1909" s="5">
        <f>SUMPRODUCT(Exposures!$B$8:$K$8,B1909:K1909)</f>
        <v/>
      </c>
      <c r="R1909" s="5">
        <f>SUMPRODUCT(Exposures!$B$9:$K$9,B1909:K1909)</f>
        <v/>
      </c>
      <c r="S1909" s="5">
        <f>SUMPRODUCT(Exposures!$B$10:$K$10,B1909:K1909)</f>
        <v/>
      </c>
    </row>
    <row r="1910">
      <c r="A1910" s="1" t="n">
        <v>45229</v>
      </c>
      <c r="B1910" s="5" t="n">
        <v>0.001130982950353377</v>
      </c>
      <c r="C1910" s="5" t="n">
        <v>-0.001994577226581641</v>
      </c>
      <c r="D1910" s="5" t="n">
        <v>-0.001368118392465845</v>
      </c>
      <c r="E1910" s="5" t="n">
        <v>0.00144598716751071</v>
      </c>
      <c r="F1910" s="5" t="n">
        <v>-0.00159327716409956</v>
      </c>
      <c r="G1910" s="5" t="n">
        <v>0.0087206257894198</v>
      </c>
      <c r="H1910" s="5" t="n">
        <v>0.0006794979754261798</v>
      </c>
      <c r="I1910" s="5" t="n">
        <v>0.002502280882727532</v>
      </c>
      <c r="J1910" s="5" t="n">
        <v>0.001675039667300553</v>
      </c>
      <c r="K1910" s="5" t="n">
        <v>0.003646411320206077</v>
      </c>
      <c r="L1910" s="5" t="n">
        <v>0.001847161348407959</v>
      </c>
      <c r="M1910" s="5">
        <f>SUMPRODUCT(Exposures!$B$6:$K$6,B1910:K1910)</f>
        <v/>
      </c>
      <c r="N1910" s="5">
        <f>IF(AND($A1910&gt;=DATE(2020,2,1),$A1910&lt;=DATE(2020,5,31)),$M1910,"")</f>
        <v/>
      </c>
      <c r="O1910" s="5">
        <f>IF(AND($A1910&gt;=DATE(2022,1,1),$A1910&lt;=DATE(2022,10,31)),$M1910,"")</f>
        <v/>
      </c>
      <c r="P1910" s="5">
        <f>IF(AND($A1910&gt;=DATE(2018,10,1),$A1910&lt;=DATE(2018,12,31)),$M1910,"")</f>
        <v/>
      </c>
      <c r="Q1910" s="5">
        <f>SUMPRODUCT(Exposures!$B$8:$K$8,B1910:K1910)</f>
        <v/>
      </c>
      <c r="R1910" s="5">
        <f>SUMPRODUCT(Exposures!$B$9:$K$9,B1910:K1910)</f>
        <v/>
      </c>
      <c r="S1910" s="5">
        <f>SUMPRODUCT(Exposures!$B$10:$K$10,B1910:K1910)</f>
        <v/>
      </c>
    </row>
    <row r="1911">
      <c r="A1911" s="1" t="n">
        <v>45230</v>
      </c>
      <c r="B1911" s="5" t="n">
        <v>0.002397259182644301</v>
      </c>
      <c r="C1911" s="5" t="n">
        <v>-0.0002863423938719141</v>
      </c>
      <c r="D1911" s="5" t="n">
        <v>-0.001969348016316688</v>
      </c>
      <c r="E1911" s="5" t="n">
        <v>-0.001956455937706109</v>
      </c>
      <c r="F1911" s="5" t="n">
        <v>0.005451592336459623</v>
      </c>
      <c r="G1911" s="5" t="n">
        <v>0.008166497164002801</v>
      </c>
      <c r="H1911" s="5" t="n">
        <v>-0.002183057806647378</v>
      </c>
      <c r="I1911" s="5" t="n">
        <v>0.003847743171485737</v>
      </c>
      <c r="J1911" s="5" t="n">
        <v>-0.001615573801809284</v>
      </c>
      <c r="K1911" s="5" t="n">
        <v>-0.008301337699326101</v>
      </c>
      <c r="L1911" s="5" t="n">
        <v>0.0008276776958964745</v>
      </c>
      <c r="M1911" s="5">
        <f>SUMPRODUCT(Exposures!$B$6:$K$6,B1911:K1911)</f>
        <v/>
      </c>
      <c r="N1911" s="5">
        <f>IF(AND($A1911&gt;=DATE(2020,2,1),$A1911&lt;=DATE(2020,5,31)),$M1911,"")</f>
        <v/>
      </c>
      <c r="O1911" s="5">
        <f>IF(AND($A1911&gt;=DATE(2022,1,1),$A1911&lt;=DATE(2022,10,31)),$M1911,"")</f>
        <v/>
      </c>
      <c r="P1911" s="5">
        <f>IF(AND($A1911&gt;=DATE(2018,10,1),$A1911&lt;=DATE(2018,12,31)),$M1911,"")</f>
        <v/>
      </c>
      <c r="Q1911" s="5">
        <f>SUMPRODUCT(Exposures!$B$8:$K$8,B1911:K1911)</f>
        <v/>
      </c>
      <c r="R1911" s="5">
        <f>SUMPRODUCT(Exposures!$B$9:$K$9,B1911:K1911)</f>
        <v/>
      </c>
      <c r="S1911" s="5">
        <f>SUMPRODUCT(Exposures!$B$10:$K$10,B1911:K1911)</f>
        <v/>
      </c>
    </row>
    <row r="1912">
      <c r="A1912" s="1" t="n">
        <v>45231</v>
      </c>
      <c r="B1912" s="5" t="n">
        <v>0.0002194341104792799</v>
      </c>
      <c r="C1912" s="5" t="n">
        <v>-0.004153840657770582</v>
      </c>
      <c r="D1912" s="5" t="n">
        <v>-0.000418341631721639</v>
      </c>
      <c r="E1912" s="5" t="n">
        <v>-0.0002004198387667792</v>
      </c>
      <c r="F1912" s="5" t="n">
        <v>0.004841658461345754</v>
      </c>
      <c r="G1912" s="5" t="n">
        <v>0.00477845839781003</v>
      </c>
      <c r="H1912" s="5" t="n">
        <v>0.008720588442550843</v>
      </c>
      <c r="I1912" s="5" t="n">
        <v>0.001046128165738723</v>
      </c>
      <c r="J1912" s="5" t="n">
        <v>-0.001590879583757635</v>
      </c>
      <c r="K1912" s="5" t="n">
        <v>-0.002039996765235118</v>
      </c>
      <c r="L1912" s="5" t="n">
        <v>0.001441999802025762</v>
      </c>
      <c r="M1912" s="5">
        <f>SUMPRODUCT(Exposures!$B$6:$K$6,B1912:K1912)</f>
        <v/>
      </c>
      <c r="N1912" s="5">
        <f>IF(AND($A1912&gt;=DATE(2020,2,1),$A1912&lt;=DATE(2020,5,31)),$M1912,"")</f>
        <v/>
      </c>
      <c r="O1912" s="5">
        <f>IF(AND($A1912&gt;=DATE(2022,1,1),$A1912&lt;=DATE(2022,10,31)),$M1912,"")</f>
        <v/>
      </c>
      <c r="P1912" s="5">
        <f>IF(AND($A1912&gt;=DATE(2018,10,1),$A1912&lt;=DATE(2018,12,31)),$M1912,"")</f>
        <v/>
      </c>
      <c r="Q1912" s="5">
        <f>SUMPRODUCT(Exposures!$B$8:$K$8,B1912:K1912)</f>
        <v/>
      </c>
      <c r="R1912" s="5">
        <f>SUMPRODUCT(Exposures!$B$9:$K$9,B1912:K1912)</f>
        <v/>
      </c>
      <c r="S1912" s="5">
        <f>SUMPRODUCT(Exposures!$B$10:$K$10,B1912:K1912)</f>
        <v/>
      </c>
    </row>
    <row r="1913">
      <c r="A1913" s="1" t="n">
        <v>45232</v>
      </c>
      <c r="B1913" s="5" t="n">
        <v>0.01003684433343527</v>
      </c>
      <c r="C1913" s="5" t="n">
        <v>0.001969288184414056</v>
      </c>
      <c r="D1913" s="5" t="n">
        <v>-0.001167058543426856</v>
      </c>
      <c r="E1913" s="5" t="n">
        <v>0.003682471820238947</v>
      </c>
      <c r="F1913" s="5" t="n">
        <v>-0.004968482587438697</v>
      </c>
      <c r="G1913" s="5" t="n">
        <v>0.02836998312874281</v>
      </c>
      <c r="H1913" s="5" t="n">
        <v>-0.00428678023126539</v>
      </c>
      <c r="I1913" s="5" t="n">
        <v>0.002296506799491799</v>
      </c>
      <c r="J1913" s="5" t="n">
        <v>0.001800296544346881</v>
      </c>
      <c r="K1913" s="5" t="n">
        <v>-0.0005402821613714037</v>
      </c>
      <c r="L1913" s="5" t="n">
        <v>0.002994808470960607</v>
      </c>
      <c r="M1913" s="5">
        <f>SUMPRODUCT(Exposures!$B$6:$K$6,B1913:K1913)</f>
        <v/>
      </c>
      <c r="N1913" s="5">
        <f>IF(AND($A1913&gt;=DATE(2020,2,1),$A1913&lt;=DATE(2020,5,31)),$M1913,"")</f>
        <v/>
      </c>
      <c r="O1913" s="5">
        <f>IF(AND($A1913&gt;=DATE(2022,1,1),$A1913&lt;=DATE(2022,10,31)),$M1913,"")</f>
        <v/>
      </c>
      <c r="P1913" s="5">
        <f>IF(AND($A1913&gt;=DATE(2018,10,1),$A1913&lt;=DATE(2018,12,31)),$M1913,"")</f>
        <v/>
      </c>
      <c r="Q1913" s="5">
        <f>SUMPRODUCT(Exposures!$B$8:$K$8,B1913:K1913)</f>
        <v/>
      </c>
      <c r="R1913" s="5">
        <f>SUMPRODUCT(Exposures!$B$9:$K$9,B1913:K1913)</f>
        <v/>
      </c>
      <c r="S1913" s="5">
        <f>SUMPRODUCT(Exposures!$B$10:$K$10,B1913:K1913)</f>
        <v/>
      </c>
    </row>
    <row r="1914">
      <c r="A1914" s="1" t="n">
        <v>45233</v>
      </c>
      <c r="B1914" s="5" t="n">
        <v>0.00746443363860295</v>
      </c>
      <c r="C1914" s="5" t="n">
        <v>-0.0004411799319867957</v>
      </c>
      <c r="D1914" s="5" t="n">
        <v>-0.003402884363202916</v>
      </c>
      <c r="E1914" s="5" t="n">
        <v>0.0001819610957623092</v>
      </c>
      <c r="F1914" s="5" t="n">
        <v>0.002675057598823157</v>
      </c>
      <c r="G1914" s="5" t="n">
        <v>0.02075742023736458</v>
      </c>
      <c r="H1914" s="5" t="n">
        <v>-0.002031343037333155</v>
      </c>
      <c r="I1914" s="5" t="n">
        <v>-3.344461509172114e-05</v>
      </c>
      <c r="J1914" s="5" t="n">
        <v>0.0007686837052905469</v>
      </c>
      <c r="K1914" s="5" t="n">
        <v>-0.006995408561827157</v>
      </c>
      <c r="L1914" s="5" t="n">
        <v>0.0009730864698850763</v>
      </c>
      <c r="M1914" s="5">
        <f>SUMPRODUCT(Exposures!$B$6:$K$6,B1914:K1914)</f>
        <v/>
      </c>
      <c r="N1914" s="5">
        <f>IF(AND($A1914&gt;=DATE(2020,2,1),$A1914&lt;=DATE(2020,5,31)),$M1914,"")</f>
        <v/>
      </c>
      <c r="O1914" s="5">
        <f>IF(AND($A1914&gt;=DATE(2022,1,1),$A1914&lt;=DATE(2022,10,31)),$M1914,"")</f>
        <v/>
      </c>
      <c r="P1914" s="5">
        <f>IF(AND($A1914&gt;=DATE(2018,10,1),$A1914&lt;=DATE(2018,12,31)),$M1914,"")</f>
        <v/>
      </c>
      <c r="Q1914" s="5">
        <f>SUMPRODUCT(Exposures!$B$8:$K$8,B1914:K1914)</f>
        <v/>
      </c>
      <c r="R1914" s="5">
        <f>SUMPRODUCT(Exposures!$B$9:$K$9,B1914:K1914)</f>
        <v/>
      </c>
      <c r="S1914" s="5">
        <f>SUMPRODUCT(Exposures!$B$10:$K$10,B1914:K1914)</f>
        <v/>
      </c>
    </row>
    <row r="1915">
      <c r="A1915" s="1" t="n">
        <v>45236</v>
      </c>
      <c r="B1915" s="5" t="n">
        <v>-0.00871912157967528</v>
      </c>
      <c r="C1915" s="5" t="n">
        <v>-0.001487152749311279</v>
      </c>
      <c r="D1915" s="5" t="n">
        <v>0.001253091419002721</v>
      </c>
      <c r="E1915" s="5" t="n">
        <v>-0.001355381051389744</v>
      </c>
      <c r="F1915" s="5" t="n">
        <v>0.003482070112757796</v>
      </c>
      <c r="G1915" s="5" t="n">
        <v>-0.01031108114470389</v>
      </c>
      <c r="H1915" s="5" t="n">
        <v>0.006002719779786753</v>
      </c>
      <c r="I1915" s="5" t="n">
        <v>-0.001552510313110508</v>
      </c>
      <c r="J1915" s="5" t="n">
        <v>-0.002546864728022802</v>
      </c>
      <c r="K1915" s="5" t="n">
        <v>0.002286492120108517</v>
      </c>
      <c r="L1915" s="5" t="n">
        <v>0.003808135465934551</v>
      </c>
      <c r="M1915" s="5">
        <f>SUMPRODUCT(Exposures!$B$6:$K$6,B1915:K1915)</f>
        <v/>
      </c>
      <c r="N1915" s="5">
        <f>IF(AND($A1915&gt;=DATE(2020,2,1),$A1915&lt;=DATE(2020,5,31)),$M1915,"")</f>
        <v/>
      </c>
      <c r="O1915" s="5">
        <f>IF(AND($A1915&gt;=DATE(2022,1,1),$A1915&lt;=DATE(2022,10,31)),$M1915,"")</f>
        <v/>
      </c>
      <c r="P1915" s="5">
        <f>IF(AND($A1915&gt;=DATE(2018,10,1),$A1915&lt;=DATE(2018,12,31)),$M1915,"")</f>
        <v/>
      </c>
      <c r="Q1915" s="5">
        <f>SUMPRODUCT(Exposures!$B$8:$K$8,B1915:K1915)</f>
        <v/>
      </c>
      <c r="R1915" s="5">
        <f>SUMPRODUCT(Exposures!$B$9:$K$9,B1915:K1915)</f>
        <v/>
      </c>
      <c r="S1915" s="5">
        <f>SUMPRODUCT(Exposures!$B$10:$K$10,B1915:K1915)</f>
        <v/>
      </c>
    </row>
    <row r="1916">
      <c r="A1916" s="1" t="n">
        <v>45237</v>
      </c>
      <c r="B1916" s="5" t="n">
        <v>0.001041299608333908</v>
      </c>
      <c r="C1916" s="5" t="n">
        <v>-0.002595943385348984</v>
      </c>
      <c r="D1916" s="5" t="n">
        <v>2.776146610834247e-05</v>
      </c>
      <c r="E1916" s="5" t="n">
        <v>0.001945979128129271</v>
      </c>
      <c r="F1916" s="5" t="n">
        <v>0.006755917995130699</v>
      </c>
      <c r="G1916" s="5" t="n">
        <v>0.00101963988705007</v>
      </c>
      <c r="H1916" s="5" t="n">
        <v>-6.841511867857164e-05</v>
      </c>
      <c r="I1916" s="5" t="n">
        <v>-0.001816585771253594</v>
      </c>
      <c r="J1916" s="5" t="n">
        <v>0.003391558846927179</v>
      </c>
      <c r="K1916" s="5" t="n">
        <v>-0.004255195523914335</v>
      </c>
      <c r="L1916" s="5" t="n">
        <v>-0.003417864714771336</v>
      </c>
      <c r="M1916" s="5">
        <f>SUMPRODUCT(Exposures!$B$6:$K$6,B1916:K1916)</f>
        <v/>
      </c>
      <c r="N1916" s="5">
        <f>IF(AND($A1916&gt;=DATE(2020,2,1),$A1916&lt;=DATE(2020,5,31)),$M1916,"")</f>
        <v/>
      </c>
      <c r="O1916" s="5">
        <f>IF(AND($A1916&gt;=DATE(2022,1,1),$A1916&lt;=DATE(2022,10,31)),$M1916,"")</f>
        <v/>
      </c>
      <c r="P1916" s="5">
        <f>IF(AND($A1916&gt;=DATE(2018,10,1),$A1916&lt;=DATE(2018,12,31)),$M1916,"")</f>
        <v/>
      </c>
      <c r="Q1916" s="5">
        <f>SUMPRODUCT(Exposures!$B$8:$K$8,B1916:K1916)</f>
        <v/>
      </c>
      <c r="R1916" s="5">
        <f>SUMPRODUCT(Exposures!$B$9:$K$9,B1916:K1916)</f>
        <v/>
      </c>
      <c r="S1916" s="5">
        <f>SUMPRODUCT(Exposures!$B$10:$K$10,B1916:K1916)</f>
        <v/>
      </c>
    </row>
    <row r="1917">
      <c r="A1917" s="1" t="n">
        <v>45238</v>
      </c>
      <c r="B1917" s="5" t="n">
        <v>0.001427848228816348</v>
      </c>
      <c r="C1917" s="5" t="n">
        <v>-0.001381309209407479</v>
      </c>
      <c r="D1917" s="5" t="n">
        <v>0.0005084547120038672</v>
      </c>
      <c r="E1917" s="5" t="n">
        <v>-0.001127483280839378</v>
      </c>
      <c r="F1917" s="5" t="n">
        <v>-0.001600336742370011</v>
      </c>
      <c r="G1917" s="5" t="n">
        <v>-0.00741504401280601</v>
      </c>
      <c r="H1917" s="5" t="n">
        <v>0.003627610188145776</v>
      </c>
      <c r="I1917" s="5" t="n">
        <v>-0.000947095133137162</v>
      </c>
      <c r="J1917" s="5" t="n">
        <v>-0.009695181126580915</v>
      </c>
      <c r="K1917" s="5" t="n">
        <v>0.002697596006751659</v>
      </c>
      <c r="L1917" s="5" t="n">
        <v>0.002497232161740893</v>
      </c>
      <c r="M1917" s="5">
        <f>SUMPRODUCT(Exposures!$B$6:$K$6,B1917:K1917)</f>
        <v/>
      </c>
      <c r="N1917" s="5">
        <f>IF(AND($A1917&gt;=DATE(2020,2,1),$A1917&lt;=DATE(2020,5,31)),$M1917,"")</f>
        <v/>
      </c>
      <c r="O1917" s="5">
        <f>IF(AND($A1917&gt;=DATE(2022,1,1),$A1917&lt;=DATE(2022,10,31)),$M1917,"")</f>
        <v/>
      </c>
      <c r="P1917" s="5">
        <f>IF(AND($A1917&gt;=DATE(2018,10,1),$A1917&lt;=DATE(2018,12,31)),$M1917,"")</f>
        <v/>
      </c>
      <c r="Q1917" s="5">
        <f>SUMPRODUCT(Exposures!$B$8:$K$8,B1917:K1917)</f>
        <v/>
      </c>
      <c r="R1917" s="5">
        <f>SUMPRODUCT(Exposures!$B$9:$K$9,B1917:K1917)</f>
        <v/>
      </c>
      <c r="S1917" s="5">
        <f>SUMPRODUCT(Exposures!$B$10:$K$10,B1917:K1917)</f>
        <v/>
      </c>
    </row>
    <row r="1918">
      <c r="A1918" s="1" t="n">
        <v>45239</v>
      </c>
      <c r="B1918" s="5" t="n">
        <v>-0.003968580831961967</v>
      </c>
      <c r="C1918" s="5" t="n">
        <v>0.002206182691081795</v>
      </c>
      <c r="D1918" s="5" t="n">
        <v>0.003447991025349303</v>
      </c>
      <c r="E1918" s="5" t="n">
        <v>0.0003401729081348032</v>
      </c>
      <c r="F1918" s="5" t="n">
        <v>0.005806972679851</v>
      </c>
      <c r="G1918" s="5" t="n">
        <v>-0.01660167942055974</v>
      </c>
      <c r="H1918" s="5" t="n">
        <v>0.004467515321073591</v>
      </c>
      <c r="I1918" s="5" t="n">
        <v>-0.0006895432285583357</v>
      </c>
      <c r="J1918" s="5" t="n">
        <v>-0.006337525370005426</v>
      </c>
      <c r="K1918" s="5" t="n">
        <v>-0.005320296613937657</v>
      </c>
      <c r="L1918" s="5" t="n">
        <v>0.0009154846017870282</v>
      </c>
      <c r="M1918" s="5">
        <f>SUMPRODUCT(Exposures!$B$6:$K$6,B1918:K1918)</f>
        <v/>
      </c>
      <c r="N1918" s="5">
        <f>IF(AND($A1918&gt;=DATE(2020,2,1),$A1918&lt;=DATE(2020,5,31)),$M1918,"")</f>
        <v/>
      </c>
      <c r="O1918" s="5">
        <f>IF(AND($A1918&gt;=DATE(2022,1,1),$A1918&lt;=DATE(2022,10,31)),$M1918,"")</f>
        <v/>
      </c>
      <c r="P1918" s="5">
        <f>IF(AND($A1918&gt;=DATE(2018,10,1),$A1918&lt;=DATE(2018,12,31)),$M1918,"")</f>
        <v/>
      </c>
      <c r="Q1918" s="5">
        <f>SUMPRODUCT(Exposures!$B$8:$K$8,B1918:K1918)</f>
        <v/>
      </c>
      <c r="R1918" s="5">
        <f>SUMPRODUCT(Exposures!$B$9:$K$9,B1918:K1918)</f>
        <v/>
      </c>
      <c r="S1918" s="5">
        <f>SUMPRODUCT(Exposures!$B$10:$K$10,B1918:K1918)</f>
        <v/>
      </c>
    </row>
    <row r="1919">
      <c r="A1919" s="1" t="n">
        <v>45240</v>
      </c>
      <c r="B1919" s="5" t="n">
        <v>0.007029851292329957</v>
      </c>
      <c r="C1919" s="5" t="n">
        <v>0.002649435928210221</v>
      </c>
      <c r="D1919" s="5" t="n">
        <v>-0.004595219257674056</v>
      </c>
      <c r="E1919" s="5" t="n">
        <v>0.0009341471539126894</v>
      </c>
      <c r="F1919" s="5" t="n">
        <v>-0.001132883603529959</v>
      </c>
      <c r="G1919" s="5" t="n">
        <v>0.00788850531227496</v>
      </c>
      <c r="H1919" s="5" t="n">
        <v>0.003412617760967625</v>
      </c>
      <c r="I1919" s="5" t="n">
        <v>-0.001311886752813109</v>
      </c>
      <c r="J1919" s="5" t="n">
        <v>-0.00688033268767897</v>
      </c>
      <c r="K1919" s="5" t="n">
        <v>0.001871589091987887</v>
      </c>
      <c r="L1919" s="5" t="n">
        <v>-0.002694048131641645</v>
      </c>
      <c r="M1919" s="5">
        <f>SUMPRODUCT(Exposures!$B$6:$K$6,B1919:K1919)</f>
        <v/>
      </c>
      <c r="N1919" s="5">
        <f>IF(AND($A1919&gt;=DATE(2020,2,1),$A1919&lt;=DATE(2020,5,31)),$M1919,"")</f>
        <v/>
      </c>
      <c r="O1919" s="5">
        <f>IF(AND($A1919&gt;=DATE(2022,1,1),$A1919&lt;=DATE(2022,10,31)),$M1919,"")</f>
        <v/>
      </c>
      <c r="P1919" s="5">
        <f>IF(AND($A1919&gt;=DATE(2018,10,1),$A1919&lt;=DATE(2018,12,31)),$M1919,"")</f>
        <v/>
      </c>
      <c r="Q1919" s="5">
        <f>SUMPRODUCT(Exposures!$B$8:$K$8,B1919:K1919)</f>
        <v/>
      </c>
      <c r="R1919" s="5">
        <f>SUMPRODUCT(Exposures!$B$9:$K$9,B1919:K1919)</f>
        <v/>
      </c>
      <c r="S1919" s="5">
        <f>SUMPRODUCT(Exposures!$B$10:$K$10,B1919:K1919)</f>
        <v/>
      </c>
    </row>
    <row r="1920">
      <c r="A1920" s="1" t="n">
        <v>45243</v>
      </c>
      <c r="B1920" s="5" t="n">
        <v>-0.007075719715565831</v>
      </c>
      <c r="C1920" s="5" t="n">
        <v>-0.005052389340326603</v>
      </c>
      <c r="D1920" s="5" t="n">
        <v>-0.0003931582299828451</v>
      </c>
      <c r="E1920" s="5" t="n">
        <v>-0.001580926777457084</v>
      </c>
      <c r="F1920" s="5" t="n">
        <v>0.00507958303929028</v>
      </c>
      <c r="G1920" s="5" t="n">
        <v>-0.00190750062416337</v>
      </c>
      <c r="H1920" s="5" t="n">
        <v>0.001000065499364052</v>
      </c>
      <c r="I1920" s="5" t="n">
        <v>0.001516593220481305</v>
      </c>
      <c r="J1920" s="5" t="n">
        <v>0.001851911561100194</v>
      </c>
      <c r="K1920" s="5" t="n">
        <v>-0.003981390575693246</v>
      </c>
      <c r="L1920" s="5" t="n">
        <v>0.001800447309628759</v>
      </c>
      <c r="M1920" s="5">
        <f>SUMPRODUCT(Exposures!$B$6:$K$6,B1920:K1920)</f>
        <v/>
      </c>
      <c r="N1920" s="5">
        <f>IF(AND($A1920&gt;=DATE(2020,2,1),$A1920&lt;=DATE(2020,5,31)),$M1920,"")</f>
        <v/>
      </c>
      <c r="O1920" s="5">
        <f>IF(AND($A1920&gt;=DATE(2022,1,1),$A1920&lt;=DATE(2022,10,31)),$M1920,"")</f>
        <v/>
      </c>
      <c r="P1920" s="5">
        <f>IF(AND($A1920&gt;=DATE(2018,10,1),$A1920&lt;=DATE(2018,12,31)),$M1920,"")</f>
        <v/>
      </c>
      <c r="Q1920" s="5">
        <f>SUMPRODUCT(Exposures!$B$8:$K$8,B1920:K1920)</f>
        <v/>
      </c>
      <c r="R1920" s="5">
        <f>SUMPRODUCT(Exposures!$B$9:$K$9,B1920:K1920)</f>
        <v/>
      </c>
      <c r="S1920" s="5">
        <f>SUMPRODUCT(Exposures!$B$10:$K$10,B1920:K1920)</f>
        <v/>
      </c>
    </row>
    <row r="1921">
      <c r="A1921" s="1" t="n">
        <v>45244</v>
      </c>
      <c r="B1921" s="5" t="n">
        <v>0.01613782388440617</v>
      </c>
      <c r="C1921" s="5" t="n">
        <v>-0.001710401533404992</v>
      </c>
      <c r="D1921" s="5" t="n">
        <v>-0.0004675715095181607</v>
      </c>
      <c r="E1921" s="5" t="n">
        <v>0.0005525445929660854</v>
      </c>
      <c r="F1921" s="5" t="n">
        <v>-0.002025242912165217</v>
      </c>
      <c r="G1921" s="5" t="n">
        <v>0.03951404839318035</v>
      </c>
      <c r="H1921" s="5" t="n">
        <v>-0.008983028383839258</v>
      </c>
      <c r="I1921" s="5" t="n">
        <v>-0.0002724736457943937</v>
      </c>
      <c r="J1921" s="5" t="n">
        <v>0.003077427179518265</v>
      </c>
      <c r="K1921" s="5" t="n">
        <v>-0.006716690279335372</v>
      </c>
      <c r="L1921" s="5" t="n">
        <v>0.002327025743960077</v>
      </c>
      <c r="M1921" s="5">
        <f>SUMPRODUCT(Exposures!$B$6:$K$6,B1921:K1921)</f>
        <v/>
      </c>
      <c r="N1921" s="5">
        <f>IF(AND($A1921&gt;=DATE(2020,2,1),$A1921&lt;=DATE(2020,5,31)),$M1921,"")</f>
        <v/>
      </c>
      <c r="O1921" s="5">
        <f>IF(AND($A1921&gt;=DATE(2022,1,1),$A1921&lt;=DATE(2022,10,31)),$M1921,"")</f>
        <v/>
      </c>
      <c r="P1921" s="5">
        <f>IF(AND($A1921&gt;=DATE(2018,10,1),$A1921&lt;=DATE(2018,12,31)),$M1921,"")</f>
        <v/>
      </c>
      <c r="Q1921" s="5">
        <f>SUMPRODUCT(Exposures!$B$8:$K$8,B1921:K1921)</f>
        <v/>
      </c>
      <c r="R1921" s="5">
        <f>SUMPRODUCT(Exposures!$B$9:$K$9,B1921:K1921)</f>
        <v/>
      </c>
      <c r="S1921" s="5">
        <f>SUMPRODUCT(Exposures!$B$10:$K$10,B1921:K1921)</f>
        <v/>
      </c>
    </row>
    <row r="1922">
      <c r="A1922" s="1" t="n">
        <v>45245</v>
      </c>
      <c r="B1922" s="5" t="n">
        <v>0.002449863431374524</v>
      </c>
      <c r="C1922" s="5" t="n">
        <v>0.0006175458368876804</v>
      </c>
      <c r="D1922" s="5" t="n">
        <v>-0.005397332482557787</v>
      </c>
      <c r="E1922" s="5" t="n">
        <v>-0.001200785493100081</v>
      </c>
      <c r="F1922" s="5" t="n">
        <v>0.000142796197316983</v>
      </c>
      <c r="G1922" s="5" t="n">
        <v>0.004109361598402472</v>
      </c>
      <c r="H1922" s="5" t="n">
        <v>-0.005092240879127567</v>
      </c>
      <c r="I1922" s="5" t="n">
        <v>-0.002060121003405965</v>
      </c>
      <c r="J1922" s="5" t="n">
        <v>0.002733480146761671</v>
      </c>
      <c r="K1922" s="5" t="n">
        <v>0.002636227767927842</v>
      </c>
      <c r="L1922" s="5" t="n">
        <v>0.001630572124142354</v>
      </c>
      <c r="M1922" s="5">
        <f>SUMPRODUCT(Exposures!$B$6:$K$6,B1922:K1922)</f>
        <v/>
      </c>
      <c r="N1922" s="5">
        <f>IF(AND($A1922&gt;=DATE(2020,2,1),$A1922&lt;=DATE(2020,5,31)),$M1922,"")</f>
        <v/>
      </c>
      <c r="O1922" s="5">
        <f>IF(AND($A1922&gt;=DATE(2022,1,1),$A1922&lt;=DATE(2022,10,31)),$M1922,"")</f>
        <v/>
      </c>
      <c r="P1922" s="5">
        <f>IF(AND($A1922&gt;=DATE(2018,10,1),$A1922&lt;=DATE(2018,12,31)),$M1922,"")</f>
        <v/>
      </c>
      <c r="Q1922" s="5">
        <f>SUMPRODUCT(Exposures!$B$8:$K$8,B1922:K1922)</f>
        <v/>
      </c>
      <c r="R1922" s="5">
        <f>SUMPRODUCT(Exposures!$B$9:$K$9,B1922:K1922)</f>
        <v/>
      </c>
      <c r="S1922" s="5">
        <f>SUMPRODUCT(Exposures!$B$10:$K$10,B1922:K1922)</f>
        <v/>
      </c>
    </row>
    <row r="1923">
      <c r="A1923" s="1" t="n">
        <v>45246</v>
      </c>
      <c r="B1923" s="5" t="n">
        <v>0.00140222449116585</v>
      </c>
      <c r="C1923" s="5" t="n">
        <v>-0.004582377852031394</v>
      </c>
      <c r="D1923" s="5" t="n">
        <v>-0.000941989670818506</v>
      </c>
      <c r="E1923" s="5" t="n">
        <v>0.00102384310992946</v>
      </c>
      <c r="F1923" s="5" t="n">
        <v>0.006329881077615319</v>
      </c>
      <c r="G1923" s="5" t="n">
        <v>-0.01129174504540429</v>
      </c>
      <c r="H1923" s="5" t="n">
        <v>-0.0001659795399799869</v>
      </c>
      <c r="I1923" s="5" t="n">
        <v>0.0009615782231491436</v>
      </c>
      <c r="J1923" s="5" t="n">
        <v>-0.01329731397352739</v>
      </c>
      <c r="K1923" s="5" t="n">
        <v>-0.006951144612980794</v>
      </c>
      <c r="L1923" s="5" t="n">
        <v>-0.00294723120054171</v>
      </c>
      <c r="M1923" s="5">
        <f>SUMPRODUCT(Exposures!$B$6:$K$6,B1923:K1923)</f>
        <v/>
      </c>
      <c r="N1923" s="5">
        <f>IF(AND($A1923&gt;=DATE(2020,2,1),$A1923&lt;=DATE(2020,5,31)),$M1923,"")</f>
        <v/>
      </c>
      <c r="O1923" s="5">
        <f>IF(AND($A1923&gt;=DATE(2022,1,1),$A1923&lt;=DATE(2022,10,31)),$M1923,"")</f>
        <v/>
      </c>
      <c r="P1923" s="5">
        <f>IF(AND($A1923&gt;=DATE(2018,10,1),$A1923&lt;=DATE(2018,12,31)),$M1923,"")</f>
        <v/>
      </c>
      <c r="Q1923" s="5">
        <f>SUMPRODUCT(Exposures!$B$8:$K$8,B1923:K1923)</f>
        <v/>
      </c>
      <c r="R1923" s="5">
        <f>SUMPRODUCT(Exposures!$B$9:$K$9,B1923:K1923)</f>
        <v/>
      </c>
      <c r="S1923" s="5">
        <f>SUMPRODUCT(Exposures!$B$10:$K$10,B1923:K1923)</f>
        <v/>
      </c>
    </row>
    <row r="1924">
      <c r="A1924" s="1" t="n">
        <v>45247</v>
      </c>
      <c r="B1924" s="5" t="n">
        <v>0.007192874531294777</v>
      </c>
      <c r="C1924" s="5" t="n">
        <v>0.0030841604413394</v>
      </c>
      <c r="D1924" s="5" t="n">
        <v>3.16812212142345e-05</v>
      </c>
      <c r="E1924" s="5" t="n">
        <v>0.003247906322600481</v>
      </c>
      <c r="F1924" s="5" t="n">
        <v>-0.002920550938558864</v>
      </c>
      <c r="G1924" s="5" t="n">
        <v>0.008554052718927859</v>
      </c>
      <c r="H1924" s="5" t="n">
        <v>-0.002482536445824497</v>
      </c>
      <c r="I1924" s="5" t="n">
        <v>0.001136143721681301</v>
      </c>
      <c r="J1924" s="5" t="n">
        <v>0.001339002031785278</v>
      </c>
      <c r="K1924" s="5" t="n">
        <v>-0.002028046021152827</v>
      </c>
      <c r="L1924" s="5" t="n">
        <v>2.614775353644875e-05</v>
      </c>
      <c r="M1924" s="5">
        <f>SUMPRODUCT(Exposures!$B$6:$K$6,B1924:K1924)</f>
        <v/>
      </c>
      <c r="N1924" s="5">
        <f>IF(AND($A1924&gt;=DATE(2020,2,1),$A1924&lt;=DATE(2020,5,31)),$M1924,"")</f>
        <v/>
      </c>
      <c r="O1924" s="5">
        <f>IF(AND($A1924&gt;=DATE(2022,1,1),$A1924&lt;=DATE(2022,10,31)),$M1924,"")</f>
        <v/>
      </c>
      <c r="P1924" s="5">
        <f>IF(AND($A1924&gt;=DATE(2018,10,1),$A1924&lt;=DATE(2018,12,31)),$M1924,"")</f>
        <v/>
      </c>
      <c r="Q1924" s="5">
        <f>SUMPRODUCT(Exposures!$B$8:$K$8,B1924:K1924)</f>
        <v/>
      </c>
      <c r="R1924" s="5">
        <f>SUMPRODUCT(Exposures!$B$9:$K$9,B1924:K1924)</f>
        <v/>
      </c>
      <c r="S1924" s="5">
        <f>SUMPRODUCT(Exposures!$B$10:$K$10,B1924:K1924)</f>
        <v/>
      </c>
    </row>
    <row r="1925">
      <c r="A1925" s="1" t="n">
        <v>45250</v>
      </c>
      <c r="B1925" s="5" t="n">
        <v>0.002828707250156297</v>
      </c>
      <c r="C1925" s="5" t="n">
        <v>-0.0001920479467487668</v>
      </c>
      <c r="D1925" s="5" t="n">
        <v>0.002226916999775222</v>
      </c>
      <c r="E1925" s="5" t="n">
        <v>-0.0009505195906680753</v>
      </c>
      <c r="F1925" s="5" t="n">
        <v>0.001804627689060176</v>
      </c>
      <c r="G1925" s="5" t="n">
        <v>0.007130262073808847</v>
      </c>
      <c r="H1925" s="5" t="n">
        <v>0.001499139684843466</v>
      </c>
      <c r="I1925" s="5" t="n">
        <v>0.001519693564093754</v>
      </c>
      <c r="J1925" s="5" t="n">
        <v>0.004504060491336948</v>
      </c>
      <c r="K1925" s="5" t="n">
        <v>-0.00132404779905436</v>
      </c>
      <c r="L1925" s="5" t="n">
        <v>-0.001538222071357839</v>
      </c>
      <c r="M1925" s="5">
        <f>SUMPRODUCT(Exposures!$B$6:$K$6,B1925:K1925)</f>
        <v/>
      </c>
      <c r="N1925" s="5">
        <f>IF(AND($A1925&gt;=DATE(2020,2,1),$A1925&lt;=DATE(2020,5,31)),$M1925,"")</f>
        <v/>
      </c>
      <c r="O1925" s="5">
        <f>IF(AND($A1925&gt;=DATE(2022,1,1),$A1925&lt;=DATE(2022,10,31)),$M1925,"")</f>
        <v/>
      </c>
      <c r="P1925" s="5">
        <f>IF(AND($A1925&gt;=DATE(2018,10,1),$A1925&lt;=DATE(2018,12,31)),$M1925,"")</f>
        <v/>
      </c>
      <c r="Q1925" s="5">
        <f>SUMPRODUCT(Exposures!$B$8:$K$8,B1925:K1925)</f>
        <v/>
      </c>
      <c r="R1925" s="5">
        <f>SUMPRODUCT(Exposures!$B$9:$K$9,B1925:K1925)</f>
        <v/>
      </c>
      <c r="S1925" s="5">
        <f>SUMPRODUCT(Exposures!$B$10:$K$10,B1925:K1925)</f>
        <v/>
      </c>
    </row>
    <row r="1926">
      <c r="A1926" s="1" t="n">
        <v>45251</v>
      </c>
      <c r="B1926" s="5" t="n">
        <v>-0.005063813751435706</v>
      </c>
      <c r="C1926" s="5" t="n">
        <v>-0.001376817549991833</v>
      </c>
      <c r="D1926" s="5" t="n">
        <v>0.001337444667498566</v>
      </c>
      <c r="E1926" s="5" t="n">
        <v>-0.001603480023669656</v>
      </c>
      <c r="F1926" s="5" t="n">
        <v>-0.003559084993385205</v>
      </c>
      <c r="G1926" s="5" t="n">
        <v>-0.006019498142667811</v>
      </c>
      <c r="H1926" s="5" t="n">
        <v>0.0006025684156482813</v>
      </c>
      <c r="I1926" s="5" t="n">
        <v>-0.001342774260940953</v>
      </c>
      <c r="J1926" s="5" t="n">
        <v>-0.002444167479176717</v>
      </c>
      <c r="K1926" s="5" t="n">
        <v>0.005559259483403746</v>
      </c>
      <c r="L1926" s="5" t="n">
        <v>-0.0002917351717041511</v>
      </c>
      <c r="M1926" s="5">
        <f>SUMPRODUCT(Exposures!$B$6:$K$6,B1926:K1926)</f>
        <v/>
      </c>
      <c r="N1926" s="5">
        <f>IF(AND($A1926&gt;=DATE(2020,2,1),$A1926&lt;=DATE(2020,5,31)),$M1926,"")</f>
        <v/>
      </c>
      <c r="O1926" s="5">
        <f>IF(AND($A1926&gt;=DATE(2022,1,1),$A1926&lt;=DATE(2022,10,31)),$M1926,"")</f>
        <v/>
      </c>
      <c r="P1926" s="5">
        <f>IF(AND($A1926&gt;=DATE(2018,10,1),$A1926&lt;=DATE(2018,12,31)),$M1926,"")</f>
        <v/>
      </c>
      <c r="Q1926" s="5">
        <f>SUMPRODUCT(Exposures!$B$8:$K$8,B1926:K1926)</f>
        <v/>
      </c>
      <c r="R1926" s="5">
        <f>SUMPRODUCT(Exposures!$B$9:$K$9,B1926:K1926)</f>
        <v/>
      </c>
      <c r="S1926" s="5">
        <f>SUMPRODUCT(Exposures!$B$10:$K$10,B1926:K1926)</f>
        <v/>
      </c>
    </row>
    <row r="1927">
      <c r="A1927" s="1" t="n">
        <v>45252</v>
      </c>
      <c r="B1927" s="5" t="n">
        <v>-0.00235982834655856</v>
      </c>
      <c r="C1927" s="5" t="n">
        <v>-0.001483250745487632</v>
      </c>
      <c r="D1927" s="5" t="n">
        <v>-0.0003105995730079098</v>
      </c>
      <c r="E1927" s="5" t="n">
        <v>-0.0009517559170787264</v>
      </c>
      <c r="F1927" s="5" t="n">
        <v>0.004957998462791617</v>
      </c>
      <c r="G1927" s="5" t="n">
        <v>0.004796962737028513</v>
      </c>
      <c r="H1927" s="5" t="n">
        <v>-0.0003006649214694637</v>
      </c>
      <c r="I1927" s="5" t="n">
        <v>-0.0002420409727291562</v>
      </c>
      <c r="J1927" s="5" t="n">
        <v>0.001819874537118971</v>
      </c>
      <c r="K1927" s="5" t="n">
        <v>-0.002309617125823262</v>
      </c>
      <c r="L1927" s="5" t="n">
        <v>0.0002843973215797342</v>
      </c>
      <c r="M1927" s="5">
        <f>SUMPRODUCT(Exposures!$B$6:$K$6,B1927:K1927)</f>
        <v/>
      </c>
      <c r="N1927" s="5">
        <f>IF(AND($A1927&gt;=DATE(2020,2,1),$A1927&lt;=DATE(2020,5,31)),$M1927,"")</f>
        <v/>
      </c>
      <c r="O1927" s="5">
        <f>IF(AND($A1927&gt;=DATE(2022,1,1),$A1927&lt;=DATE(2022,10,31)),$M1927,"")</f>
        <v/>
      </c>
      <c r="P1927" s="5">
        <f>IF(AND($A1927&gt;=DATE(2018,10,1),$A1927&lt;=DATE(2018,12,31)),$M1927,"")</f>
        <v/>
      </c>
      <c r="Q1927" s="5">
        <f>SUMPRODUCT(Exposures!$B$8:$K$8,B1927:K1927)</f>
        <v/>
      </c>
      <c r="R1927" s="5">
        <f>SUMPRODUCT(Exposures!$B$9:$K$9,B1927:K1927)</f>
        <v/>
      </c>
      <c r="S1927" s="5">
        <f>SUMPRODUCT(Exposures!$B$10:$K$10,B1927:K1927)</f>
        <v/>
      </c>
    </row>
    <row r="1928">
      <c r="A1928" s="1" t="n">
        <v>45254</v>
      </c>
      <c r="B1928" s="5" t="n">
        <v>-0.001004292429724359</v>
      </c>
      <c r="C1928" s="5" t="n">
        <v>-0.0005280246794361483</v>
      </c>
      <c r="D1928" s="5" t="n">
        <v>-0.001468977627140742</v>
      </c>
      <c r="E1928" s="5" t="n">
        <v>-0.0006643984141483871</v>
      </c>
      <c r="F1928" s="5" t="n">
        <v>-0.0006199216687842435</v>
      </c>
      <c r="G1928" s="5" t="n">
        <v>0.004974616378644776</v>
      </c>
      <c r="H1928" s="5" t="n">
        <v>-0.0005907095700911583</v>
      </c>
      <c r="I1928" s="5" t="n">
        <v>0.001116432689111038</v>
      </c>
      <c r="J1928" s="5" t="n">
        <v>0.0002786827351046326</v>
      </c>
      <c r="K1928" s="5" t="n">
        <v>-0.002413072592105854</v>
      </c>
      <c r="L1928" s="5" t="n">
        <v>-0.0004854513352221177</v>
      </c>
      <c r="M1928" s="5">
        <f>SUMPRODUCT(Exposures!$B$6:$K$6,B1928:K1928)</f>
        <v/>
      </c>
      <c r="N1928" s="5">
        <f>IF(AND($A1928&gt;=DATE(2020,2,1),$A1928&lt;=DATE(2020,5,31)),$M1928,"")</f>
        <v/>
      </c>
      <c r="O1928" s="5">
        <f>IF(AND($A1928&gt;=DATE(2022,1,1),$A1928&lt;=DATE(2022,10,31)),$M1928,"")</f>
        <v/>
      </c>
      <c r="P1928" s="5">
        <f>IF(AND($A1928&gt;=DATE(2018,10,1),$A1928&lt;=DATE(2018,12,31)),$M1928,"")</f>
        <v/>
      </c>
      <c r="Q1928" s="5">
        <f>SUMPRODUCT(Exposures!$B$8:$K$8,B1928:K1928)</f>
        <v/>
      </c>
      <c r="R1928" s="5">
        <f>SUMPRODUCT(Exposures!$B$9:$K$9,B1928:K1928)</f>
        <v/>
      </c>
      <c r="S1928" s="5">
        <f>SUMPRODUCT(Exposures!$B$10:$K$10,B1928:K1928)</f>
        <v/>
      </c>
    </row>
    <row r="1929">
      <c r="A1929" s="1" t="n">
        <v>45257</v>
      </c>
      <c r="B1929" s="5" t="n">
        <v>-0.001890343216290233</v>
      </c>
      <c r="C1929" s="5" t="n">
        <v>-0.003953550398534729</v>
      </c>
      <c r="D1929" s="5" t="n">
        <v>1.043229732742958e-05</v>
      </c>
      <c r="E1929" s="5" t="n">
        <v>0.0012380973743291</v>
      </c>
      <c r="F1929" s="5" t="n">
        <v>0.0014945331924762</v>
      </c>
      <c r="G1929" s="5" t="n">
        <v>-0.003884514673120806</v>
      </c>
      <c r="H1929" s="5" t="n">
        <v>0.004130864218417768</v>
      </c>
      <c r="I1929" s="5" t="n">
        <v>1.603950992099814e-05</v>
      </c>
      <c r="J1929" s="5" t="n">
        <v>0.00122507106270975</v>
      </c>
      <c r="K1929" s="5" t="n">
        <v>-0.001286044635207075</v>
      </c>
      <c r="L1929" s="5" t="n">
        <v>0.001038595357504303</v>
      </c>
      <c r="M1929" s="5">
        <f>SUMPRODUCT(Exposures!$B$6:$K$6,B1929:K1929)</f>
        <v/>
      </c>
      <c r="N1929" s="5">
        <f>IF(AND($A1929&gt;=DATE(2020,2,1),$A1929&lt;=DATE(2020,5,31)),$M1929,"")</f>
        <v/>
      </c>
      <c r="O1929" s="5">
        <f>IF(AND($A1929&gt;=DATE(2022,1,1),$A1929&lt;=DATE(2022,10,31)),$M1929,"")</f>
        <v/>
      </c>
      <c r="P1929" s="5">
        <f>IF(AND($A1929&gt;=DATE(2018,10,1),$A1929&lt;=DATE(2018,12,31)),$M1929,"")</f>
        <v/>
      </c>
      <c r="Q1929" s="5">
        <f>SUMPRODUCT(Exposures!$B$8:$K$8,B1929:K1929)</f>
        <v/>
      </c>
      <c r="R1929" s="5">
        <f>SUMPRODUCT(Exposures!$B$9:$K$9,B1929:K1929)</f>
        <v/>
      </c>
      <c r="S1929" s="5">
        <f>SUMPRODUCT(Exposures!$B$10:$K$10,B1929:K1929)</f>
        <v/>
      </c>
    </row>
    <row r="1930">
      <c r="A1930" s="1" t="n">
        <v>45258</v>
      </c>
      <c r="B1930" s="5" t="n">
        <v>0.00144245756453353</v>
      </c>
      <c r="C1930" s="5" t="n">
        <v>-0.002479196169599184</v>
      </c>
      <c r="D1930" s="5" t="n">
        <v>-0.002952259376293708</v>
      </c>
      <c r="E1930" s="5" t="n">
        <v>0.0003860816644384706</v>
      </c>
      <c r="F1930" s="5" t="n">
        <v>0.004614244442916635</v>
      </c>
      <c r="G1930" s="5" t="n">
        <v>0.0007727660029768633</v>
      </c>
      <c r="H1930" s="5" t="n">
        <v>-0.005009662246199505</v>
      </c>
      <c r="I1930" s="5" t="n">
        <v>0.0006096317250707526</v>
      </c>
      <c r="J1930" s="5" t="n">
        <v>0.002441154555553934</v>
      </c>
      <c r="K1930" s="5" t="n">
        <v>-0.00242740661727885</v>
      </c>
      <c r="L1930" s="5" t="n">
        <v>0.0009196762165496659</v>
      </c>
      <c r="M1930" s="5">
        <f>SUMPRODUCT(Exposures!$B$6:$K$6,B1930:K1930)</f>
        <v/>
      </c>
      <c r="N1930" s="5">
        <f>IF(AND($A1930&gt;=DATE(2020,2,1),$A1930&lt;=DATE(2020,5,31)),$M1930,"")</f>
        <v/>
      </c>
      <c r="O1930" s="5">
        <f>IF(AND($A1930&gt;=DATE(2022,1,1),$A1930&lt;=DATE(2022,10,31)),$M1930,"")</f>
        <v/>
      </c>
      <c r="P1930" s="5">
        <f>IF(AND($A1930&gt;=DATE(2018,10,1),$A1930&lt;=DATE(2018,12,31)),$M1930,"")</f>
        <v/>
      </c>
      <c r="Q1930" s="5">
        <f>SUMPRODUCT(Exposures!$B$8:$K$8,B1930:K1930)</f>
        <v/>
      </c>
      <c r="R1930" s="5">
        <f>SUMPRODUCT(Exposures!$B$9:$K$9,B1930:K1930)</f>
        <v/>
      </c>
      <c r="S1930" s="5">
        <f>SUMPRODUCT(Exposures!$B$10:$K$10,B1930:K1930)</f>
        <v/>
      </c>
    </row>
    <row r="1931">
      <c r="A1931" s="1" t="n">
        <v>45259</v>
      </c>
      <c r="B1931" s="5" t="n">
        <v>0.00987544734788668</v>
      </c>
      <c r="C1931" s="5" t="n">
        <v>-0.001392860287532695</v>
      </c>
      <c r="D1931" s="5" t="n">
        <v>-0.003700883673709918</v>
      </c>
      <c r="E1931" s="5" t="n">
        <v>0.001760703103587695</v>
      </c>
      <c r="F1931" s="5" t="n">
        <v>0.0008067090656000888</v>
      </c>
      <c r="G1931" s="5" t="n">
        <v>0.003782392005369879</v>
      </c>
      <c r="H1931" s="5" t="n">
        <v>-0.003657097962151468</v>
      </c>
      <c r="I1931" s="5" t="n">
        <v>0.002120198569927841</v>
      </c>
      <c r="J1931" s="5" t="n">
        <v>-0.004257698828631916</v>
      </c>
      <c r="K1931" s="5" t="n">
        <v>-0.005653992515709727</v>
      </c>
      <c r="L1931" s="5" t="n">
        <v>-0.0005905525582417413</v>
      </c>
      <c r="M1931" s="5">
        <f>SUMPRODUCT(Exposures!$B$6:$K$6,B1931:K1931)</f>
        <v/>
      </c>
      <c r="N1931" s="5">
        <f>IF(AND($A1931&gt;=DATE(2020,2,1),$A1931&lt;=DATE(2020,5,31)),$M1931,"")</f>
        <v/>
      </c>
      <c r="O1931" s="5">
        <f>IF(AND($A1931&gt;=DATE(2022,1,1),$A1931&lt;=DATE(2022,10,31)),$M1931,"")</f>
        <v/>
      </c>
      <c r="P1931" s="5">
        <f>IF(AND($A1931&gt;=DATE(2018,10,1),$A1931&lt;=DATE(2018,12,31)),$M1931,"")</f>
        <v/>
      </c>
      <c r="Q1931" s="5">
        <f>SUMPRODUCT(Exposures!$B$8:$K$8,B1931:K1931)</f>
        <v/>
      </c>
      <c r="R1931" s="5">
        <f>SUMPRODUCT(Exposures!$B$9:$K$9,B1931:K1931)</f>
        <v/>
      </c>
      <c r="S1931" s="5">
        <f>SUMPRODUCT(Exposures!$B$10:$K$10,B1931:K1931)</f>
        <v/>
      </c>
    </row>
    <row r="1932">
      <c r="A1932" s="1" t="n">
        <v>45260</v>
      </c>
      <c r="B1932" s="5" t="n">
        <v>-0.005549628887270269</v>
      </c>
      <c r="C1932" s="5" t="n">
        <v>0.0004758055342871259</v>
      </c>
      <c r="D1932" s="5" t="n">
        <v>0.002482515998104047</v>
      </c>
      <c r="E1932" s="5" t="n">
        <v>0.0007542696325018271</v>
      </c>
      <c r="F1932" s="5" t="n">
        <v>-0.004612045208542075</v>
      </c>
      <c r="G1932" s="5" t="n">
        <v>0.006221895918952749</v>
      </c>
      <c r="H1932" s="5" t="n">
        <v>-0.003276769019185955</v>
      </c>
      <c r="I1932" s="5" t="n">
        <v>0.000850729363569271</v>
      </c>
      <c r="J1932" s="5" t="n">
        <v>-0.0004378909302505582</v>
      </c>
      <c r="K1932" s="5" t="n">
        <v>0.002622792418845475</v>
      </c>
      <c r="L1932" s="5" t="n">
        <v>-0.0009036293679536558</v>
      </c>
      <c r="M1932" s="5">
        <f>SUMPRODUCT(Exposures!$B$6:$K$6,B1932:K1932)</f>
        <v/>
      </c>
      <c r="N1932" s="5">
        <f>IF(AND($A1932&gt;=DATE(2020,2,1),$A1932&lt;=DATE(2020,5,31)),$M1932,"")</f>
        <v/>
      </c>
      <c r="O1932" s="5">
        <f>IF(AND($A1932&gt;=DATE(2022,1,1),$A1932&lt;=DATE(2022,10,31)),$M1932,"")</f>
        <v/>
      </c>
      <c r="P1932" s="5">
        <f>IF(AND($A1932&gt;=DATE(2018,10,1),$A1932&lt;=DATE(2018,12,31)),$M1932,"")</f>
        <v/>
      </c>
      <c r="Q1932" s="5">
        <f>SUMPRODUCT(Exposures!$B$8:$K$8,B1932:K1932)</f>
        <v/>
      </c>
      <c r="R1932" s="5">
        <f>SUMPRODUCT(Exposures!$B$9:$K$9,B1932:K1932)</f>
        <v/>
      </c>
      <c r="S1932" s="5">
        <f>SUMPRODUCT(Exposures!$B$10:$K$10,B1932:K1932)</f>
        <v/>
      </c>
    </row>
    <row r="1933">
      <c r="A1933" s="1" t="n">
        <v>45261</v>
      </c>
      <c r="B1933" s="5" t="n">
        <v>0.007046918785829225</v>
      </c>
      <c r="C1933" s="5" t="n">
        <v>-0.0005216271056260738</v>
      </c>
      <c r="D1933" s="5" t="n">
        <v>-0.00492370219849474</v>
      </c>
      <c r="E1933" s="5" t="n">
        <v>0.001076735943310792</v>
      </c>
      <c r="F1933" s="5" t="n">
        <v>-0.001430450996120299</v>
      </c>
      <c r="G1933" s="5" t="n">
        <v>0.02421599959705849</v>
      </c>
      <c r="H1933" s="5" t="n">
        <v>-0.004830727313956174</v>
      </c>
      <c r="I1933" s="5" t="n">
        <v>-0.0003327817606211892</v>
      </c>
      <c r="J1933" s="5" t="n">
        <v>0.004926291693479946</v>
      </c>
      <c r="K1933" s="5" t="n">
        <v>-0.004910172880769236</v>
      </c>
      <c r="L1933" s="5" t="n">
        <v>0.00172582103591827</v>
      </c>
      <c r="M1933" s="5">
        <f>SUMPRODUCT(Exposures!$B$6:$K$6,B1933:K1933)</f>
        <v/>
      </c>
      <c r="N1933" s="5">
        <f>IF(AND($A1933&gt;=DATE(2020,2,1),$A1933&lt;=DATE(2020,5,31)),$M1933,"")</f>
        <v/>
      </c>
      <c r="O1933" s="5">
        <f>IF(AND($A1933&gt;=DATE(2022,1,1),$A1933&lt;=DATE(2022,10,31)),$M1933,"")</f>
        <v/>
      </c>
      <c r="P1933" s="5">
        <f>IF(AND($A1933&gt;=DATE(2018,10,1),$A1933&lt;=DATE(2018,12,31)),$M1933,"")</f>
        <v/>
      </c>
      <c r="Q1933" s="5">
        <f>SUMPRODUCT(Exposures!$B$8:$K$8,B1933:K1933)</f>
        <v/>
      </c>
      <c r="R1933" s="5">
        <f>SUMPRODUCT(Exposures!$B$9:$K$9,B1933:K1933)</f>
        <v/>
      </c>
      <c r="S1933" s="5">
        <f>SUMPRODUCT(Exposures!$B$10:$K$10,B1933:K1933)</f>
        <v/>
      </c>
    </row>
    <row r="1934">
      <c r="A1934" s="1" t="n">
        <v>45264</v>
      </c>
      <c r="B1934" s="5" t="n">
        <v>-0.002659216634525005</v>
      </c>
      <c r="C1934" s="5" t="n">
        <v>-0.0003858850045543919</v>
      </c>
      <c r="D1934" s="5" t="n">
        <v>0.002915042415865116</v>
      </c>
      <c r="E1934" s="5" t="n">
        <v>0.002006789112241788</v>
      </c>
      <c r="F1934" s="5" t="n">
        <v>-0.006010185106139663</v>
      </c>
      <c r="G1934" s="5" t="n">
        <v>0.002128396819596461</v>
      </c>
      <c r="H1934" s="5" t="n">
        <v>1.133313886344113e-05</v>
      </c>
      <c r="I1934" s="5" t="n">
        <v>0.001129663873488411</v>
      </c>
      <c r="J1934" s="5" t="n">
        <v>0.001927684940427085</v>
      </c>
      <c r="K1934" s="5" t="n">
        <v>-0.0008962919094464722</v>
      </c>
      <c r="L1934" s="5" t="n">
        <v>-0.0002535748141941375</v>
      </c>
      <c r="M1934" s="5">
        <f>SUMPRODUCT(Exposures!$B$6:$K$6,B1934:K1934)</f>
        <v/>
      </c>
      <c r="N1934" s="5">
        <f>IF(AND($A1934&gt;=DATE(2020,2,1),$A1934&lt;=DATE(2020,5,31)),$M1934,"")</f>
        <v/>
      </c>
      <c r="O1934" s="5">
        <f>IF(AND($A1934&gt;=DATE(2022,1,1),$A1934&lt;=DATE(2022,10,31)),$M1934,"")</f>
        <v/>
      </c>
      <c r="P1934" s="5">
        <f>IF(AND($A1934&gt;=DATE(2018,10,1),$A1934&lt;=DATE(2018,12,31)),$M1934,"")</f>
        <v/>
      </c>
      <c r="Q1934" s="5">
        <f>SUMPRODUCT(Exposures!$B$8:$K$8,B1934:K1934)</f>
        <v/>
      </c>
      <c r="R1934" s="5">
        <f>SUMPRODUCT(Exposures!$B$9:$K$9,B1934:K1934)</f>
        <v/>
      </c>
      <c r="S1934" s="5">
        <f>SUMPRODUCT(Exposures!$B$10:$K$10,B1934:K1934)</f>
        <v/>
      </c>
    </row>
    <row r="1935">
      <c r="A1935" s="1" t="n">
        <v>45265</v>
      </c>
      <c r="B1935" s="5" t="n">
        <v>-0.00389074760753434</v>
      </c>
      <c r="C1935" s="5" t="n">
        <v>-0.002734095672140489</v>
      </c>
      <c r="D1935" s="5" t="n">
        <v>-0.00412571167783554</v>
      </c>
      <c r="E1935" s="5" t="n">
        <v>-0.001721778413747912</v>
      </c>
      <c r="F1935" s="5" t="n">
        <v>0.002358847432142111</v>
      </c>
      <c r="G1935" s="5" t="n">
        <v>-0.01117666138761708</v>
      </c>
      <c r="H1935" s="5" t="n">
        <v>0.00365022680668313</v>
      </c>
      <c r="I1935" s="5" t="n">
        <v>-0.0009282370126571468</v>
      </c>
      <c r="J1935" s="5" t="n">
        <v>-0.0006745621131916946</v>
      </c>
      <c r="K1935" s="5" t="n">
        <v>0.003043905273859902</v>
      </c>
      <c r="L1935" s="5" t="n">
        <v>0.003539120829929392</v>
      </c>
      <c r="M1935" s="5">
        <f>SUMPRODUCT(Exposures!$B$6:$K$6,B1935:K1935)</f>
        <v/>
      </c>
      <c r="N1935" s="5">
        <f>IF(AND($A1935&gt;=DATE(2020,2,1),$A1935&lt;=DATE(2020,5,31)),$M1935,"")</f>
        <v/>
      </c>
      <c r="O1935" s="5">
        <f>IF(AND($A1935&gt;=DATE(2022,1,1),$A1935&lt;=DATE(2022,10,31)),$M1935,"")</f>
        <v/>
      </c>
      <c r="P1935" s="5">
        <f>IF(AND($A1935&gt;=DATE(2018,10,1),$A1935&lt;=DATE(2018,12,31)),$M1935,"")</f>
        <v/>
      </c>
      <c r="Q1935" s="5">
        <f>SUMPRODUCT(Exposures!$B$8:$K$8,B1935:K1935)</f>
        <v/>
      </c>
      <c r="R1935" s="5">
        <f>SUMPRODUCT(Exposures!$B$9:$K$9,B1935:K1935)</f>
        <v/>
      </c>
      <c r="S1935" s="5">
        <f>SUMPRODUCT(Exposures!$B$10:$K$10,B1935:K1935)</f>
        <v/>
      </c>
    </row>
    <row r="1936">
      <c r="A1936" s="1" t="n">
        <v>45266</v>
      </c>
      <c r="B1936" s="5" t="n">
        <v>-0.001302404406624873</v>
      </c>
      <c r="C1936" s="5" t="n">
        <v>0.001212599066999957</v>
      </c>
      <c r="D1936" s="5" t="n">
        <v>0.00259945211324308</v>
      </c>
      <c r="E1936" s="5" t="n">
        <v>0.0003163294928036993</v>
      </c>
      <c r="F1936" s="5" t="n">
        <v>0.00189797329904566</v>
      </c>
      <c r="G1936" s="5" t="n">
        <v>-0.0006460427031790059</v>
      </c>
      <c r="H1936" s="5" t="n">
        <v>-0.006103722252234612</v>
      </c>
      <c r="I1936" s="5" t="n">
        <v>-0.0008572125600898008</v>
      </c>
      <c r="J1936" s="5" t="n">
        <v>0.001758587561851524</v>
      </c>
      <c r="K1936" s="5" t="n">
        <v>-0.001308696557887926</v>
      </c>
      <c r="L1936" s="5" t="n">
        <v>-0.002311608600760077</v>
      </c>
      <c r="M1936" s="5">
        <f>SUMPRODUCT(Exposures!$B$6:$K$6,B1936:K1936)</f>
        <v/>
      </c>
      <c r="N1936" s="5">
        <f>IF(AND($A1936&gt;=DATE(2020,2,1),$A1936&lt;=DATE(2020,5,31)),$M1936,"")</f>
        <v/>
      </c>
      <c r="O1936" s="5">
        <f>IF(AND($A1936&gt;=DATE(2022,1,1),$A1936&lt;=DATE(2022,10,31)),$M1936,"")</f>
        <v/>
      </c>
      <c r="P1936" s="5">
        <f>IF(AND($A1936&gt;=DATE(2018,10,1),$A1936&lt;=DATE(2018,12,31)),$M1936,"")</f>
        <v/>
      </c>
      <c r="Q1936" s="5">
        <f>SUMPRODUCT(Exposures!$B$8:$K$8,B1936:K1936)</f>
        <v/>
      </c>
      <c r="R1936" s="5">
        <f>SUMPRODUCT(Exposures!$B$9:$K$9,B1936:K1936)</f>
        <v/>
      </c>
      <c r="S1936" s="5">
        <f>SUMPRODUCT(Exposures!$B$10:$K$10,B1936:K1936)</f>
        <v/>
      </c>
    </row>
    <row r="1937">
      <c r="A1937" s="1" t="n">
        <v>45267</v>
      </c>
      <c r="B1937" s="5" t="n">
        <v>0.006296030003770038</v>
      </c>
      <c r="C1937" s="5" t="n">
        <v>0.0009485039326011033</v>
      </c>
      <c r="D1937" s="5" t="n">
        <v>-0.004238866229916405</v>
      </c>
      <c r="E1937" s="5" t="n">
        <v>-0.001336092494052961</v>
      </c>
      <c r="F1937" s="5" t="n">
        <v>0.006066311767028547</v>
      </c>
      <c r="G1937" s="5" t="n">
        <v>0.009252073530806164</v>
      </c>
      <c r="H1937" s="5" t="n">
        <v>-0.0007038619848357695</v>
      </c>
      <c r="I1937" s="5" t="n">
        <v>0.0003228480202476377</v>
      </c>
      <c r="J1937" s="5" t="n">
        <v>0.004116165995573146</v>
      </c>
      <c r="K1937" s="5" t="n">
        <v>4.91276217092153e-05</v>
      </c>
      <c r="L1937" s="5" t="n">
        <v>0.00130985704058275</v>
      </c>
      <c r="M1937" s="5">
        <f>SUMPRODUCT(Exposures!$B$6:$K$6,B1937:K1937)</f>
        <v/>
      </c>
      <c r="N1937" s="5">
        <f>IF(AND($A1937&gt;=DATE(2020,2,1),$A1937&lt;=DATE(2020,5,31)),$M1937,"")</f>
        <v/>
      </c>
      <c r="O1937" s="5">
        <f>IF(AND($A1937&gt;=DATE(2022,1,1),$A1937&lt;=DATE(2022,10,31)),$M1937,"")</f>
        <v/>
      </c>
      <c r="P1937" s="5">
        <f>IF(AND($A1937&gt;=DATE(2018,10,1),$A1937&lt;=DATE(2018,12,31)),$M1937,"")</f>
        <v/>
      </c>
      <c r="Q1937" s="5">
        <f>SUMPRODUCT(Exposures!$B$8:$K$8,B1937:K1937)</f>
        <v/>
      </c>
      <c r="R1937" s="5">
        <f>SUMPRODUCT(Exposures!$B$9:$K$9,B1937:K1937)</f>
        <v/>
      </c>
      <c r="S1937" s="5">
        <f>SUMPRODUCT(Exposures!$B$10:$K$10,B1937:K1937)</f>
        <v/>
      </c>
    </row>
    <row r="1938">
      <c r="A1938" s="1" t="n">
        <v>45268</v>
      </c>
      <c r="B1938" s="5" t="n">
        <v>0.002518604108149017</v>
      </c>
      <c r="C1938" s="5" t="n">
        <v>0.001069990801892204</v>
      </c>
      <c r="D1938" s="5" t="n">
        <v>0.003051979808977447</v>
      </c>
      <c r="E1938" s="5" t="n">
        <v>0.002186050535388031</v>
      </c>
      <c r="F1938" s="5" t="n">
        <v>-1.832282214107427e-05</v>
      </c>
      <c r="G1938" s="5" t="n">
        <v>0.005727173514303246</v>
      </c>
      <c r="H1938" s="5" t="n">
        <v>0.004283115558548705</v>
      </c>
      <c r="I1938" s="5" t="n">
        <v>0.003099070941308058</v>
      </c>
      <c r="J1938" s="5" t="n">
        <v>0.003800565525245296</v>
      </c>
      <c r="K1938" s="5" t="n">
        <v>-0.003413281149434949</v>
      </c>
      <c r="L1938" s="5" t="n">
        <v>0.0008909213977918347</v>
      </c>
      <c r="M1938" s="5">
        <f>SUMPRODUCT(Exposures!$B$6:$K$6,B1938:K1938)</f>
        <v/>
      </c>
      <c r="N1938" s="5">
        <f>IF(AND($A1938&gt;=DATE(2020,2,1),$A1938&lt;=DATE(2020,5,31)),$M1938,"")</f>
        <v/>
      </c>
      <c r="O1938" s="5">
        <f>IF(AND($A1938&gt;=DATE(2022,1,1),$A1938&lt;=DATE(2022,10,31)),$M1938,"")</f>
        <v/>
      </c>
      <c r="P1938" s="5">
        <f>IF(AND($A1938&gt;=DATE(2018,10,1),$A1938&lt;=DATE(2018,12,31)),$M1938,"")</f>
        <v/>
      </c>
      <c r="Q1938" s="5">
        <f>SUMPRODUCT(Exposures!$B$8:$K$8,B1938:K1938)</f>
        <v/>
      </c>
      <c r="R1938" s="5">
        <f>SUMPRODUCT(Exposures!$B$9:$K$9,B1938:K1938)</f>
        <v/>
      </c>
      <c r="S1938" s="5">
        <f>SUMPRODUCT(Exposures!$B$10:$K$10,B1938:K1938)</f>
        <v/>
      </c>
    </row>
    <row r="1939">
      <c r="A1939" s="1" t="n">
        <v>45271</v>
      </c>
      <c r="B1939" s="5" t="n">
        <v>-0.0016225563525265</v>
      </c>
      <c r="C1939" s="5" t="n">
        <v>-0.0005092985499510073</v>
      </c>
      <c r="D1939" s="5" t="n">
        <v>-0.001141337758153327</v>
      </c>
      <c r="E1939" s="5" t="n">
        <v>0.0002208722653352897</v>
      </c>
      <c r="F1939" s="5" t="n">
        <v>0.004914148425823652</v>
      </c>
      <c r="G1939" s="5" t="n">
        <v>0.005170011589943697</v>
      </c>
      <c r="H1939" s="5" t="n">
        <v>0.001493222017017851</v>
      </c>
      <c r="I1939" s="5" t="n">
        <v>0.002648011692456547</v>
      </c>
      <c r="J1939" s="5" t="n">
        <v>-0.00550174851300239</v>
      </c>
      <c r="K1939" s="5" t="n">
        <v>-0.006413346781838619</v>
      </c>
      <c r="L1939" s="5" t="n">
        <v>-5.558446174458692e-05</v>
      </c>
      <c r="M1939" s="5">
        <f>SUMPRODUCT(Exposures!$B$6:$K$6,B1939:K1939)</f>
        <v/>
      </c>
      <c r="N1939" s="5">
        <f>IF(AND($A1939&gt;=DATE(2020,2,1),$A1939&lt;=DATE(2020,5,31)),$M1939,"")</f>
        <v/>
      </c>
      <c r="O1939" s="5">
        <f>IF(AND($A1939&gt;=DATE(2022,1,1),$A1939&lt;=DATE(2022,10,31)),$M1939,"")</f>
        <v/>
      </c>
      <c r="P1939" s="5">
        <f>IF(AND($A1939&gt;=DATE(2018,10,1),$A1939&lt;=DATE(2018,12,31)),$M1939,"")</f>
        <v/>
      </c>
      <c r="Q1939" s="5">
        <f>SUMPRODUCT(Exposures!$B$8:$K$8,B1939:K1939)</f>
        <v/>
      </c>
      <c r="R1939" s="5">
        <f>SUMPRODUCT(Exposures!$B$9:$K$9,B1939:K1939)</f>
        <v/>
      </c>
      <c r="S1939" s="5">
        <f>SUMPRODUCT(Exposures!$B$10:$K$10,B1939:K1939)</f>
        <v/>
      </c>
    </row>
    <row r="1940">
      <c r="A1940" s="1" t="n">
        <v>45272</v>
      </c>
      <c r="B1940" s="5" t="n">
        <v>-0.001958713342503212</v>
      </c>
      <c r="C1940" s="5" t="n">
        <v>-0.003789107100837968</v>
      </c>
      <c r="D1940" s="5" t="n">
        <v>0.002753812387066523</v>
      </c>
      <c r="E1940" s="5" t="n">
        <v>-9.361168095930313e-05</v>
      </c>
      <c r="F1940" s="5" t="n">
        <v>0.001613753252233229</v>
      </c>
      <c r="G1940" s="5" t="n">
        <v>0.0004202090202974314</v>
      </c>
      <c r="H1940" s="5" t="n">
        <v>0.001177547328245417</v>
      </c>
      <c r="I1940" s="5" t="n">
        <v>0.001048932426555901</v>
      </c>
      <c r="J1940" s="5" t="n">
        <v>-0.003190823466302366</v>
      </c>
      <c r="K1940" s="5" t="n">
        <v>-0.0004015142803907544</v>
      </c>
      <c r="L1940" s="5" t="n">
        <v>-0.0002774340123676955</v>
      </c>
      <c r="M1940" s="5">
        <f>SUMPRODUCT(Exposures!$B$6:$K$6,B1940:K1940)</f>
        <v/>
      </c>
      <c r="N1940" s="5">
        <f>IF(AND($A1940&gt;=DATE(2020,2,1),$A1940&lt;=DATE(2020,5,31)),$M1940,"")</f>
        <v/>
      </c>
      <c r="O1940" s="5">
        <f>IF(AND($A1940&gt;=DATE(2022,1,1),$A1940&lt;=DATE(2022,10,31)),$M1940,"")</f>
        <v/>
      </c>
      <c r="P1940" s="5">
        <f>IF(AND($A1940&gt;=DATE(2018,10,1),$A1940&lt;=DATE(2018,12,31)),$M1940,"")</f>
        <v/>
      </c>
      <c r="Q1940" s="5">
        <f>SUMPRODUCT(Exposures!$B$8:$K$8,B1940:K1940)</f>
        <v/>
      </c>
      <c r="R1940" s="5">
        <f>SUMPRODUCT(Exposures!$B$9:$K$9,B1940:K1940)</f>
        <v/>
      </c>
      <c r="S1940" s="5">
        <f>SUMPRODUCT(Exposures!$B$10:$K$10,B1940:K1940)</f>
        <v/>
      </c>
    </row>
    <row r="1941">
      <c r="A1941" s="1" t="n">
        <v>45273</v>
      </c>
      <c r="B1941" s="5" t="n">
        <v>0.003445960530225873</v>
      </c>
      <c r="C1941" s="5" t="n">
        <v>-0.004234113138424269</v>
      </c>
      <c r="D1941" s="5" t="n">
        <v>-0.001256296176795254</v>
      </c>
      <c r="E1941" s="5" t="n">
        <v>-0.0005178768474616493</v>
      </c>
      <c r="F1941" s="5" t="n">
        <v>-0.001317411937536328</v>
      </c>
      <c r="G1941" s="5" t="n">
        <v>0.0316786209674309</v>
      </c>
      <c r="H1941" s="5" t="n">
        <v>-0.0075690714183302</v>
      </c>
      <c r="I1941" s="5" t="n">
        <v>-0.004787175733628643</v>
      </c>
      <c r="J1941" s="5" t="n">
        <v>0.01057985123427273</v>
      </c>
      <c r="K1941" s="5" t="n">
        <v>-4.604924428409235e-05</v>
      </c>
      <c r="L1941" s="5" t="n">
        <v>0.003908817486917458</v>
      </c>
      <c r="M1941" s="5">
        <f>SUMPRODUCT(Exposures!$B$6:$K$6,B1941:K1941)</f>
        <v/>
      </c>
      <c r="N1941" s="5">
        <f>IF(AND($A1941&gt;=DATE(2020,2,1),$A1941&lt;=DATE(2020,5,31)),$M1941,"")</f>
        <v/>
      </c>
      <c r="O1941" s="5">
        <f>IF(AND($A1941&gt;=DATE(2022,1,1),$A1941&lt;=DATE(2022,10,31)),$M1941,"")</f>
        <v/>
      </c>
      <c r="P1941" s="5">
        <f>IF(AND($A1941&gt;=DATE(2018,10,1),$A1941&lt;=DATE(2018,12,31)),$M1941,"")</f>
        <v/>
      </c>
      <c r="Q1941" s="5">
        <f>SUMPRODUCT(Exposures!$B$8:$K$8,B1941:K1941)</f>
        <v/>
      </c>
      <c r="R1941" s="5">
        <f>SUMPRODUCT(Exposures!$B$9:$K$9,B1941:K1941)</f>
        <v/>
      </c>
      <c r="S1941" s="5">
        <f>SUMPRODUCT(Exposures!$B$10:$K$10,B1941:K1941)</f>
        <v/>
      </c>
    </row>
    <row r="1942">
      <c r="A1942" s="1" t="n">
        <v>45274</v>
      </c>
      <c r="B1942" s="5" t="n">
        <v>0.0183590238376849</v>
      </c>
      <c r="C1942" s="5" t="n">
        <v>0.003612151976771124</v>
      </c>
      <c r="D1942" s="5" t="n">
        <v>0.003440916866671955</v>
      </c>
      <c r="E1942" s="5" t="n">
        <v>-0.0003927718465480014</v>
      </c>
      <c r="F1942" s="5" t="n">
        <v>0.001292448733059653</v>
      </c>
      <c r="G1942" s="5" t="n">
        <v>0.01784961076540658</v>
      </c>
      <c r="H1942" s="5" t="n">
        <v>-0.01158514752672131</v>
      </c>
      <c r="I1942" s="5" t="n">
        <v>-0.0005088120465155128</v>
      </c>
      <c r="J1942" s="5" t="n">
        <v>0.001690597815237869</v>
      </c>
      <c r="K1942" s="5" t="n">
        <v>-0.004849133148144443</v>
      </c>
      <c r="L1942" s="5" t="n">
        <v>0.002348931710923631</v>
      </c>
      <c r="M1942" s="5">
        <f>SUMPRODUCT(Exposures!$B$6:$K$6,B1942:K1942)</f>
        <v/>
      </c>
      <c r="N1942" s="5">
        <f>IF(AND($A1942&gt;=DATE(2020,2,1),$A1942&lt;=DATE(2020,5,31)),$M1942,"")</f>
        <v/>
      </c>
      <c r="O1942" s="5">
        <f>IF(AND($A1942&gt;=DATE(2022,1,1),$A1942&lt;=DATE(2022,10,31)),$M1942,"")</f>
        <v/>
      </c>
      <c r="P1942" s="5">
        <f>IF(AND($A1942&gt;=DATE(2018,10,1),$A1942&lt;=DATE(2018,12,31)),$M1942,"")</f>
        <v/>
      </c>
      <c r="Q1942" s="5">
        <f>SUMPRODUCT(Exposures!$B$8:$K$8,B1942:K1942)</f>
        <v/>
      </c>
      <c r="R1942" s="5">
        <f>SUMPRODUCT(Exposures!$B$9:$K$9,B1942:K1942)</f>
        <v/>
      </c>
      <c r="S1942" s="5">
        <f>SUMPRODUCT(Exposures!$B$10:$K$10,B1942:K1942)</f>
        <v/>
      </c>
    </row>
    <row r="1943">
      <c r="A1943" s="1" t="n">
        <v>45275</v>
      </c>
      <c r="B1943" s="5" t="n">
        <v>0.002497361883914699</v>
      </c>
      <c r="C1943" s="5" t="n">
        <v>-0.0001430857617128712</v>
      </c>
      <c r="D1943" s="5" t="n">
        <v>-0.0008447892290395307</v>
      </c>
      <c r="E1943" s="5" t="n">
        <v>-0.0009770352546632037</v>
      </c>
      <c r="F1943" s="5" t="n">
        <v>0.006484755661768954</v>
      </c>
      <c r="G1943" s="5" t="n">
        <v>-0.007611622696805601</v>
      </c>
      <c r="H1943" s="5" t="n">
        <v>0.002120273458620431</v>
      </c>
      <c r="I1943" s="5" t="n">
        <v>0.001163903401286675</v>
      </c>
      <c r="J1943" s="5" t="n">
        <v>0.0006197135226505509</v>
      </c>
      <c r="K1943" s="5" t="n">
        <v>-0.00183685256955923</v>
      </c>
      <c r="L1943" s="5" t="n">
        <v>0.0001074639727047438</v>
      </c>
      <c r="M1943" s="5">
        <f>SUMPRODUCT(Exposures!$B$6:$K$6,B1943:K1943)</f>
        <v/>
      </c>
      <c r="N1943" s="5">
        <f>IF(AND($A1943&gt;=DATE(2020,2,1),$A1943&lt;=DATE(2020,5,31)),$M1943,"")</f>
        <v/>
      </c>
      <c r="O1943" s="5">
        <f>IF(AND($A1943&gt;=DATE(2022,1,1),$A1943&lt;=DATE(2022,10,31)),$M1943,"")</f>
        <v/>
      </c>
      <c r="P1943" s="5">
        <f>IF(AND($A1943&gt;=DATE(2018,10,1),$A1943&lt;=DATE(2018,12,31)),$M1943,"")</f>
        <v/>
      </c>
      <c r="Q1943" s="5">
        <f>SUMPRODUCT(Exposures!$B$8:$K$8,B1943:K1943)</f>
        <v/>
      </c>
      <c r="R1943" s="5">
        <f>SUMPRODUCT(Exposures!$B$9:$K$9,B1943:K1943)</f>
        <v/>
      </c>
      <c r="S1943" s="5">
        <f>SUMPRODUCT(Exposures!$B$10:$K$10,B1943:K1943)</f>
        <v/>
      </c>
    </row>
    <row r="1944">
      <c r="A1944" s="1" t="n">
        <v>45278</v>
      </c>
      <c r="B1944" s="5" t="n">
        <v>-0.001489398026977353</v>
      </c>
      <c r="C1944" s="5" t="n">
        <v>0.000736953710358869</v>
      </c>
      <c r="D1944" s="5" t="n">
        <v>-0.0009027592662565535</v>
      </c>
      <c r="E1944" s="5" t="n">
        <v>-0.001721243396782466</v>
      </c>
      <c r="F1944" s="5" t="n">
        <v>-0.002691990379026898</v>
      </c>
      <c r="G1944" s="5" t="n">
        <v>0.002978428115547275</v>
      </c>
      <c r="H1944" s="5" t="n">
        <v>0.008113922775782009</v>
      </c>
      <c r="I1944" s="5" t="n">
        <v>0.001405994182818373</v>
      </c>
      <c r="J1944" s="5" t="n">
        <v>0.002520643832702479</v>
      </c>
      <c r="K1944" s="5" t="n">
        <v>0.001758978700701076</v>
      </c>
      <c r="L1944" s="5" t="n">
        <v>-5.909469219346212e-05</v>
      </c>
      <c r="M1944" s="5">
        <f>SUMPRODUCT(Exposures!$B$6:$K$6,B1944:K1944)</f>
        <v/>
      </c>
      <c r="N1944" s="5">
        <f>IF(AND($A1944&gt;=DATE(2020,2,1),$A1944&lt;=DATE(2020,5,31)),$M1944,"")</f>
        <v/>
      </c>
      <c r="O1944" s="5">
        <f>IF(AND($A1944&gt;=DATE(2022,1,1),$A1944&lt;=DATE(2022,10,31)),$M1944,"")</f>
        <v/>
      </c>
      <c r="P1944" s="5">
        <f>IF(AND($A1944&gt;=DATE(2018,10,1),$A1944&lt;=DATE(2018,12,31)),$M1944,"")</f>
        <v/>
      </c>
      <c r="Q1944" s="5">
        <f>SUMPRODUCT(Exposures!$B$8:$K$8,B1944:K1944)</f>
        <v/>
      </c>
      <c r="R1944" s="5">
        <f>SUMPRODUCT(Exposures!$B$9:$K$9,B1944:K1944)</f>
        <v/>
      </c>
      <c r="S1944" s="5">
        <f>SUMPRODUCT(Exposures!$B$10:$K$10,B1944:K1944)</f>
        <v/>
      </c>
    </row>
    <row r="1945">
      <c r="A1945" s="1" t="n">
        <v>45279</v>
      </c>
      <c r="B1945" s="5" t="n">
        <v>0.002636820363095634</v>
      </c>
      <c r="C1945" s="5" t="n">
        <v>-0.002952382538383248</v>
      </c>
      <c r="D1945" s="5" t="n">
        <v>-0.001941051501223487</v>
      </c>
      <c r="E1945" s="5" t="n">
        <v>-0.0001568862281546073</v>
      </c>
      <c r="F1945" s="5" t="n">
        <v>-0.002894825729441092</v>
      </c>
      <c r="G1945" s="5" t="n">
        <v>0.01540183462303461</v>
      </c>
      <c r="H1945" s="5" t="n">
        <v>0.001372465742416603</v>
      </c>
      <c r="I1945" s="5" t="n">
        <v>-0.001211285157467455</v>
      </c>
      <c r="J1945" s="5" t="n">
        <v>0.007071264190569138</v>
      </c>
      <c r="K1945" s="5" t="n">
        <v>0.002562067438100735</v>
      </c>
      <c r="L1945" s="5" t="n">
        <v>0.004783219448080666</v>
      </c>
      <c r="M1945" s="5">
        <f>SUMPRODUCT(Exposures!$B$6:$K$6,B1945:K1945)</f>
        <v/>
      </c>
      <c r="N1945" s="5">
        <f>IF(AND($A1945&gt;=DATE(2020,2,1),$A1945&lt;=DATE(2020,5,31)),$M1945,"")</f>
        <v/>
      </c>
      <c r="O1945" s="5">
        <f>IF(AND($A1945&gt;=DATE(2022,1,1),$A1945&lt;=DATE(2022,10,31)),$M1945,"")</f>
        <v/>
      </c>
      <c r="P1945" s="5">
        <f>IF(AND($A1945&gt;=DATE(2018,10,1),$A1945&lt;=DATE(2018,12,31)),$M1945,"")</f>
        <v/>
      </c>
      <c r="Q1945" s="5">
        <f>SUMPRODUCT(Exposures!$B$8:$K$8,B1945:K1945)</f>
        <v/>
      </c>
      <c r="R1945" s="5">
        <f>SUMPRODUCT(Exposures!$B$9:$K$9,B1945:K1945)</f>
        <v/>
      </c>
      <c r="S1945" s="5">
        <f>SUMPRODUCT(Exposures!$B$10:$K$10,B1945:K1945)</f>
        <v/>
      </c>
    </row>
    <row r="1946">
      <c r="A1946" s="1" t="n">
        <v>45280</v>
      </c>
      <c r="B1946" s="5" t="n">
        <v>-0.002449486370166991</v>
      </c>
      <c r="C1946" s="5" t="n">
        <v>0.001617219382233136</v>
      </c>
      <c r="D1946" s="5" t="n">
        <v>0.003339007994639882</v>
      </c>
      <c r="E1946" s="5" t="n">
        <v>-0.000953292661023958</v>
      </c>
      <c r="F1946" s="5" t="n">
        <v>-0.002868016664920372</v>
      </c>
      <c r="G1946" s="5" t="n">
        <v>-0.01952238856642916</v>
      </c>
      <c r="H1946" s="5" t="n">
        <v>0.003741168405162076</v>
      </c>
      <c r="I1946" s="5" t="n">
        <v>-0.0009363681145110906</v>
      </c>
      <c r="J1946" s="5" t="n">
        <v>-0.005521571398970726</v>
      </c>
      <c r="K1946" s="5" t="n">
        <v>0.0046896455863289</v>
      </c>
      <c r="L1946" s="5" t="n">
        <v>0.001860542300974926</v>
      </c>
      <c r="M1946" s="5">
        <f>SUMPRODUCT(Exposures!$B$6:$K$6,B1946:K1946)</f>
        <v/>
      </c>
      <c r="N1946" s="5">
        <f>IF(AND($A1946&gt;=DATE(2020,2,1),$A1946&lt;=DATE(2020,5,31)),$M1946,"")</f>
        <v/>
      </c>
      <c r="O1946" s="5">
        <f>IF(AND($A1946&gt;=DATE(2022,1,1),$A1946&lt;=DATE(2022,10,31)),$M1946,"")</f>
        <v/>
      </c>
      <c r="P1946" s="5">
        <f>IF(AND($A1946&gt;=DATE(2018,10,1),$A1946&lt;=DATE(2018,12,31)),$M1946,"")</f>
        <v/>
      </c>
      <c r="Q1946" s="5">
        <f>SUMPRODUCT(Exposures!$B$8:$K$8,B1946:K1946)</f>
        <v/>
      </c>
      <c r="R1946" s="5">
        <f>SUMPRODUCT(Exposures!$B$9:$K$9,B1946:K1946)</f>
        <v/>
      </c>
      <c r="S1946" s="5">
        <f>SUMPRODUCT(Exposures!$B$10:$K$10,B1946:K1946)</f>
        <v/>
      </c>
    </row>
    <row r="1947">
      <c r="A1947" s="1" t="n">
        <v>45281</v>
      </c>
      <c r="B1947" s="5" t="n">
        <v>0.003823849172715495</v>
      </c>
      <c r="C1947" s="5" t="n">
        <v>0.002044473006164909</v>
      </c>
      <c r="D1947" s="5" t="n">
        <v>-0.001742706453515276</v>
      </c>
      <c r="E1947" s="5" t="n">
        <v>-0.001154815870732632</v>
      </c>
      <c r="F1947" s="5" t="n">
        <v>-0.002614303745424322</v>
      </c>
      <c r="G1947" s="5" t="n">
        <v>0.01845298296531419</v>
      </c>
      <c r="H1947" s="5" t="n">
        <v>-0.001427139640031484</v>
      </c>
      <c r="I1947" s="5" t="n">
        <v>0.001270117060443903</v>
      </c>
      <c r="J1947" s="5" t="n">
        <v>0.01072248388546642</v>
      </c>
      <c r="K1947" s="5" t="n">
        <v>0.002228292016465179</v>
      </c>
      <c r="L1947" s="5" t="n">
        <v>-0.001042439934562652</v>
      </c>
      <c r="M1947" s="5">
        <f>SUMPRODUCT(Exposures!$B$6:$K$6,B1947:K1947)</f>
        <v/>
      </c>
      <c r="N1947" s="5">
        <f>IF(AND($A1947&gt;=DATE(2020,2,1),$A1947&lt;=DATE(2020,5,31)),$M1947,"")</f>
        <v/>
      </c>
      <c r="O1947" s="5">
        <f>IF(AND($A1947&gt;=DATE(2022,1,1),$A1947&lt;=DATE(2022,10,31)),$M1947,"")</f>
        <v/>
      </c>
      <c r="P1947" s="5">
        <f>IF(AND($A1947&gt;=DATE(2018,10,1),$A1947&lt;=DATE(2018,12,31)),$M1947,"")</f>
        <v/>
      </c>
      <c r="Q1947" s="5">
        <f>SUMPRODUCT(Exposures!$B$8:$K$8,B1947:K1947)</f>
        <v/>
      </c>
      <c r="R1947" s="5">
        <f>SUMPRODUCT(Exposures!$B$9:$K$9,B1947:K1947)</f>
        <v/>
      </c>
      <c r="S1947" s="5">
        <f>SUMPRODUCT(Exposures!$B$10:$K$10,B1947:K1947)</f>
        <v/>
      </c>
    </row>
    <row r="1948">
      <c r="A1948" s="1" t="n">
        <v>45282</v>
      </c>
      <c r="B1948" s="5" t="n">
        <v>-0.0009851490476146189</v>
      </c>
      <c r="C1948" s="5" t="n">
        <v>-0.003045265632096523</v>
      </c>
      <c r="D1948" s="5" t="n">
        <v>-0.002621319926753576</v>
      </c>
      <c r="E1948" s="5" t="n">
        <v>0.0004193482890124725</v>
      </c>
      <c r="F1948" s="5" t="n">
        <v>-0.002716958896240178</v>
      </c>
      <c r="G1948" s="5" t="n">
        <v>0.005141171856291795</v>
      </c>
      <c r="H1948" s="5" t="n">
        <v>-0.00169041852757995</v>
      </c>
      <c r="I1948" s="5" t="n">
        <v>0.00066183391361899</v>
      </c>
      <c r="J1948" s="5" t="n">
        <v>0.0005390731083978636</v>
      </c>
      <c r="K1948" s="5" t="n">
        <v>0.001546723176274474</v>
      </c>
      <c r="L1948" s="5" t="n">
        <v>-0.0002136958302559002</v>
      </c>
      <c r="M1948" s="5">
        <f>SUMPRODUCT(Exposures!$B$6:$K$6,B1948:K1948)</f>
        <v/>
      </c>
      <c r="N1948" s="5">
        <f>IF(AND($A1948&gt;=DATE(2020,2,1),$A1948&lt;=DATE(2020,5,31)),$M1948,"")</f>
        <v/>
      </c>
      <c r="O1948" s="5">
        <f>IF(AND($A1948&gt;=DATE(2022,1,1),$A1948&lt;=DATE(2022,10,31)),$M1948,"")</f>
        <v/>
      </c>
      <c r="P1948" s="5">
        <f>IF(AND($A1948&gt;=DATE(2018,10,1),$A1948&lt;=DATE(2018,12,31)),$M1948,"")</f>
        <v/>
      </c>
      <c r="Q1948" s="5">
        <f>SUMPRODUCT(Exposures!$B$8:$K$8,B1948:K1948)</f>
        <v/>
      </c>
      <c r="R1948" s="5">
        <f>SUMPRODUCT(Exposures!$B$9:$K$9,B1948:K1948)</f>
        <v/>
      </c>
      <c r="S1948" s="5">
        <f>SUMPRODUCT(Exposures!$B$10:$K$10,B1948:K1948)</f>
        <v/>
      </c>
    </row>
    <row r="1949">
      <c r="A1949" s="1" t="n">
        <v>45286</v>
      </c>
      <c r="B1949" s="5" t="n">
        <v>0.002869100815017824</v>
      </c>
      <c r="C1949" s="5" t="n">
        <v>-0.001096771791916855</v>
      </c>
      <c r="D1949" s="5" t="n">
        <v>-0.0003768839648282265</v>
      </c>
      <c r="E1949" s="5" t="n">
        <v>0.0006690692813856878</v>
      </c>
      <c r="F1949" s="5" t="n">
        <v>-0.002035580914680482</v>
      </c>
      <c r="G1949" s="5" t="n">
        <v>0.008801120199398597</v>
      </c>
      <c r="H1949" s="5" t="n">
        <v>0.002026688617565632</v>
      </c>
      <c r="I1949" s="5" t="n">
        <v>0.002177304396155735</v>
      </c>
      <c r="J1949" s="5" t="n">
        <v>0.002149050348703967</v>
      </c>
      <c r="K1949" s="5" t="n">
        <v>-0.001302882354693784</v>
      </c>
      <c r="L1949" s="5" t="n">
        <v>0.001569774869171694</v>
      </c>
      <c r="M1949" s="5">
        <f>SUMPRODUCT(Exposures!$B$6:$K$6,B1949:K1949)</f>
        <v/>
      </c>
      <c r="N1949" s="5">
        <f>IF(AND($A1949&gt;=DATE(2020,2,1),$A1949&lt;=DATE(2020,5,31)),$M1949,"")</f>
        <v/>
      </c>
      <c r="O1949" s="5">
        <f>IF(AND($A1949&gt;=DATE(2022,1,1),$A1949&lt;=DATE(2022,10,31)),$M1949,"")</f>
        <v/>
      </c>
      <c r="P1949" s="5">
        <f>IF(AND($A1949&gt;=DATE(2018,10,1),$A1949&lt;=DATE(2018,12,31)),$M1949,"")</f>
        <v/>
      </c>
      <c r="Q1949" s="5">
        <f>SUMPRODUCT(Exposures!$B$8:$K$8,B1949:K1949)</f>
        <v/>
      </c>
      <c r="R1949" s="5">
        <f>SUMPRODUCT(Exposures!$B$9:$K$9,B1949:K1949)</f>
        <v/>
      </c>
      <c r="S1949" s="5">
        <f>SUMPRODUCT(Exposures!$B$10:$K$10,B1949:K1949)</f>
        <v/>
      </c>
    </row>
    <row r="1950">
      <c r="A1950" s="1" t="n">
        <v>45287</v>
      </c>
      <c r="B1950" s="5" t="n">
        <v>-0.000387066933840257</v>
      </c>
      <c r="C1950" s="5" t="n">
        <v>0.000367052120994879</v>
      </c>
      <c r="D1950" s="5" t="n">
        <v>-0.0003327031354964507</v>
      </c>
      <c r="E1950" s="5" t="n">
        <v>0.001557290486855758</v>
      </c>
      <c r="F1950" s="5" t="n">
        <v>-4.051087113152185e-05</v>
      </c>
      <c r="G1950" s="5" t="n">
        <v>0.004336502862416615</v>
      </c>
      <c r="H1950" s="5" t="n">
        <v>0.0009025369520779902</v>
      </c>
      <c r="I1950" s="5" t="n">
        <v>0.001326382879013071</v>
      </c>
      <c r="J1950" s="5" t="n">
        <v>0.005490289500125659</v>
      </c>
      <c r="K1950" s="5" t="n">
        <v>-0.001449052962901163</v>
      </c>
      <c r="L1950" s="5" t="n">
        <v>-0.001262971303568555</v>
      </c>
      <c r="M1950" s="5">
        <f>SUMPRODUCT(Exposures!$B$6:$K$6,B1950:K1950)</f>
        <v/>
      </c>
      <c r="N1950" s="5">
        <f>IF(AND($A1950&gt;=DATE(2020,2,1),$A1950&lt;=DATE(2020,5,31)),$M1950,"")</f>
        <v/>
      </c>
      <c r="O1950" s="5">
        <f>IF(AND($A1950&gt;=DATE(2022,1,1),$A1950&lt;=DATE(2022,10,31)),$M1950,"")</f>
        <v/>
      </c>
      <c r="P1950" s="5">
        <f>IF(AND($A1950&gt;=DATE(2018,10,1),$A1950&lt;=DATE(2018,12,31)),$M1950,"")</f>
        <v/>
      </c>
      <c r="Q1950" s="5">
        <f>SUMPRODUCT(Exposures!$B$8:$K$8,B1950:K1950)</f>
        <v/>
      </c>
      <c r="R1950" s="5">
        <f>SUMPRODUCT(Exposures!$B$9:$K$9,B1950:K1950)</f>
        <v/>
      </c>
      <c r="S1950" s="5">
        <f>SUMPRODUCT(Exposures!$B$10:$K$10,B1950:K1950)</f>
        <v/>
      </c>
    </row>
    <row r="1951">
      <c r="A1951" s="1" t="n">
        <v>45288</v>
      </c>
      <c r="B1951" s="5" t="n">
        <v>0.0007757415195966382</v>
      </c>
      <c r="C1951" s="5" t="n">
        <v>0.0005827049553813102</v>
      </c>
      <c r="D1951" s="5" t="n">
        <v>-0.00208001938009035</v>
      </c>
      <c r="E1951" s="5" t="n">
        <v>0.0002487753381901825</v>
      </c>
      <c r="F1951" s="5" t="n">
        <v>-0.0002576515920359131</v>
      </c>
      <c r="G1951" s="5" t="n">
        <v>7.712171349329661e-05</v>
      </c>
      <c r="H1951" s="5" t="n">
        <v>-0.002545309845447436</v>
      </c>
      <c r="I1951" s="5" t="n">
        <v>-0.001004099367268458</v>
      </c>
      <c r="J1951" s="5" t="n">
        <v>-0.001400880300247903</v>
      </c>
      <c r="K1951" s="5" t="n">
        <v>0.002005563147061881</v>
      </c>
      <c r="L1951" s="5" t="n">
        <v>0.0006843923902821007</v>
      </c>
      <c r="M1951" s="5">
        <f>SUMPRODUCT(Exposures!$B$6:$K$6,B1951:K1951)</f>
        <v/>
      </c>
      <c r="N1951" s="5">
        <f>IF(AND($A1951&gt;=DATE(2020,2,1),$A1951&lt;=DATE(2020,5,31)),$M1951,"")</f>
        <v/>
      </c>
      <c r="O1951" s="5">
        <f>IF(AND($A1951&gt;=DATE(2022,1,1),$A1951&lt;=DATE(2022,10,31)),$M1951,"")</f>
        <v/>
      </c>
      <c r="P1951" s="5">
        <f>IF(AND($A1951&gt;=DATE(2018,10,1),$A1951&lt;=DATE(2018,12,31)),$M1951,"")</f>
        <v/>
      </c>
      <c r="Q1951" s="5">
        <f>SUMPRODUCT(Exposures!$B$8:$K$8,B1951:K1951)</f>
        <v/>
      </c>
      <c r="R1951" s="5">
        <f>SUMPRODUCT(Exposures!$B$9:$K$9,B1951:K1951)</f>
        <v/>
      </c>
      <c r="S1951" s="5">
        <f>SUMPRODUCT(Exposures!$B$10:$K$10,B1951:K1951)</f>
        <v/>
      </c>
    </row>
    <row r="1952">
      <c r="A1952" s="1" t="n">
        <v>45289</v>
      </c>
      <c r="B1952" s="5" t="n">
        <v>-0.006515552218535843</v>
      </c>
      <c r="C1952" s="5" t="n">
        <v>0.002729527365222142</v>
      </c>
      <c r="D1952" s="5" t="n">
        <v>0.005403932067232348</v>
      </c>
      <c r="E1952" s="5" t="n">
        <v>0.0004083569329628864</v>
      </c>
      <c r="F1952" s="5" t="n">
        <v>0.0003744391121602176</v>
      </c>
      <c r="G1952" s="5" t="n">
        <v>-0.008691847649938536</v>
      </c>
      <c r="H1952" s="5" t="n">
        <v>0.0004852099357517086</v>
      </c>
      <c r="I1952" s="5" t="n">
        <v>-2.730242812846203e-05</v>
      </c>
      <c r="J1952" s="5" t="n">
        <v>-0.0004969275814531997</v>
      </c>
      <c r="K1952" s="5" t="n">
        <v>0.002506963543109547</v>
      </c>
      <c r="L1952" s="5" t="n">
        <v>-0.0008611041482096968</v>
      </c>
      <c r="M1952" s="5">
        <f>SUMPRODUCT(Exposures!$B$6:$K$6,B1952:K1952)</f>
        <v/>
      </c>
      <c r="N1952" s="5">
        <f>IF(AND($A1952&gt;=DATE(2020,2,1),$A1952&lt;=DATE(2020,5,31)),$M1952,"")</f>
        <v/>
      </c>
      <c r="O1952" s="5">
        <f>IF(AND($A1952&gt;=DATE(2022,1,1),$A1952&lt;=DATE(2022,10,31)),$M1952,"")</f>
        <v/>
      </c>
      <c r="P1952" s="5">
        <f>IF(AND($A1952&gt;=DATE(2018,10,1),$A1952&lt;=DATE(2018,12,31)),$M1952,"")</f>
        <v/>
      </c>
      <c r="Q1952" s="5">
        <f>SUMPRODUCT(Exposures!$B$8:$K$8,B1952:K1952)</f>
        <v/>
      </c>
      <c r="R1952" s="5">
        <f>SUMPRODUCT(Exposures!$B$9:$K$9,B1952:K1952)</f>
        <v/>
      </c>
      <c r="S1952" s="5">
        <f>SUMPRODUCT(Exposures!$B$10:$K$10,B1952:K1952)</f>
        <v/>
      </c>
    </row>
    <row r="1953">
      <c r="A1953" s="1" t="n">
        <v>45293</v>
      </c>
      <c r="B1953" s="5" t="n">
        <v>-0.01073498130677532</v>
      </c>
      <c r="C1953" s="5" t="n">
        <v>0.002747125531452527</v>
      </c>
      <c r="D1953" s="5" t="n">
        <v>0.0001194172245749992</v>
      </c>
      <c r="E1953" s="5" t="n">
        <v>0.005223614701244184</v>
      </c>
      <c r="F1953" s="5" t="n">
        <v>0.001077579397224504</v>
      </c>
      <c r="G1953" s="5" t="n">
        <v>-0.002474292084512529</v>
      </c>
      <c r="H1953" s="5" t="n">
        <v>-0.007842572314621311</v>
      </c>
      <c r="I1953" s="5" t="n">
        <v>0.002321934185325111</v>
      </c>
      <c r="J1953" s="5" t="n">
        <v>0.003355396975124954</v>
      </c>
      <c r="K1953" s="5" t="n">
        <v>-0.003023075261837559</v>
      </c>
      <c r="L1953" s="5" t="n">
        <v>0.0001867883404105962</v>
      </c>
      <c r="M1953" s="5">
        <f>SUMPRODUCT(Exposures!$B$6:$K$6,B1953:K1953)</f>
        <v/>
      </c>
      <c r="N1953" s="5">
        <f>IF(AND($A1953&gt;=DATE(2020,2,1),$A1953&lt;=DATE(2020,5,31)),$M1953,"")</f>
        <v/>
      </c>
      <c r="O1953" s="5">
        <f>IF(AND($A1953&gt;=DATE(2022,1,1),$A1953&lt;=DATE(2022,10,31)),$M1953,"")</f>
        <v/>
      </c>
      <c r="P1953" s="5">
        <f>IF(AND($A1953&gt;=DATE(2018,10,1),$A1953&lt;=DATE(2018,12,31)),$M1953,"")</f>
        <v/>
      </c>
      <c r="Q1953" s="5">
        <f>SUMPRODUCT(Exposures!$B$8:$K$8,B1953:K1953)</f>
        <v/>
      </c>
      <c r="R1953" s="5">
        <f>SUMPRODUCT(Exposures!$B$9:$K$9,B1953:K1953)</f>
        <v/>
      </c>
      <c r="S1953" s="5">
        <f>SUMPRODUCT(Exposures!$B$10:$K$10,B1953:K1953)</f>
        <v/>
      </c>
    </row>
    <row r="1954">
      <c r="A1954" s="1" t="n">
        <v>45294</v>
      </c>
      <c r="B1954" s="5" t="n">
        <v>-0.01144304652340789</v>
      </c>
      <c r="C1954" s="5" t="n">
        <v>1.723490591532158e-05</v>
      </c>
      <c r="D1954" s="5" t="n">
        <v>-0.001848196279370878</v>
      </c>
      <c r="E1954" s="5" t="n">
        <v>0.0006099999087186066</v>
      </c>
      <c r="F1954" s="5" t="n">
        <v>-0.0008298365535098391</v>
      </c>
      <c r="G1954" s="5" t="n">
        <v>-0.0215753300960693</v>
      </c>
      <c r="H1954" s="5" t="n">
        <v>0.002343049278553559</v>
      </c>
      <c r="I1954" s="5" t="n">
        <v>0.002018626668250887</v>
      </c>
      <c r="J1954" s="5" t="n">
        <v>-0.0001571552179422423</v>
      </c>
      <c r="K1954" s="5" t="n">
        <v>0.007963444012434016</v>
      </c>
      <c r="L1954" s="5" t="n">
        <v>0.002529256732575318</v>
      </c>
      <c r="M1954" s="5">
        <f>SUMPRODUCT(Exposures!$B$6:$K$6,B1954:K1954)</f>
        <v/>
      </c>
      <c r="N1954" s="5">
        <f>IF(AND($A1954&gt;=DATE(2020,2,1),$A1954&lt;=DATE(2020,5,31)),$M1954,"")</f>
        <v/>
      </c>
      <c r="O1954" s="5">
        <f>IF(AND($A1954&gt;=DATE(2022,1,1),$A1954&lt;=DATE(2022,10,31)),$M1954,"")</f>
        <v/>
      </c>
      <c r="P1954" s="5">
        <f>IF(AND($A1954&gt;=DATE(2018,10,1),$A1954&lt;=DATE(2018,12,31)),$M1954,"")</f>
        <v/>
      </c>
      <c r="Q1954" s="5">
        <f>SUMPRODUCT(Exposures!$B$8:$K$8,B1954:K1954)</f>
        <v/>
      </c>
      <c r="R1954" s="5">
        <f>SUMPRODUCT(Exposures!$B$9:$K$9,B1954:K1954)</f>
        <v/>
      </c>
      <c r="S1954" s="5">
        <f>SUMPRODUCT(Exposures!$B$10:$K$10,B1954:K1954)</f>
        <v/>
      </c>
    </row>
    <row r="1955">
      <c r="A1955" s="1" t="n">
        <v>45295</v>
      </c>
      <c r="B1955" s="5" t="n">
        <v>-0.003431505456777212</v>
      </c>
      <c r="C1955" s="5" t="n">
        <v>-0.00323497002857361</v>
      </c>
      <c r="D1955" s="5" t="n">
        <v>0.0005305579552065676</v>
      </c>
      <c r="E1955" s="5" t="n">
        <v>0.001792399067267421</v>
      </c>
      <c r="F1955" s="5" t="n">
        <v>0.0005981584409731084</v>
      </c>
      <c r="G1955" s="5" t="n">
        <v>0.0003329582126021737</v>
      </c>
      <c r="H1955" s="5" t="n">
        <v>0.001203820221418075</v>
      </c>
      <c r="I1955" s="5" t="n">
        <v>0.001973759869107405</v>
      </c>
      <c r="J1955" s="5" t="n">
        <v>-0.001195877645324837</v>
      </c>
      <c r="K1955" s="5" t="n">
        <v>-0.005335177044358859</v>
      </c>
      <c r="L1955" s="5" t="n">
        <v>0.0003071509413770051</v>
      </c>
      <c r="M1955" s="5">
        <f>SUMPRODUCT(Exposures!$B$6:$K$6,B1955:K1955)</f>
        <v/>
      </c>
      <c r="N1955" s="5">
        <f>IF(AND($A1955&gt;=DATE(2020,2,1),$A1955&lt;=DATE(2020,5,31)),$M1955,"")</f>
        <v/>
      </c>
      <c r="O1955" s="5">
        <f>IF(AND($A1955&gt;=DATE(2022,1,1),$A1955&lt;=DATE(2022,10,31)),$M1955,"")</f>
        <v/>
      </c>
      <c r="P1955" s="5">
        <f>IF(AND($A1955&gt;=DATE(2018,10,1),$A1955&lt;=DATE(2018,12,31)),$M1955,"")</f>
        <v/>
      </c>
      <c r="Q1955" s="5">
        <f>SUMPRODUCT(Exposures!$B$8:$K$8,B1955:K1955)</f>
        <v/>
      </c>
      <c r="R1955" s="5">
        <f>SUMPRODUCT(Exposures!$B$9:$K$9,B1955:K1955)</f>
        <v/>
      </c>
      <c r="S1955" s="5">
        <f>SUMPRODUCT(Exposures!$B$10:$K$10,B1955:K1955)</f>
        <v/>
      </c>
    </row>
    <row r="1956">
      <c r="A1956" s="1" t="n">
        <v>45296</v>
      </c>
      <c r="B1956" s="5" t="n">
        <v>0.004013753924523823</v>
      </c>
      <c r="C1956" s="5" t="n">
        <v>-0.0001232668891245644</v>
      </c>
      <c r="D1956" s="5" t="n">
        <v>0.0009519421472684531</v>
      </c>
      <c r="E1956" s="5" t="n">
        <v>0.001327537641336372</v>
      </c>
      <c r="F1956" s="5" t="n">
        <v>0.00455102125660305</v>
      </c>
      <c r="G1956" s="5" t="n">
        <v>0.001425954223277273</v>
      </c>
      <c r="H1956" s="5" t="n">
        <v>-0.001604447430375867</v>
      </c>
      <c r="I1956" s="5" t="n">
        <v>0.0003985821688617623</v>
      </c>
      <c r="J1956" s="5" t="n">
        <v>-0.003024891330553393</v>
      </c>
      <c r="K1956" s="5" t="n">
        <v>-0.004894262269719194</v>
      </c>
      <c r="L1956" s="5" t="n">
        <v>0.002085766111449198</v>
      </c>
      <c r="M1956" s="5">
        <f>SUMPRODUCT(Exposures!$B$6:$K$6,B1956:K1956)</f>
        <v/>
      </c>
      <c r="N1956" s="5">
        <f>IF(AND($A1956&gt;=DATE(2020,2,1),$A1956&lt;=DATE(2020,5,31)),$M1956,"")</f>
        <v/>
      </c>
      <c r="O1956" s="5">
        <f>IF(AND($A1956&gt;=DATE(2022,1,1),$A1956&lt;=DATE(2022,10,31)),$M1956,"")</f>
        <v/>
      </c>
      <c r="P1956" s="5">
        <f>IF(AND($A1956&gt;=DATE(2018,10,1),$A1956&lt;=DATE(2018,12,31)),$M1956,"")</f>
        <v/>
      </c>
      <c r="Q1956" s="5">
        <f>SUMPRODUCT(Exposures!$B$8:$K$8,B1956:K1956)</f>
        <v/>
      </c>
      <c r="R1956" s="5">
        <f>SUMPRODUCT(Exposures!$B$9:$K$9,B1956:K1956)</f>
        <v/>
      </c>
      <c r="S1956" s="5">
        <f>SUMPRODUCT(Exposures!$B$10:$K$10,B1956:K1956)</f>
        <v/>
      </c>
    </row>
    <row r="1957">
      <c r="A1957" s="1" t="n">
        <v>45299</v>
      </c>
      <c r="B1957" s="5" t="n">
        <v>0.003058520856664437</v>
      </c>
      <c r="C1957" s="5" t="n">
        <v>-0.004348204959476916</v>
      </c>
      <c r="D1957" s="5" t="n">
        <v>-0.001866892593308801</v>
      </c>
      <c r="E1957" s="5" t="n">
        <v>-0.0005941122263015137</v>
      </c>
      <c r="F1957" s="5" t="n">
        <v>-0.0001723605776261595</v>
      </c>
      <c r="G1957" s="5" t="n">
        <v>0.01529756808200877</v>
      </c>
      <c r="H1957" s="5" t="n">
        <v>0.001561325350472356</v>
      </c>
      <c r="I1957" s="5" t="n">
        <v>-0.002481896048779553</v>
      </c>
      <c r="J1957" s="5" t="n">
        <v>0.004818104151506298</v>
      </c>
      <c r="K1957" s="5" t="n">
        <v>-0.0005225337891347219</v>
      </c>
      <c r="L1957" s="5" t="n">
        <v>-0.003795183649065682</v>
      </c>
      <c r="M1957" s="5">
        <f>SUMPRODUCT(Exposures!$B$6:$K$6,B1957:K1957)</f>
        <v/>
      </c>
      <c r="N1957" s="5">
        <f>IF(AND($A1957&gt;=DATE(2020,2,1),$A1957&lt;=DATE(2020,5,31)),$M1957,"")</f>
        <v/>
      </c>
      <c r="O1957" s="5">
        <f>IF(AND($A1957&gt;=DATE(2022,1,1),$A1957&lt;=DATE(2022,10,31)),$M1957,"")</f>
        <v/>
      </c>
      <c r="P1957" s="5">
        <f>IF(AND($A1957&gt;=DATE(2018,10,1),$A1957&lt;=DATE(2018,12,31)),$M1957,"")</f>
        <v/>
      </c>
      <c r="Q1957" s="5">
        <f>SUMPRODUCT(Exposures!$B$8:$K$8,B1957:K1957)</f>
        <v/>
      </c>
      <c r="R1957" s="5">
        <f>SUMPRODUCT(Exposures!$B$9:$K$9,B1957:K1957)</f>
        <v/>
      </c>
      <c r="S1957" s="5">
        <f>SUMPRODUCT(Exposures!$B$10:$K$10,B1957:K1957)</f>
        <v/>
      </c>
    </row>
    <row r="1958">
      <c r="A1958" s="1" t="n">
        <v>45300</v>
      </c>
      <c r="B1958" s="5" t="n">
        <v>-0.002690528940747192</v>
      </c>
      <c r="C1958" s="5" t="n">
        <v>-0.002364021107399359</v>
      </c>
      <c r="D1958" s="5" t="n">
        <v>0.002154830778157326</v>
      </c>
      <c r="E1958" s="5" t="n">
        <v>-0.001106355879975404</v>
      </c>
      <c r="F1958" s="5" t="n">
        <v>0.006610283392220653</v>
      </c>
      <c r="G1958" s="5" t="n">
        <v>-0.007823406465078168</v>
      </c>
      <c r="H1958" s="5" t="n">
        <v>0.00394442518918804</v>
      </c>
      <c r="I1958" s="5" t="n">
        <v>-0.0003391279233255776</v>
      </c>
      <c r="J1958" s="5" t="n">
        <v>0.0007418128765259023</v>
      </c>
      <c r="K1958" s="5" t="n">
        <v>-0.002399131679183615</v>
      </c>
      <c r="L1958" s="5" t="n">
        <v>0.000649851982246887</v>
      </c>
      <c r="M1958" s="5">
        <f>SUMPRODUCT(Exposures!$B$6:$K$6,B1958:K1958)</f>
        <v/>
      </c>
      <c r="N1958" s="5">
        <f>IF(AND($A1958&gt;=DATE(2020,2,1),$A1958&lt;=DATE(2020,5,31)),$M1958,"")</f>
        <v/>
      </c>
      <c r="O1958" s="5">
        <f>IF(AND($A1958&gt;=DATE(2022,1,1),$A1958&lt;=DATE(2022,10,31)),$M1958,"")</f>
        <v/>
      </c>
      <c r="P1958" s="5">
        <f>IF(AND($A1958&gt;=DATE(2018,10,1),$A1958&lt;=DATE(2018,12,31)),$M1958,"")</f>
        <v/>
      </c>
      <c r="Q1958" s="5">
        <f>SUMPRODUCT(Exposures!$B$8:$K$8,B1958:K1958)</f>
        <v/>
      </c>
      <c r="R1958" s="5">
        <f>SUMPRODUCT(Exposures!$B$9:$K$9,B1958:K1958)</f>
        <v/>
      </c>
      <c r="S1958" s="5">
        <f>SUMPRODUCT(Exposures!$B$10:$K$10,B1958:K1958)</f>
        <v/>
      </c>
    </row>
    <row r="1959">
      <c r="A1959" s="1" t="n">
        <v>45301</v>
      </c>
      <c r="B1959" s="5" t="n">
        <v>0.00152372985104708</v>
      </c>
      <c r="C1959" s="5" t="n">
        <v>-0.001126878372797153</v>
      </c>
      <c r="D1959" s="5" t="n">
        <v>-0.003067209863580193</v>
      </c>
      <c r="E1959" s="5" t="n">
        <v>0.0006411164642257932</v>
      </c>
      <c r="F1959" s="5" t="n">
        <v>-0.005605655880298407</v>
      </c>
      <c r="G1959" s="5" t="n">
        <v>0.0003985604883270886</v>
      </c>
      <c r="H1959" s="5" t="n">
        <v>0.004036893341093143</v>
      </c>
      <c r="I1959" s="5" t="n">
        <v>-0.001768469376831243</v>
      </c>
      <c r="J1959" s="5" t="n">
        <v>-0.005337483045975612</v>
      </c>
      <c r="K1959" s="5" t="n">
        <v>0.003878322984954359</v>
      </c>
      <c r="L1959" s="5" t="n">
        <v>-0.001043956078050777</v>
      </c>
      <c r="M1959" s="5">
        <f>SUMPRODUCT(Exposures!$B$6:$K$6,B1959:K1959)</f>
        <v/>
      </c>
      <c r="N1959" s="5">
        <f>IF(AND($A1959&gt;=DATE(2020,2,1),$A1959&lt;=DATE(2020,5,31)),$M1959,"")</f>
        <v/>
      </c>
      <c r="O1959" s="5">
        <f>IF(AND($A1959&gt;=DATE(2022,1,1),$A1959&lt;=DATE(2022,10,31)),$M1959,"")</f>
        <v/>
      </c>
      <c r="P1959" s="5">
        <f>IF(AND($A1959&gt;=DATE(2018,10,1),$A1959&lt;=DATE(2018,12,31)),$M1959,"")</f>
        <v/>
      </c>
      <c r="Q1959" s="5">
        <f>SUMPRODUCT(Exposures!$B$8:$K$8,B1959:K1959)</f>
        <v/>
      </c>
      <c r="R1959" s="5">
        <f>SUMPRODUCT(Exposures!$B$9:$K$9,B1959:K1959)</f>
        <v/>
      </c>
      <c r="S1959" s="5">
        <f>SUMPRODUCT(Exposures!$B$10:$K$10,B1959:K1959)</f>
        <v/>
      </c>
    </row>
    <row r="1960">
      <c r="A1960" s="1" t="n">
        <v>45302</v>
      </c>
      <c r="B1960" s="5" t="n">
        <v>-0.003741346470139998</v>
      </c>
      <c r="C1960" s="5" t="n">
        <v>0.002984640714530712</v>
      </c>
      <c r="D1960" s="5" t="n">
        <v>0.0006913666434708837</v>
      </c>
      <c r="E1960" s="5" t="n">
        <v>4.761111414423332e-05</v>
      </c>
      <c r="F1960" s="5" t="n">
        <v>0.004983989028082229</v>
      </c>
      <c r="G1960" s="5" t="n">
        <v>-0.007858718225978334</v>
      </c>
      <c r="H1960" s="5" t="n">
        <v>0.00355148461767673</v>
      </c>
      <c r="I1960" s="5" t="n">
        <v>-0.0006852787190848171</v>
      </c>
      <c r="J1960" s="5" t="n">
        <v>-0.0008983733958583527</v>
      </c>
      <c r="K1960" s="5" t="n">
        <v>-0.002313949091308691</v>
      </c>
      <c r="L1960" s="5" t="n">
        <v>-0.0003409358817995123</v>
      </c>
      <c r="M1960" s="5">
        <f>SUMPRODUCT(Exposures!$B$6:$K$6,B1960:K1960)</f>
        <v/>
      </c>
      <c r="N1960" s="5">
        <f>IF(AND($A1960&gt;=DATE(2020,2,1),$A1960&lt;=DATE(2020,5,31)),$M1960,"")</f>
        <v/>
      </c>
      <c r="O1960" s="5">
        <f>IF(AND($A1960&gt;=DATE(2022,1,1),$A1960&lt;=DATE(2022,10,31)),$M1960,"")</f>
        <v/>
      </c>
      <c r="P1960" s="5">
        <f>IF(AND($A1960&gt;=DATE(2018,10,1),$A1960&lt;=DATE(2018,12,31)),$M1960,"")</f>
        <v/>
      </c>
      <c r="Q1960" s="5">
        <f>SUMPRODUCT(Exposures!$B$8:$K$8,B1960:K1960)</f>
        <v/>
      </c>
      <c r="R1960" s="5">
        <f>SUMPRODUCT(Exposures!$B$9:$K$9,B1960:K1960)</f>
        <v/>
      </c>
      <c r="S1960" s="5">
        <f>SUMPRODUCT(Exposures!$B$10:$K$10,B1960:K1960)</f>
        <v/>
      </c>
    </row>
    <row r="1961">
      <c r="A1961" s="1" t="n">
        <v>45303</v>
      </c>
      <c r="B1961" s="5" t="n">
        <v>-0.003960868616046448</v>
      </c>
      <c r="C1961" s="5" t="n">
        <v>-0.001278398076689848</v>
      </c>
      <c r="D1961" s="5" t="n">
        <v>0.00166770341842137</v>
      </c>
      <c r="E1961" s="5" t="n">
        <v>0.0004324765846565162</v>
      </c>
      <c r="F1961" s="5" t="n">
        <v>-0.005803670734315581</v>
      </c>
      <c r="G1961" s="5" t="n">
        <v>-0.004286831647789609</v>
      </c>
      <c r="H1961" s="5" t="n">
        <v>0.004402638302502125</v>
      </c>
      <c r="I1961" s="5" t="n">
        <v>0.0005766115839146665</v>
      </c>
      <c r="J1961" s="5" t="n">
        <v>-0.004070041456817814</v>
      </c>
      <c r="K1961" s="5" t="n">
        <v>0.004599309123653877</v>
      </c>
      <c r="L1961" s="5" t="n">
        <v>0.002253838793035992</v>
      </c>
      <c r="M1961" s="5">
        <f>SUMPRODUCT(Exposures!$B$6:$K$6,B1961:K1961)</f>
        <v/>
      </c>
      <c r="N1961" s="5">
        <f>IF(AND($A1961&gt;=DATE(2020,2,1),$A1961&lt;=DATE(2020,5,31)),$M1961,"")</f>
        <v/>
      </c>
      <c r="O1961" s="5">
        <f>IF(AND($A1961&gt;=DATE(2022,1,1),$A1961&lt;=DATE(2022,10,31)),$M1961,"")</f>
        <v/>
      </c>
      <c r="P1961" s="5">
        <f>IF(AND($A1961&gt;=DATE(2018,10,1),$A1961&lt;=DATE(2018,12,31)),$M1961,"")</f>
        <v/>
      </c>
      <c r="Q1961" s="5">
        <f>SUMPRODUCT(Exposures!$B$8:$K$8,B1961:K1961)</f>
        <v/>
      </c>
      <c r="R1961" s="5">
        <f>SUMPRODUCT(Exposures!$B$9:$K$9,B1961:K1961)</f>
        <v/>
      </c>
      <c r="S1961" s="5">
        <f>SUMPRODUCT(Exposures!$B$10:$K$10,B1961:K1961)</f>
        <v/>
      </c>
    </row>
    <row r="1962">
      <c r="A1962" s="1" t="n">
        <v>45307</v>
      </c>
      <c r="B1962" s="5" t="n">
        <v>-0.002472471748894194</v>
      </c>
      <c r="C1962" s="5" t="n">
        <v>0.001473418433681332</v>
      </c>
      <c r="D1962" s="5" t="n">
        <v>0.002590661235001881</v>
      </c>
      <c r="E1962" s="5" t="n">
        <v>0.000163758031318765</v>
      </c>
      <c r="F1962" s="5" t="n">
        <v>0.006481665327771349</v>
      </c>
      <c r="G1962" s="5" t="n">
        <v>-0.00978665026109342</v>
      </c>
      <c r="H1962" s="5" t="n">
        <v>0.00383768383629362</v>
      </c>
      <c r="I1962" s="5" t="n">
        <v>0.0005868226817761516</v>
      </c>
      <c r="J1962" s="5" t="n">
        <v>-0.004745461737366642</v>
      </c>
      <c r="K1962" s="5" t="n">
        <v>-0.005877297864529236</v>
      </c>
      <c r="L1962" s="5" t="n">
        <v>-0.001184050545114167</v>
      </c>
      <c r="M1962" s="5">
        <f>SUMPRODUCT(Exposures!$B$6:$K$6,B1962:K1962)</f>
        <v/>
      </c>
      <c r="N1962" s="5">
        <f>IF(AND($A1962&gt;=DATE(2020,2,1),$A1962&lt;=DATE(2020,5,31)),$M1962,"")</f>
        <v/>
      </c>
      <c r="O1962" s="5">
        <f>IF(AND($A1962&gt;=DATE(2022,1,1),$A1962&lt;=DATE(2022,10,31)),$M1962,"")</f>
        <v/>
      </c>
      <c r="P1962" s="5">
        <f>IF(AND($A1962&gt;=DATE(2018,10,1),$A1962&lt;=DATE(2018,12,31)),$M1962,"")</f>
        <v/>
      </c>
      <c r="Q1962" s="5">
        <f>SUMPRODUCT(Exposures!$B$8:$K$8,B1962:K1962)</f>
        <v/>
      </c>
      <c r="R1962" s="5">
        <f>SUMPRODUCT(Exposures!$B$9:$K$9,B1962:K1962)</f>
        <v/>
      </c>
      <c r="S1962" s="5">
        <f>SUMPRODUCT(Exposures!$B$10:$K$10,B1962:K1962)</f>
        <v/>
      </c>
    </row>
    <row r="1963">
      <c r="A1963" s="1" t="n">
        <v>45308</v>
      </c>
      <c r="B1963" s="5" t="n">
        <v>-0.004747128338040062</v>
      </c>
      <c r="C1963" s="5" t="n">
        <v>-0.001403919860012017</v>
      </c>
      <c r="D1963" s="5" t="n">
        <v>-7.397991435273475e-05</v>
      </c>
      <c r="E1963" s="5" t="n">
        <v>0.0006775934062725729</v>
      </c>
      <c r="F1963" s="5" t="n">
        <v>0.0002870876416584088</v>
      </c>
      <c r="G1963" s="5" t="n">
        <v>-0.008840179186406154</v>
      </c>
      <c r="H1963" s="5" t="n">
        <v>0.002029300824862587</v>
      </c>
      <c r="I1963" s="5" t="n">
        <v>0.0006636854350394271</v>
      </c>
      <c r="J1963" s="5" t="n">
        <v>-0.0004281135945244634</v>
      </c>
      <c r="K1963" s="5" t="n">
        <v>0.001083718812416349</v>
      </c>
      <c r="L1963" s="5" t="n">
        <v>0.0002823496607175833</v>
      </c>
      <c r="M1963" s="5">
        <f>SUMPRODUCT(Exposures!$B$6:$K$6,B1963:K1963)</f>
        <v/>
      </c>
      <c r="N1963" s="5">
        <f>IF(AND($A1963&gt;=DATE(2020,2,1),$A1963&lt;=DATE(2020,5,31)),$M1963,"")</f>
        <v/>
      </c>
      <c r="O1963" s="5">
        <f>IF(AND($A1963&gt;=DATE(2022,1,1),$A1963&lt;=DATE(2022,10,31)),$M1963,"")</f>
        <v/>
      </c>
      <c r="P1963" s="5">
        <f>IF(AND($A1963&gt;=DATE(2018,10,1),$A1963&lt;=DATE(2018,12,31)),$M1963,"")</f>
        <v/>
      </c>
      <c r="Q1963" s="5">
        <f>SUMPRODUCT(Exposures!$B$8:$K$8,B1963:K1963)</f>
        <v/>
      </c>
      <c r="R1963" s="5">
        <f>SUMPRODUCT(Exposures!$B$9:$K$9,B1963:K1963)</f>
        <v/>
      </c>
      <c r="S1963" s="5">
        <f>SUMPRODUCT(Exposures!$B$10:$K$10,B1963:K1963)</f>
        <v/>
      </c>
    </row>
    <row r="1964">
      <c r="A1964" s="1" t="n">
        <v>45309</v>
      </c>
      <c r="B1964" s="5" t="n">
        <v>0.00567214850558238</v>
      </c>
      <c r="C1964" s="5" t="n">
        <v>0.0004801251658275002</v>
      </c>
      <c r="D1964" s="5" t="n">
        <v>-0.002091859397538824</v>
      </c>
      <c r="E1964" s="5" t="n">
        <v>-0.001403150824914028</v>
      </c>
      <c r="F1964" s="5" t="n">
        <v>0.003453321225267886</v>
      </c>
      <c r="G1964" s="5" t="n">
        <v>0.002797450366481683</v>
      </c>
      <c r="H1964" s="5" t="n">
        <v>0.000286900866863208</v>
      </c>
      <c r="I1964" s="5" t="n">
        <v>-0.001959522709849961</v>
      </c>
      <c r="J1964" s="5" t="n">
        <v>-0.006079987278711095</v>
      </c>
      <c r="K1964" s="5" t="n">
        <v>-0.002953372528395762</v>
      </c>
      <c r="L1964" s="5" t="n">
        <v>-0.004731050795755728</v>
      </c>
      <c r="M1964" s="5">
        <f>SUMPRODUCT(Exposures!$B$6:$K$6,B1964:K1964)</f>
        <v/>
      </c>
      <c r="N1964" s="5">
        <f>IF(AND($A1964&gt;=DATE(2020,2,1),$A1964&lt;=DATE(2020,5,31)),$M1964,"")</f>
        <v/>
      </c>
      <c r="O1964" s="5">
        <f>IF(AND($A1964&gt;=DATE(2022,1,1),$A1964&lt;=DATE(2022,10,31)),$M1964,"")</f>
        <v/>
      </c>
      <c r="P1964" s="5">
        <f>IF(AND($A1964&gt;=DATE(2018,10,1),$A1964&lt;=DATE(2018,12,31)),$M1964,"")</f>
        <v/>
      </c>
      <c r="Q1964" s="5">
        <f>SUMPRODUCT(Exposures!$B$8:$K$8,B1964:K1964)</f>
        <v/>
      </c>
      <c r="R1964" s="5">
        <f>SUMPRODUCT(Exposures!$B$9:$K$9,B1964:K1964)</f>
        <v/>
      </c>
      <c r="S1964" s="5">
        <f>SUMPRODUCT(Exposures!$B$10:$K$10,B1964:K1964)</f>
        <v/>
      </c>
    </row>
    <row r="1965">
      <c r="A1965" s="1" t="n">
        <v>45310</v>
      </c>
      <c r="B1965" s="5" t="n">
        <v>0.005619981682875895</v>
      </c>
      <c r="C1965" s="5" t="n">
        <v>-0.001408614535733412</v>
      </c>
      <c r="D1965" s="5" t="n">
        <v>0.001352493370319197</v>
      </c>
      <c r="E1965" s="5" t="n">
        <v>0.0004764895219329038</v>
      </c>
      <c r="F1965" s="5" t="n">
        <v>-0.002867481469672673</v>
      </c>
      <c r="G1965" s="5" t="n">
        <v>0.01006535628325096</v>
      </c>
      <c r="H1965" s="5" t="n">
        <v>0.008561501758952412</v>
      </c>
      <c r="I1965" s="5" t="n">
        <v>0.001324509508892572</v>
      </c>
      <c r="J1965" s="5" t="n">
        <v>-0.002099015617339074</v>
      </c>
      <c r="K1965" s="5" t="n">
        <v>0.004167541042350813</v>
      </c>
      <c r="L1965" s="5" t="n">
        <v>0.005660939313634187</v>
      </c>
      <c r="M1965" s="5">
        <f>SUMPRODUCT(Exposures!$B$6:$K$6,B1965:K1965)</f>
        <v/>
      </c>
      <c r="N1965" s="5">
        <f>IF(AND($A1965&gt;=DATE(2020,2,1),$A1965&lt;=DATE(2020,5,31)),$M1965,"")</f>
        <v/>
      </c>
      <c r="O1965" s="5">
        <f>IF(AND($A1965&gt;=DATE(2022,1,1),$A1965&lt;=DATE(2022,10,31)),$M1965,"")</f>
        <v/>
      </c>
      <c r="P1965" s="5">
        <f>IF(AND($A1965&gt;=DATE(2018,10,1),$A1965&lt;=DATE(2018,12,31)),$M1965,"")</f>
        <v/>
      </c>
      <c r="Q1965" s="5">
        <f>SUMPRODUCT(Exposures!$B$8:$K$8,B1965:K1965)</f>
        <v/>
      </c>
      <c r="R1965" s="5">
        <f>SUMPRODUCT(Exposures!$B$9:$K$9,B1965:K1965)</f>
        <v/>
      </c>
      <c r="S1965" s="5">
        <f>SUMPRODUCT(Exposures!$B$10:$K$10,B1965:K1965)</f>
        <v/>
      </c>
    </row>
    <row r="1966">
      <c r="A1966" s="1" t="n">
        <v>45313</v>
      </c>
      <c r="B1966" s="5" t="n">
        <v>0.003160756546027235</v>
      </c>
      <c r="C1966" s="5" t="n">
        <v>0.001783551909358096</v>
      </c>
      <c r="D1966" s="5" t="n">
        <v>0.002825324258525993</v>
      </c>
      <c r="E1966" s="5" t="n">
        <v>-0.0001436763082498694</v>
      </c>
      <c r="F1966" s="5" t="n">
        <v>-0.005256205453532901</v>
      </c>
      <c r="G1966" s="5" t="n">
        <v>0.0119044144032521</v>
      </c>
      <c r="H1966" s="5" t="n">
        <v>0.0005167992100398529</v>
      </c>
      <c r="I1966" s="5" t="n">
        <v>-6.294617920760636e-05</v>
      </c>
      <c r="J1966" s="5" t="n">
        <v>0.004939209915101713</v>
      </c>
      <c r="K1966" s="5" t="n">
        <v>-0.000301809346166383</v>
      </c>
      <c r="L1966" s="5" t="n">
        <v>-0.002151423896549224</v>
      </c>
      <c r="M1966" s="5">
        <f>SUMPRODUCT(Exposures!$B$6:$K$6,B1966:K1966)</f>
        <v/>
      </c>
      <c r="N1966" s="5">
        <f>IF(AND($A1966&gt;=DATE(2020,2,1),$A1966&lt;=DATE(2020,5,31)),$M1966,"")</f>
        <v/>
      </c>
      <c r="O1966" s="5">
        <f>IF(AND($A1966&gt;=DATE(2022,1,1),$A1966&lt;=DATE(2022,10,31)),$M1966,"")</f>
        <v/>
      </c>
      <c r="P1966" s="5">
        <f>IF(AND($A1966&gt;=DATE(2018,10,1),$A1966&lt;=DATE(2018,12,31)),$M1966,"")</f>
        <v/>
      </c>
      <c r="Q1966" s="5">
        <f>SUMPRODUCT(Exposures!$B$8:$K$8,B1966:K1966)</f>
        <v/>
      </c>
      <c r="R1966" s="5">
        <f>SUMPRODUCT(Exposures!$B$9:$K$9,B1966:K1966)</f>
        <v/>
      </c>
      <c r="S1966" s="5">
        <f>SUMPRODUCT(Exposures!$B$10:$K$10,B1966:K1966)</f>
        <v/>
      </c>
    </row>
    <row r="1967">
      <c r="A1967" s="1" t="n">
        <v>45314</v>
      </c>
      <c r="B1967" s="5" t="n">
        <v>-0.001569347056061223</v>
      </c>
      <c r="C1967" s="5" t="n">
        <v>0.0007966532513918995</v>
      </c>
      <c r="D1967" s="5" t="n">
        <v>-0.001675771209330817</v>
      </c>
      <c r="E1967" s="5" t="n">
        <v>-0.001186660508340884</v>
      </c>
      <c r="F1967" s="5" t="n">
        <v>-0.001424866821892854</v>
      </c>
      <c r="G1967" s="5" t="n">
        <v>0.002293161479796285</v>
      </c>
      <c r="H1967" s="5" t="n">
        <v>-0.004916744190307646</v>
      </c>
      <c r="I1967" s="5" t="n">
        <v>-0.00127283417601018</v>
      </c>
      <c r="J1967" s="5" t="n">
        <v>0.005549748106032796</v>
      </c>
      <c r="K1967" s="5" t="n">
        <v>0.007658233674091977</v>
      </c>
      <c r="L1967" s="5" t="n">
        <v>0.001732632614036038</v>
      </c>
      <c r="M1967" s="5">
        <f>SUMPRODUCT(Exposures!$B$6:$K$6,B1967:K1967)</f>
        <v/>
      </c>
      <c r="N1967" s="5">
        <f>IF(AND($A1967&gt;=DATE(2020,2,1),$A1967&lt;=DATE(2020,5,31)),$M1967,"")</f>
        <v/>
      </c>
      <c r="O1967" s="5">
        <f>IF(AND($A1967&gt;=DATE(2022,1,1),$A1967&lt;=DATE(2022,10,31)),$M1967,"")</f>
        <v/>
      </c>
      <c r="P1967" s="5">
        <f>IF(AND($A1967&gt;=DATE(2018,10,1),$A1967&lt;=DATE(2018,12,31)),$M1967,"")</f>
        <v/>
      </c>
      <c r="Q1967" s="5">
        <f>SUMPRODUCT(Exposures!$B$8:$K$8,B1967:K1967)</f>
        <v/>
      </c>
      <c r="R1967" s="5">
        <f>SUMPRODUCT(Exposures!$B$9:$K$9,B1967:K1967)</f>
        <v/>
      </c>
      <c r="S1967" s="5">
        <f>SUMPRODUCT(Exposures!$B$10:$K$10,B1967:K1967)</f>
        <v/>
      </c>
    </row>
    <row r="1968">
      <c r="A1968" s="1" t="n">
        <v>45315</v>
      </c>
      <c r="B1968" s="5" t="n">
        <v>0.001889517977203759</v>
      </c>
      <c r="C1968" s="5" t="n">
        <v>0.003132114594888251</v>
      </c>
      <c r="D1968" s="5" t="n">
        <v>-0.00236338564537</v>
      </c>
      <c r="E1968" s="5" t="n">
        <v>-0.001473118701991272</v>
      </c>
      <c r="F1968" s="5" t="n">
        <v>0.002179875490094598</v>
      </c>
      <c r="G1968" s="5" t="n">
        <v>-0.008845834891230685</v>
      </c>
      <c r="H1968" s="5" t="n">
        <v>0.001511489085264273</v>
      </c>
      <c r="I1968" s="5" t="n">
        <v>0.001243650772513959</v>
      </c>
      <c r="J1968" s="5" t="n">
        <v>-0.001675518658388129</v>
      </c>
      <c r="K1968" s="5" t="n">
        <v>0.003824092341393925</v>
      </c>
      <c r="L1968" s="5" t="n">
        <v>0.002799841616135979</v>
      </c>
      <c r="M1968" s="5">
        <f>SUMPRODUCT(Exposures!$B$6:$K$6,B1968:K1968)</f>
        <v/>
      </c>
      <c r="N1968" s="5">
        <f>IF(AND($A1968&gt;=DATE(2020,2,1),$A1968&lt;=DATE(2020,5,31)),$M1968,"")</f>
        <v/>
      </c>
      <c r="O1968" s="5">
        <f>IF(AND($A1968&gt;=DATE(2022,1,1),$A1968&lt;=DATE(2022,10,31)),$M1968,"")</f>
        <v/>
      </c>
      <c r="P1968" s="5">
        <f>IF(AND($A1968&gt;=DATE(2018,10,1),$A1968&lt;=DATE(2018,12,31)),$M1968,"")</f>
        <v/>
      </c>
      <c r="Q1968" s="5">
        <f>SUMPRODUCT(Exposures!$B$8:$K$8,B1968:K1968)</f>
        <v/>
      </c>
      <c r="R1968" s="5">
        <f>SUMPRODUCT(Exposures!$B$9:$K$9,B1968:K1968)</f>
        <v/>
      </c>
      <c r="S1968" s="5">
        <f>SUMPRODUCT(Exposures!$B$10:$K$10,B1968:K1968)</f>
        <v/>
      </c>
    </row>
    <row r="1969">
      <c r="A1969" s="1" t="n">
        <v>45316</v>
      </c>
      <c r="B1969" s="5" t="n">
        <v>0.004895351107420605</v>
      </c>
      <c r="C1969" s="5" t="n">
        <v>-0.0001068163238927291</v>
      </c>
      <c r="D1969" s="5" t="n">
        <v>0.001985652392686216</v>
      </c>
      <c r="E1969" s="5" t="n">
        <v>0.001514030662016055</v>
      </c>
      <c r="F1969" s="5" t="n">
        <v>0.0007817901042067648</v>
      </c>
      <c r="G1969" s="5" t="n">
        <v>0.008386232852451426</v>
      </c>
      <c r="H1969" s="5" t="n">
        <v>-0.00146095148559237</v>
      </c>
      <c r="I1969" s="5" t="n">
        <v>-0.00113868319285275</v>
      </c>
      <c r="J1969" s="5" t="n">
        <v>-0.003598110188233551</v>
      </c>
      <c r="K1969" s="5" t="n">
        <v>-0.003208877965148859</v>
      </c>
      <c r="L1969" s="5" t="n">
        <v>-0.0009376542220459551</v>
      </c>
      <c r="M1969" s="5">
        <f>SUMPRODUCT(Exposures!$B$6:$K$6,B1969:K1969)</f>
        <v/>
      </c>
      <c r="N1969" s="5">
        <f>IF(AND($A1969&gt;=DATE(2020,2,1),$A1969&lt;=DATE(2020,5,31)),$M1969,"")</f>
        <v/>
      </c>
      <c r="O1969" s="5">
        <f>IF(AND($A1969&gt;=DATE(2022,1,1),$A1969&lt;=DATE(2022,10,31)),$M1969,"")</f>
        <v/>
      </c>
      <c r="P1969" s="5">
        <f>IF(AND($A1969&gt;=DATE(2018,10,1),$A1969&lt;=DATE(2018,12,31)),$M1969,"")</f>
        <v/>
      </c>
      <c r="Q1969" s="5">
        <f>SUMPRODUCT(Exposures!$B$8:$K$8,B1969:K1969)</f>
        <v/>
      </c>
      <c r="R1969" s="5">
        <f>SUMPRODUCT(Exposures!$B$9:$K$9,B1969:K1969)</f>
        <v/>
      </c>
      <c r="S1969" s="5">
        <f>SUMPRODUCT(Exposures!$B$10:$K$10,B1969:K1969)</f>
        <v/>
      </c>
    </row>
    <row r="1970">
      <c r="A1970" s="1" t="n">
        <v>45317</v>
      </c>
      <c r="B1970" s="5" t="n">
        <v>-0.001770620446073316</v>
      </c>
      <c r="C1970" s="5" t="n">
        <v>0.001929914184858661</v>
      </c>
      <c r="D1970" s="5" t="n">
        <v>0.001623655909871399</v>
      </c>
      <c r="E1970" s="5" t="n">
        <v>0.001249267918796139</v>
      </c>
      <c r="F1970" s="5" t="n">
        <v>-9.896935193110705e-05</v>
      </c>
      <c r="G1970" s="5" t="n">
        <v>0.002506701368796447</v>
      </c>
      <c r="H1970" s="5" t="n">
        <v>0.001577185420021529</v>
      </c>
      <c r="I1970" s="5" t="n">
        <v>0.0003261557499594937</v>
      </c>
      <c r="J1970" s="5" t="n">
        <v>6.301160136653716e-05</v>
      </c>
      <c r="K1970" s="5" t="n">
        <v>-0.001570472714166783</v>
      </c>
      <c r="L1970" s="5" t="n">
        <v>0.0008457517624621361</v>
      </c>
      <c r="M1970" s="5">
        <f>SUMPRODUCT(Exposures!$B$6:$K$6,B1970:K1970)</f>
        <v/>
      </c>
      <c r="N1970" s="5">
        <f>IF(AND($A1970&gt;=DATE(2020,2,1),$A1970&lt;=DATE(2020,5,31)),$M1970,"")</f>
        <v/>
      </c>
      <c r="O1970" s="5">
        <f>IF(AND($A1970&gt;=DATE(2022,1,1),$A1970&lt;=DATE(2022,10,31)),$M1970,"")</f>
        <v/>
      </c>
      <c r="P1970" s="5">
        <f>IF(AND($A1970&gt;=DATE(2018,10,1),$A1970&lt;=DATE(2018,12,31)),$M1970,"")</f>
        <v/>
      </c>
      <c r="Q1970" s="5">
        <f>SUMPRODUCT(Exposures!$B$8:$K$8,B1970:K1970)</f>
        <v/>
      </c>
      <c r="R1970" s="5">
        <f>SUMPRODUCT(Exposures!$B$9:$K$9,B1970:K1970)</f>
        <v/>
      </c>
      <c r="S1970" s="5">
        <f>SUMPRODUCT(Exposures!$B$10:$K$10,B1970:K1970)</f>
        <v/>
      </c>
    </row>
    <row r="1971">
      <c r="A1971" s="1" t="n">
        <v>45320</v>
      </c>
      <c r="B1971" s="5" t="n">
        <v>0.009006530548582267</v>
      </c>
      <c r="C1971" s="5" t="n">
        <v>-0.00111283604061402</v>
      </c>
      <c r="D1971" s="5" t="n">
        <v>-0.001825987296653559</v>
      </c>
      <c r="E1971" s="5" t="n">
        <v>-0.0009188122807525583</v>
      </c>
      <c r="F1971" s="5" t="n">
        <v>0.0004099723890278349</v>
      </c>
      <c r="G1971" s="5" t="n">
        <v>0.01278729778440873</v>
      </c>
      <c r="H1971" s="5" t="n">
        <v>-0.001141669173918461</v>
      </c>
      <c r="I1971" s="5" t="n">
        <v>0.002422980732936833</v>
      </c>
      <c r="J1971" s="5" t="n">
        <v>0.001567824251611744</v>
      </c>
      <c r="K1971" s="5" t="n">
        <v>-0.003557146211468816</v>
      </c>
      <c r="L1971" s="5" t="n">
        <v>-0.00146898187073158</v>
      </c>
      <c r="M1971" s="5">
        <f>SUMPRODUCT(Exposures!$B$6:$K$6,B1971:K1971)</f>
        <v/>
      </c>
      <c r="N1971" s="5">
        <f>IF(AND($A1971&gt;=DATE(2020,2,1),$A1971&lt;=DATE(2020,5,31)),$M1971,"")</f>
        <v/>
      </c>
      <c r="O1971" s="5">
        <f>IF(AND($A1971&gt;=DATE(2022,1,1),$A1971&lt;=DATE(2022,10,31)),$M1971,"")</f>
        <v/>
      </c>
      <c r="P1971" s="5">
        <f>IF(AND($A1971&gt;=DATE(2018,10,1),$A1971&lt;=DATE(2018,12,31)),$M1971,"")</f>
        <v/>
      </c>
      <c r="Q1971" s="5">
        <f>SUMPRODUCT(Exposures!$B$8:$K$8,B1971:K1971)</f>
        <v/>
      </c>
      <c r="R1971" s="5">
        <f>SUMPRODUCT(Exposures!$B$9:$K$9,B1971:K1971)</f>
        <v/>
      </c>
      <c r="S1971" s="5">
        <f>SUMPRODUCT(Exposures!$B$10:$K$10,B1971:K1971)</f>
        <v/>
      </c>
    </row>
    <row r="1972">
      <c r="A1972" s="1" t="n">
        <v>45321</v>
      </c>
      <c r="B1972" s="5" t="n">
        <v>-0.003581569514125115</v>
      </c>
      <c r="C1972" s="5" t="n">
        <v>0.003286308356708008</v>
      </c>
      <c r="D1972" s="5" t="n">
        <v>-0.0007391321614062636</v>
      </c>
      <c r="E1972" s="5" t="n">
        <v>0.003462111093304553</v>
      </c>
      <c r="F1972" s="5" t="n">
        <v>-0.001173281578611202</v>
      </c>
      <c r="G1972" s="5" t="n">
        <v>-0.006463081712283721</v>
      </c>
      <c r="H1972" s="5" t="n">
        <v>0.002055093061624462</v>
      </c>
      <c r="I1972" s="5" t="n">
        <v>0.002943161093121316</v>
      </c>
      <c r="J1972" s="5" t="n">
        <v>-0.00488166096035973</v>
      </c>
      <c r="K1972" s="5" t="n">
        <v>-0.0004322912300458938</v>
      </c>
      <c r="L1972" s="5" t="n">
        <v>0.003124960730770386</v>
      </c>
      <c r="M1972" s="5">
        <f>SUMPRODUCT(Exposures!$B$6:$K$6,B1972:K1972)</f>
        <v/>
      </c>
      <c r="N1972" s="5">
        <f>IF(AND($A1972&gt;=DATE(2020,2,1),$A1972&lt;=DATE(2020,5,31)),$M1972,"")</f>
        <v/>
      </c>
      <c r="O1972" s="5">
        <f>IF(AND($A1972&gt;=DATE(2022,1,1),$A1972&lt;=DATE(2022,10,31)),$M1972,"")</f>
        <v/>
      </c>
      <c r="P1972" s="5">
        <f>IF(AND($A1972&gt;=DATE(2018,10,1),$A1972&lt;=DATE(2018,12,31)),$M1972,"")</f>
        <v/>
      </c>
      <c r="Q1972" s="5">
        <f>SUMPRODUCT(Exposures!$B$8:$K$8,B1972:K1972)</f>
        <v/>
      </c>
      <c r="R1972" s="5">
        <f>SUMPRODUCT(Exposures!$B$9:$K$9,B1972:K1972)</f>
        <v/>
      </c>
      <c r="S1972" s="5">
        <f>SUMPRODUCT(Exposures!$B$10:$K$10,B1972:K1972)</f>
        <v/>
      </c>
    </row>
    <row r="1973">
      <c r="A1973" s="1" t="n">
        <v>45322</v>
      </c>
      <c r="B1973" s="5" t="n">
        <v>-0.008044552889752025</v>
      </c>
      <c r="C1973" s="5" t="n">
        <v>-0.001603919507495577</v>
      </c>
      <c r="D1973" s="5" t="n">
        <v>0.0005678721706129693</v>
      </c>
      <c r="E1973" s="5" t="n">
        <v>-0.0005482331524059803</v>
      </c>
      <c r="F1973" s="5" t="n">
        <v>0.001764738229695106</v>
      </c>
      <c r="G1973" s="5" t="n">
        <v>-0.01635019757714271</v>
      </c>
      <c r="H1973" s="5" t="n">
        <v>-0.002906822996976442</v>
      </c>
      <c r="I1973" s="5" t="n">
        <v>0.004331870233989935</v>
      </c>
      <c r="J1973" s="5" t="n">
        <v>-0.004151878525121501</v>
      </c>
      <c r="K1973" s="5" t="n">
        <v>-0.004995709244778669</v>
      </c>
      <c r="L1973" s="5" t="n">
        <v>-0.0007336199504433222</v>
      </c>
      <c r="M1973" s="5">
        <f>SUMPRODUCT(Exposures!$B$6:$K$6,B1973:K1973)</f>
        <v/>
      </c>
      <c r="N1973" s="5">
        <f>IF(AND($A1973&gt;=DATE(2020,2,1),$A1973&lt;=DATE(2020,5,31)),$M1973,"")</f>
        <v/>
      </c>
      <c r="O1973" s="5">
        <f>IF(AND($A1973&gt;=DATE(2022,1,1),$A1973&lt;=DATE(2022,10,31)),$M1973,"")</f>
        <v/>
      </c>
      <c r="P1973" s="5">
        <f>IF(AND($A1973&gt;=DATE(2018,10,1),$A1973&lt;=DATE(2018,12,31)),$M1973,"")</f>
        <v/>
      </c>
      <c r="Q1973" s="5">
        <f>SUMPRODUCT(Exposures!$B$8:$K$8,B1973:K1973)</f>
        <v/>
      </c>
      <c r="R1973" s="5">
        <f>SUMPRODUCT(Exposures!$B$9:$K$9,B1973:K1973)</f>
        <v/>
      </c>
      <c r="S1973" s="5">
        <f>SUMPRODUCT(Exposures!$B$10:$K$10,B1973:K1973)</f>
        <v/>
      </c>
    </row>
    <row r="1974">
      <c r="A1974" s="1" t="n">
        <v>45323</v>
      </c>
      <c r="B1974" s="5" t="n">
        <v>-0.002169593794530464</v>
      </c>
      <c r="C1974" s="5" t="n">
        <v>-0.002610313951411191</v>
      </c>
      <c r="D1974" s="5" t="n">
        <v>-0.0007702997948377871</v>
      </c>
      <c r="E1974" s="5" t="n">
        <v>-0.001720840714017979</v>
      </c>
      <c r="F1974" s="5" t="n">
        <v>-0.0001483877125576097</v>
      </c>
      <c r="G1974" s="5" t="n">
        <v>0.009040417553557729</v>
      </c>
      <c r="H1974" s="5" t="n">
        <v>3.247712142446398e-05</v>
      </c>
      <c r="I1974" s="5" t="n">
        <v>-0.0004745608311246809</v>
      </c>
      <c r="J1974" s="5" t="n">
        <v>0.002152357655978657</v>
      </c>
      <c r="K1974" s="5" t="n">
        <v>0.001422448029204869</v>
      </c>
      <c r="L1974" s="5" t="n">
        <v>-0.003445768253748375</v>
      </c>
      <c r="M1974" s="5">
        <f>SUMPRODUCT(Exposures!$B$6:$K$6,B1974:K1974)</f>
        <v/>
      </c>
      <c r="N1974" s="5">
        <f>IF(AND($A1974&gt;=DATE(2020,2,1),$A1974&lt;=DATE(2020,5,31)),$M1974,"")</f>
        <v/>
      </c>
      <c r="O1974" s="5">
        <f>IF(AND($A1974&gt;=DATE(2022,1,1),$A1974&lt;=DATE(2022,10,31)),$M1974,"")</f>
        <v/>
      </c>
      <c r="P1974" s="5">
        <f>IF(AND($A1974&gt;=DATE(2018,10,1),$A1974&lt;=DATE(2018,12,31)),$M1974,"")</f>
        <v/>
      </c>
      <c r="Q1974" s="5">
        <f>SUMPRODUCT(Exposures!$B$8:$K$8,B1974:K1974)</f>
        <v/>
      </c>
      <c r="R1974" s="5">
        <f>SUMPRODUCT(Exposures!$B$9:$K$9,B1974:K1974)</f>
        <v/>
      </c>
      <c r="S1974" s="5">
        <f>SUMPRODUCT(Exposures!$B$10:$K$10,B1974:K1974)</f>
        <v/>
      </c>
    </row>
    <row r="1975">
      <c r="A1975" s="1" t="n">
        <v>45324</v>
      </c>
      <c r="B1975" s="5" t="n">
        <v>0.001007040927100582</v>
      </c>
      <c r="C1975" s="5" t="n">
        <v>-0.001902299732927485</v>
      </c>
      <c r="D1975" s="5" t="n">
        <v>0.002963989787422584</v>
      </c>
      <c r="E1975" s="5" t="n">
        <v>-0.00105834888837885</v>
      </c>
      <c r="F1975" s="5" t="n">
        <v>0.00551340925788651</v>
      </c>
      <c r="G1975" s="5" t="n">
        <v>-0.002739677973592769</v>
      </c>
      <c r="H1975" s="5" t="n">
        <v>0.007144328198987177</v>
      </c>
      <c r="I1975" s="5" t="n">
        <v>0.0001422797397349449</v>
      </c>
      <c r="J1975" s="5" t="n">
        <v>0.0009408058731061449</v>
      </c>
      <c r="K1975" s="5" t="n">
        <v>-0.0005870921283751374</v>
      </c>
      <c r="L1975" s="5" t="n">
        <v>0.00137445811358303</v>
      </c>
      <c r="M1975" s="5">
        <f>SUMPRODUCT(Exposures!$B$6:$K$6,B1975:K1975)</f>
        <v/>
      </c>
      <c r="N1975" s="5">
        <f>IF(AND($A1975&gt;=DATE(2020,2,1),$A1975&lt;=DATE(2020,5,31)),$M1975,"")</f>
        <v/>
      </c>
      <c r="O1975" s="5">
        <f>IF(AND($A1975&gt;=DATE(2022,1,1),$A1975&lt;=DATE(2022,10,31)),$M1975,"")</f>
        <v/>
      </c>
      <c r="P1975" s="5">
        <f>IF(AND($A1975&gt;=DATE(2018,10,1),$A1975&lt;=DATE(2018,12,31)),$M1975,"")</f>
        <v/>
      </c>
      <c r="Q1975" s="5">
        <f>SUMPRODUCT(Exposures!$B$8:$K$8,B1975:K1975)</f>
        <v/>
      </c>
      <c r="R1975" s="5">
        <f>SUMPRODUCT(Exposures!$B$9:$K$9,B1975:K1975)</f>
        <v/>
      </c>
      <c r="S1975" s="5">
        <f>SUMPRODUCT(Exposures!$B$10:$K$10,B1975:K1975)</f>
        <v/>
      </c>
    </row>
    <row r="1976">
      <c r="A1976" s="1" t="n">
        <v>45327</v>
      </c>
      <c r="B1976" s="5" t="n">
        <v>-0.003746347811584116</v>
      </c>
      <c r="C1976" s="5" t="n">
        <v>-0.0009200827259068219</v>
      </c>
      <c r="D1976" s="5" t="n">
        <v>8.868511468703685e-05</v>
      </c>
      <c r="E1976" s="5" t="n">
        <v>-0.001766200480701286</v>
      </c>
      <c r="F1976" s="5" t="n">
        <v>0.0009876046268738024</v>
      </c>
      <c r="G1976" s="5" t="n">
        <v>-0.01383351632753579</v>
      </c>
      <c r="H1976" s="5" t="n">
        <v>0.004195646903164438</v>
      </c>
      <c r="I1976" s="5" t="n">
        <v>-0.001188632032660202</v>
      </c>
      <c r="J1976" s="5" t="n">
        <v>-0.001466958122630703</v>
      </c>
      <c r="K1976" s="5" t="n">
        <v>0.003798192239320776</v>
      </c>
      <c r="L1976" s="5" t="n">
        <v>0.00253235573882717</v>
      </c>
      <c r="M1976" s="5">
        <f>SUMPRODUCT(Exposures!$B$6:$K$6,B1976:K1976)</f>
        <v/>
      </c>
      <c r="N1976" s="5">
        <f>IF(AND($A1976&gt;=DATE(2020,2,1),$A1976&lt;=DATE(2020,5,31)),$M1976,"")</f>
        <v/>
      </c>
      <c r="O1976" s="5">
        <f>IF(AND($A1976&gt;=DATE(2022,1,1),$A1976&lt;=DATE(2022,10,31)),$M1976,"")</f>
        <v/>
      </c>
      <c r="P1976" s="5">
        <f>IF(AND($A1976&gt;=DATE(2018,10,1),$A1976&lt;=DATE(2018,12,31)),$M1976,"")</f>
        <v/>
      </c>
      <c r="Q1976" s="5">
        <f>SUMPRODUCT(Exposures!$B$8:$K$8,B1976:K1976)</f>
        <v/>
      </c>
      <c r="R1976" s="5">
        <f>SUMPRODUCT(Exposures!$B$9:$K$9,B1976:K1976)</f>
        <v/>
      </c>
      <c r="S1976" s="5">
        <f>SUMPRODUCT(Exposures!$B$10:$K$10,B1976:K1976)</f>
        <v/>
      </c>
    </row>
    <row r="1977">
      <c r="A1977" s="1" t="n">
        <v>45328</v>
      </c>
      <c r="B1977" s="5" t="n">
        <v>-0.00219953973942306</v>
      </c>
      <c r="C1977" s="5" t="n">
        <v>-0.001688249460699882</v>
      </c>
      <c r="D1977" s="5" t="n">
        <v>0.001057315934009907</v>
      </c>
      <c r="E1977" s="5" t="n">
        <v>-0.003343912787538094</v>
      </c>
      <c r="F1977" s="5" t="n">
        <v>-0.000846081716151542</v>
      </c>
      <c r="G1977" s="5" t="n">
        <v>0.008765794976114826</v>
      </c>
      <c r="H1977" s="5" t="n">
        <v>-0.005430997125072099</v>
      </c>
      <c r="I1977" s="5" t="n">
        <v>-0.002720157502352446</v>
      </c>
      <c r="J1977" s="5" t="n">
        <v>0.007304055418013424</v>
      </c>
      <c r="K1977" s="5" t="n">
        <v>0.003065832309383592</v>
      </c>
      <c r="L1977" s="5" t="n">
        <v>0.002088557620832769</v>
      </c>
      <c r="M1977" s="5">
        <f>SUMPRODUCT(Exposures!$B$6:$K$6,B1977:K1977)</f>
        <v/>
      </c>
      <c r="N1977" s="5">
        <f>IF(AND($A1977&gt;=DATE(2020,2,1),$A1977&lt;=DATE(2020,5,31)),$M1977,"")</f>
        <v/>
      </c>
      <c r="O1977" s="5">
        <f>IF(AND($A1977&gt;=DATE(2022,1,1),$A1977&lt;=DATE(2022,10,31)),$M1977,"")</f>
        <v/>
      </c>
      <c r="P1977" s="5">
        <f>IF(AND($A1977&gt;=DATE(2018,10,1),$A1977&lt;=DATE(2018,12,31)),$M1977,"")</f>
        <v/>
      </c>
      <c r="Q1977" s="5">
        <f>SUMPRODUCT(Exposures!$B$8:$K$8,B1977:K1977)</f>
        <v/>
      </c>
      <c r="R1977" s="5">
        <f>SUMPRODUCT(Exposures!$B$9:$K$9,B1977:K1977)</f>
        <v/>
      </c>
      <c r="S1977" s="5">
        <f>SUMPRODUCT(Exposures!$B$10:$K$10,B1977:K1977)</f>
        <v/>
      </c>
    </row>
    <row r="1978">
      <c r="A1978" s="1" t="n">
        <v>45329</v>
      </c>
      <c r="B1978" s="5" t="n">
        <v>0.002637323981414327</v>
      </c>
      <c r="C1978" s="5" t="n">
        <v>0.001201893327083574</v>
      </c>
      <c r="D1978" s="5" t="n">
        <v>0.0001931963292705062</v>
      </c>
      <c r="E1978" s="5" t="n">
        <v>-0.0009847151335476982</v>
      </c>
      <c r="F1978" s="5" t="n">
        <v>0.002910327602672949</v>
      </c>
      <c r="G1978" s="5" t="n">
        <v>0.001464604779845837</v>
      </c>
      <c r="H1978" s="5" t="n">
        <v>0.005351220690346211</v>
      </c>
      <c r="I1978" s="5" t="n">
        <v>-0.0001797086435009658</v>
      </c>
      <c r="J1978" s="5" t="n">
        <v>-0.006420858648878429</v>
      </c>
      <c r="K1978" s="5" t="n">
        <v>-0.006201915277452326</v>
      </c>
      <c r="L1978" s="5" t="n">
        <v>-0.001682142230839101</v>
      </c>
      <c r="M1978" s="5">
        <f>SUMPRODUCT(Exposures!$B$6:$K$6,B1978:K1978)</f>
        <v/>
      </c>
      <c r="N1978" s="5">
        <f>IF(AND($A1978&gt;=DATE(2020,2,1),$A1978&lt;=DATE(2020,5,31)),$M1978,"")</f>
        <v/>
      </c>
      <c r="O1978" s="5">
        <f>IF(AND($A1978&gt;=DATE(2022,1,1),$A1978&lt;=DATE(2022,10,31)),$M1978,"")</f>
        <v/>
      </c>
      <c r="P1978" s="5">
        <f>IF(AND($A1978&gt;=DATE(2018,10,1),$A1978&lt;=DATE(2018,12,31)),$M1978,"")</f>
        <v/>
      </c>
      <c r="Q1978" s="5">
        <f>SUMPRODUCT(Exposures!$B$8:$K$8,B1978:K1978)</f>
        <v/>
      </c>
      <c r="R1978" s="5">
        <f>SUMPRODUCT(Exposures!$B$9:$K$9,B1978:K1978)</f>
        <v/>
      </c>
      <c r="S1978" s="5">
        <f>SUMPRODUCT(Exposures!$B$10:$K$10,B1978:K1978)</f>
        <v/>
      </c>
    </row>
    <row r="1979">
      <c r="A1979" s="1" t="n">
        <v>45330</v>
      </c>
      <c r="B1979" s="5" t="n">
        <v>0.006692498286975261</v>
      </c>
      <c r="C1979" s="5" t="n">
        <v>-0.003851572376733051</v>
      </c>
      <c r="D1979" s="5" t="n">
        <v>-0.0001307792755064934</v>
      </c>
      <c r="E1979" s="5" t="n">
        <v>0.0003462128624751973</v>
      </c>
      <c r="F1979" s="5" t="n">
        <v>-0.004686364191980424</v>
      </c>
      <c r="G1979" s="5" t="n">
        <v>0.008246338565557882</v>
      </c>
      <c r="H1979" s="5" t="n">
        <v>0.004851483132163006</v>
      </c>
      <c r="I1979" s="5" t="n">
        <v>-0.0006272498166644243</v>
      </c>
      <c r="J1979" s="5" t="n">
        <v>-0.002547650271686399</v>
      </c>
      <c r="K1979" s="5" t="n">
        <v>-0.001231884239822421</v>
      </c>
      <c r="L1979" s="5" t="n">
        <v>-0.001060877099526664</v>
      </c>
      <c r="M1979" s="5">
        <f>SUMPRODUCT(Exposures!$B$6:$K$6,B1979:K1979)</f>
        <v/>
      </c>
      <c r="N1979" s="5">
        <f>IF(AND($A1979&gt;=DATE(2020,2,1),$A1979&lt;=DATE(2020,5,31)),$M1979,"")</f>
        <v/>
      </c>
      <c r="O1979" s="5">
        <f>IF(AND($A1979&gt;=DATE(2022,1,1),$A1979&lt;=DATE(2022,10,31)),$M1979,"")</f>
        <v/>
      </c>
      <c r="P1979" s="5">
        <f>IF(AND($A1979&gt;=DATE(2018,10,1),$A1979&lt;=DATE(2018,12,31)),$M1979,"")</f>
        <v/>
      </c>
      <c r="Q1979" s="5">
        <f>SUMPRODUCT(Exposures!$B$8:$K$8,B1979:K1979)</f>
        <v/>
      </c>
      <c r="R1979" s="5">
        <f>SUMPRODUCT(Exposures!$B$9:$K$9,B1979:K1979)</f>
        <v/>
      </c>
      <c r="S1979" s="5">
        <f>SUMPRODUCT(Exposures!$B$10:$K$10,B1979:K1979)</f>
        <v/>
      </c>
    </row>
    <row r="1980">
      <c r="A1980" s="1" t="n">
        <v>45331</v>
      </c>
      <c r="B1980" s="5" t="n">
        <v>0.00509466014882128</v>
      </c>
      <c r="C1980" s="5" t="n">
        <v>0.002719171507696719</v>
      </c>
      <c r="D1980" s="5" t="n">
        <v>0.0007645945714915551</v>
      </c>
      <c r="E1980" s="5" t="n">
        <v>-0.001197306848970289</v>
      </c>
      <c r="F1980" s="5" t="n">
        <v>-0.00780892118172183</v>
      </c>
      <c r="G1980" s="5" t="n">
        <v>0.01102447960224038</v>
      </c>
      <c r="H1980" s="5" t="n">
        <v>0.006126063519547073</v>
      </c>
      <c r="I1980" s="5" t="n">
        <v>0.002309784977238557</v>
      </c>
      <c r="J1980" s="5" t="n">
        <v>0.002559703598667572</v>
      </c>
      <c r="K1980" s="5" t="n">
        <v>0.004307276584277949</v>
      </c>
      <c r="L1980" s="5" t="n">
        <v>-0.002037609710742419</v>
      </c>
      <c r="M1980" s="5">
        <f>SUMPRODUCT(Exposures!$B$6:$K$6,B1980:K1980)</f>
        <v/>
      </c>
      <c r="N1980" s="5">
        <f>IF(AND($A1980&gt;=DATE(2020,2,1),$A1980&lt;=DATE(2020,5,31)),$M1980,"")</f>
        <v/>
      </c>
      <c r="O1980" s="5">
        <f>IF(AND($A1980&gt;=DATE(2022,1,1),$A1980&lt;=DATE(2022,10,31)),$M1980,"")</f>
        <v/>
      </c>
      <c r="P1980" s="5">
        <f>IF(AND($A1980&gt;=DATE(2018,10,1),$A1980&lt;=DATE(2018,12,31)),$M1980,"")</f>
        <v/>
      </c>
      <c r="Q1980" s="5">
        <f>SUMPRODUCT(Exposures!$B$8:$K$8,B1980:K1980)</f>
        <v/>
      </c>
      <c r="R1980" s="5">
        <f>SUMPRODUCT(Exposures!$B$9:$K$9,B1980:K1980)</f>
        <v/>
      </c>
      <c r="S1980" s="5">
        <f>SUMPRODUCT(Exposures!$B$10:$K$10,B1980:K1980)</f>
        <v/>
      </c>
    </row>
    <row r="1981">
      <c r="A1981" s="1" t="n">
        <v>45334</v>
      </c>
      <c r="B1981" s="5" t="n">
        <v>-0.001318585219536429</v>
      </c>
      <c r="C1981" s="5" t="n">
        <v>0.004006274284438057</v>
      </c>
      <c r="D1981" s="5" t="n">
        <v>-0.0001979733434759881</v>
      </c>
      <c r="E1981" s="5" t="n">
        <v>0.001221148975087612</v>
      </c>
      <c r="F1981" s="5" t="n">
        <v>-0.001887442082635957</v>
      </c>
      <c r="G1981" s="5" t="n">
        <v>0.01109599869281127</v>
      </c>
      <c r="H1981" s="5" t="n">
        <v>-0.003537535660559034</v>
      </c>
      <c r="I1981" s="5" t="n">
        <v>-0.0005208733922188112</v>
      </c>
      <c r="J1981" s="5" t="n">
        <v>0.009923564498999143</v>
      </c>
      <c r="K1981" s="5" t="n">
        <v>-0.0006042214284824436</v>
      </c>
      <c r="L1981" s="5" t="n">
        <v>0.001454274111225147</v>
      </c>
      <c r="M1981" s="5">
        <f>SUMPRODUCT(Exposures!$B$6:$K$6,B1981:K1981)</f>
        <v/>
      </c>
      <c r="N1981" s="5">
        <f>IF(AND($A1981&gt;=DATE(2020,2,1),$A1981&lt;=DATE(2020,5,31)),$M1981,"")</f>
        <v/>
      </c>
      <c r="O1981" s="5">
        <f>IF(AND($A1981&gt;=DATE(2022,1,1),$A1981&lt;=DATE(2022,10,31)),$M1981,"")</f>
        <v/>
      </c>
      <c r="P1981" s="5">
        <f>IF(AND($A1981&gt;=DATE(2018,10,1),$A1981&lt;=DATE(2018,12,31)),$M1981,"")</f>
        <v/>
      </c>
      <c r="Q1981" s="5">
        <f>SUMPRODUCT(Exposures!$B$8:$K$8,B1981:K1981)</f>
        <v/>
      </c>
      <c r="R1981" s="5">
        <f>SUMPRODUCT(Exposures!$B$9:$K$9,B1981:K1981)</f>
        <v/>
      </c>
      <c r="S1981" s="5">
        <f>SUMPRODUCT(Exposures!$B$10:$K$10,B1981:K1981)</f>
        <v/>
      </c>
    </row>
    <row r="1982">
      <c r="A1982" s="1" t="n">
        <v>45335</v>
      </c>
      <c r="B1982" s="5" t="n">
        <v>-0.01511619300512001</v>
      </c>
      <c r="C1982" s="5" t="n">
        <v>-0.0002643054100961205</v>
      </c>
      <c r="D1982" s="5" t="n">
        <v>-0.0006423985612804752</v>
      </c>
      <c r="E1982" s="5" t="n">
        <v>0.003630533284071654</v>
      </c>
      <c r="F1982" s="5" t="n">
        <v>0.007280984109644482</v>
      </c>
      <c r="G1982" s="5" t="n">
        <v>-0.03046615597155019</v>
      </c>
      <c r="H1982" s="5" t="n">
        <v>0.00589538537670919</v>
      </c>
      <c r="I1982" s="5" t="n">
        <v>-1.168802324639541e-05</v>
      </c>
      <c r="J1982" s="5" t="n">
        <v>-0.003673295990147561</v>
      </c>
      <c r="K1982" s="5" t="n">
        <v>-0.002633670520889407</v>
      </c>
      <c r="L1982" s="5" t="n">
        <v>-7.377507104046332e-05</v>
      </c>
      <c r="M1982" s="5">
        <f>SUMPRODUCT(Exposures!$B$6:$K$6,B1982:K1982)</f>
        <v/>
      </c>
      <c r="N1982" s="5">
        <f>IF(AND($A1982&gt;=DATE(2020,2,1),$A1982&lt;=DATE(2020,5,31)),$M1982,"")</f>
        <v/>
      </c>
      <c r="O1982" s="5">
        <f>IF(AND($A1982&gt;=DATE(2022,1,1),$A1982&lt;=DATE(2022,10,31)),$M1982,"")</f>
        <v/>
      </c>
      <c r="P1982" s="5">
        <f>IF(AND($A1982&gt;=DATE(2018,10,1),$A1982&lt;=DATE(2018,12,31)),$M1982,"")</f>
        <v/>
      </c>
      <c r="Q1982" s="5">
        <f>SUMPRODUCT(Exposures!$B$8:$K$8,B1982:K1982)</f>
        <v/>
      </c>
      <c r="R1982" s="5">
        <f>SUMPRODUCT(Exposures!$B$9:$K$9,B1982:K1982)</f>
        <v/>
      </c>
      <c r="S1982" s="5">
        <f>SUMPRODUCT(Exposures!$B$10:$K$10,B1982:K1982)</f>
        <v/>
      </c>
    </row>
    <row r="1983">
      <c r="A1983" s="1" t="n">
        <v>45336</v>
      </c>
      <c r="B1983" s="5" t="n">
        <v>0.005470355867175383</v>
      </c>
      <c r="C1983" s="5" t="n">
        <v>-0.004309088494692486</v>
      </c>
      <c r="D1983" s="5" t="n">
        <v>0.001030940905970447</v>
      </c>
      <c r="E1983" s="5" t="n">
        <v>-0.0007315469469461866</v>
      </c>
      <c r="F1983" s="5" t="n">
        <v>-0.00539326132159771</v>
      </c>
      <c r="G1983" s="5" t="n">
        <v>0.01807516088018321</v>
      </c>
      <c r="H1983" s="5" t="n">
        <v>0.002315546626414211</v>
      </c>
      <c r="I1983" s="5" t="n">
        <v>0.001435311951373959</v>
      </c>
      <c r="J1983" s="5" t="n">
        <v>0.004261144005433422</v>
      </c>
      <c r="K1983" s="5" t="n">
        <v>0.001767306529166427</v>
      </c>
      <c r="L1983" s="5" t="n">
        <v>0.002733782184557544</v>
      </c>
      <c r="M1983" s="5">
        <f>SUMPRODUCT(Exposures!$B$6:$K$6,B1983:K1983)</f>
        <v/>
      </c>
      <c r="N1983" s="5">
        <f>IF(AND($A1983&gt;=DATE(2020,2,1),$A1983&lt;=DATE(2020,5,31)),$M1983,"")</f>
        <v/>
      </c>
      <c r="O1983" s="5">
        <f>IF(AND($A1983&gt;=DATE(2022,1,1),$A1983&lt;=DATE(2022,10,31)),$M1983,"")</f>
        <v/>
      </c>
      <c r="P1983" s="5">
        <f>IF(AND($A1983&gt;=DATE(2018,10,1),$A1983&lt;=DATE(2018,12,31)),$M1983,"")</f>
        <v/>
      </c>
      <c r="Q1983" s="5">
        <f>SUMPRODUCT(Exposures!$B$8:$K$8,B1983:K1983)</f>
        <v/>
      </c>
      <c r="R1983" s="5">
        <f>SUMPRODUCT(Exposures!$B$9:$K$9,B1983:K1983)</f>
        <v/>
      </c>
      <c r="S1983" s="5">
        <f>SUMPRODUCT(Exposures!$B$10:$K$10,B1983:K1983)</f>
        <v/>
      </c>
    </row>
    <row r="1984">
      <c r="A1984" s="1" t="n">
        <v>45337</v>
      </c>
      <c r="B1984" s="5" t="n">
        <v>0.002753267551873353</v>
      </c>
      <c r="C1984" s="5" t="n">
        <v>0.0006462230848265374</v>
      </c>
      <c r="D1984" s="5" t="n">
        <v>0.002607770666414577</v>
      </c>
      <c r="E1984" s="5" t="n">
        <v>0.0008196168419809409</v>
      </c>
      <c r="F1984" s="5" t="n">
        <v>-0.007146716074851971</v>
      </c>
      <c r="G1984" s="5" t="n">
        <v>0.01230140054452914</v>
      </c>
      <c r="H1984" s="5" t="n">
        <v>-0.003782029744645464</v>
      </c>
      <c r="I1984" s="5" t="n">
        <v>0.001284296840357614</v>
      </c>
      <c r="J1984" s="5" t="n">
        <v>-0.003080357942121464</v>
      </c>
      <c r="K1984" s="5" t="n">
        <v>0.001018618454794004</v>
      </c>
      <c r="L1984" s="5" t="n">
        <v>0.002801783952619919</v>
      </c>
      <c r="M1984" s="5">
        <f>SUMPRODUCT(Exposures!$B$6:$K$6,B1984:K1984)</f>
        <v/>
      </c>
      <c r="N1984" s="5">
        <f>IF(AND($A1984&gt;=DATE(2020,2,1),$A1984&lt;=DATE(2020,5,31)),$M1984,"")</f>
        <v/>
      </c>
      <c r="O1984" s="5">
        <f>IF(AND($A1984&gt;=DATE(2022,1,1),$A1984&lt;=DATE(2022,10,31)),$M1984,"")</f>
        <v/>
      </c>
      <c r="P1984" s="5">
        <f>IF(AND($A1984&gt;=DATE(2018,10,1),$A1984&lt;=DATE(2018,12,31)),$M1984,"")</f>
        <v/>
      </c>
      <c r="Q1984" s="5">
        <f>SUMPRODUCT(Exposures!$B$8:$K$8,B1984:K1984)</f>
        <v/>
      </c>
      <c r="R1984" s="5">
        <f>SUMPRODUCT(Exposures!$B$9:$K$9,B1984:K1984)</f>
        <v/>
      </c>
      <c r="S1984" s="5">
        <f>SUMPRODUCT(Exposures!$B$10:$K$10,B1984:K1984)</f>
        <v/>
      </c>
    </row>
    <row r="1985">
      <c r="A1985" s="1" t="n">
        <v>45338</v>
      </c>
      <c r="B1985" s="5" t="n">
        <v>-0.00860225065895559</v>
      </c>
      <c r="C1985" s="5" t="n">
        <v>0.0002970713619371496</v>
      </c>
      <c r="D1985" s="5" t="n">
        <v>-0.0004795258130549356</v>
      </c>
      <c r="E1985" s="5" t="n">
        <v>0.0007262768398447291</v>
      </c>
      <c r="F1985" s="5" t="n">
        <v>0.0020843588032899</v>
      </c>
      <c r="G1985" s="5" t="n">
        <v>-0.007209906662145138</v>
      </c>
      <c r="H1985" s="5" t="n">
        <v>-0.002508248041550308</v>
      </c>
      <c r="I1985" s="5" t="n">
        <v>-0.0006601146192199716</v>
      </c>
      <c r="J1985" s="5" t="n">
        <v>0.002196343639303818</v>
      </c>
      <c r="K1985" s="5" t="n">
        <v>0.0003124014575393436</v>
      </c>
      <c r="L1985" s="5" t="n">
        <v>0.002360518169806986</v>
      </c>
      <c r="M1985" s="5">
        <f>SUMPRODUCT(Exposures!$B$6:$K$6,B1985:K1985)</f>
        <v/>
      </c>
      <c r="N1985" s="5">
        <f>IF(AND($A1985&gt;=DATE(2020,2,1),$A1985&lt;=DATE(2020,5,31)),$M1985,"")</f>
        <v/>
      </c>
      <c r="O1985" s="5">
        <f>IF(AND($A1985&gt;=DATE(2022,1,1),$A1985&lt;=DATE(2022,10,31)),$M1985,"")</f>
        <v/>
      </c>
      <c r="P1985" s="5">
        <f>IF(AND($A1985&gt;=DATE(2018,10,1),$A1985&lt;=DATE(2018,12,31)),$M1985,"")</f>
        <v/>
      </c>
      <c r="Q1985" s="5">
        <f>SUMPRODUCT(Exposures!$B$8:$K$8,B1985:K1985)</f>
        <v/>
      </c>
      <c r="R1985" s="5">
        <f>SUMPRODUCT(Exposures!$B$9:$K$9,B1985:K1985)</f>
        <v/>
      </c>
      <c r="S1985" s="5">
        <f>SUMPRODUCT(Exposures!$B$10:$K$10,B1985:K1985)</f>
        <v/>
      </c>
    </row>
    <row r="1986">
      <c r="A1986" s="1" t="n">
        <v>45342</v>
      </c>
      <c r="B1986" s="5" t="n">
        <v>-0.003206732976880892</v>
      </c>
      <c r="C1986" s="5" t="n">
        <v>-0.001861145286116455</v>
      </c>
      <c r="D1986" s="5" t="n">
        <v>0.002068620058817154</v>
      </c>
      <c r="E1986" s="5" t="n">
        <v>-0.0006938936912521349</v>
      </c>
      <c r="F1986" s="5" t="n">
        <v>-0.0003554462251569236</v>
      </c>
      <c r="G1986" s="5" t="n">
        <v>-0.008879122401658234</v>
      </c>
      <c r="H1986" s="5" t="n">
        <v>-0.002860598366306251</v>
      </c>
      <c r="I1986" s="5" t="n">
        <v>-0.00071174582019393</v>
      </c>
      <c r="J1986" s="5" t="n">
        <v>-0.0057007802403193</v>
      </c>
      <c r="K1986" s="5" t="n">
        <v>0.00157028364938578</v>
      </c>
      <c r="L1986" s="5" t="n">
        <v>0.0002294983434308832</v>
      </c>
      <c r="M1986" s="5">
        <f>SUMPRODUCT(Exposures!$B$6:$K$6,B1986:K1986)</f>
        <v/>
      </c>
      <c r="N1986" s="5">
        <f>IF(AND($A1986&gt;=DATE(2020,2,1),$A1986&lt;=DATE(2020,5,31)),$M1986,"")</f>
        <v/>
      </c>
      <c r="O1986" s="5">
        <f>IF(AND($A1986&gt;=DATE(2022,1,1),$A1986&lt;=DATE(2022,10,31)),$M1986,"")</f>
        <v/>
      </c>
      <c r="P1986" s="5">
        <f>IF(AND($A1986&gt;=DATE(2018,10,1),$A1986&lt;=DATE(2018,12,31)),$M1986,"")</f>
        <v/>
      </c>
      <c r="Q1986" s="5">
        <f>SUMPRODUCT(Exposures!$B$8:$K$8,B1986:K1986)</f>
        <v/>
      </c>
      <c r="R1986" s="5">
        <f>SUMPRODUCT(Exposures!$B$9:$K$9,B1986:K1986)</f>
        <v/>
      </c>
      <c r="S1986" s="5">
        <f>SUMPRODUCT(Exposures!$B$10:$K$10,B1986:K1986)</f>
        <v/>
      </c>
    </row>
    <row r="1987">
      <c r="A1987" s="1" t="n">
        <v>45343</v>
      </c>
      <c r="B1987" s="5" t="n">
        <v>-0.002233545252137514</v>
      </c>
      <c r="C1987" s="5" t="n">
        <v>0.0005100312682158803</v>
      </c>
      <c r="D1987" s="5" t="n">
        <v>0.003128395609693586</v>
      </c>
      <c r="E1987" s="5" t="n">
        <v>-0.00278349803685572</v>
      </c>
      <c r="F1987" s="5" t="n">
        <v>0.001503859760226907</v>
      </c>
      <c r="G1987" s="5" t="n">
        <v>-0.001862602700839389</v>
      </c>
      <c r="H1987" s="5" t="n">
        <v>-0.003775392037761537</v>
      </c>
      <c r="I1987" s="5" t="n">
        <v>-0.00260913523891299</v>
      </c>
      <c r="J1987" s="5" t="n">
        <v>-0.004274348680003713</v>
      </c>
      <c r="K1987" s="5" t="n">
        <v>0.003691669697629239</v>
      </c>
      <c r="L1987" s="5" t="n">
        <v>0.002209259170972195</v>
      </c>
      <c r="M1987" s="5">
        <f>SUMPRODUCT(Exposures!$B$6:$K$6,B1987:K1987)</f>
        <v/>
      </c>
      <c r="N1987" s="5">
        <f>IF(AND($A1987&gt;=DATE(2020,2,1),$A1987&lt;=DATE(2020,5,31)),$M1987,"")</f>
        <v/>
      </c>
      <c r="O1987" s="5">
        <f>IF(AND($A1987&gt;=DATE(2022,1,1),$A1987&lt;=DATE(2022,10,31)),$M1987,"")</f>
        <v/>
      </c>
      <c r="P1987" s="5">
        <f>IF(AND($A1987&gt;=DATE(2018,10,1),$A1987&lt;=DATE(2018,12,31)),$M1987,"")</f>
        <v/>
      </c>
      <c r="Q1987" s="5">
        <f>SUMPRODUCT(Exposures!$B$8:$K$8,B1987:K1987)</f>
        <v/>
      </c>
      <c r="R1987" s="5">
        <f>SUMPRODUCT(Exposures!$B$9:$K$9,B1987:K1987)</f>
        <v/>
      </c>
      <c r="S1987" s="5">
        <f>SUMPRODUCT(Exposures!$B$10:$K$10,B1987:K1987)</f>
        <v/>
      </c>
    </row>
    <row r="1988">
      <c r="A1988" s="1" t="n">
        <v>45344</v>
      </c>
      <c r="B1988" s="5" t="n">
        <v>0.0008390637380022562</v>
      </c>
      <c r="C1988" s="5" t="n">
        <v>0.001109495041162488</v>
      </c>
      <c r="D1988" s="5" t="n">
        <v>-0.00183533157972671</v>
      </c>
      <c r="E1988" s="5" t="n">
        <v>0.003328541595457465</v>
      </c>
      <c r="F1988" s="5" t="n">
        <v>0.01252704057589198</v>
      </c>
      <c r="G1988" s="5" t="n">
        <v>0.006302457166007028</v>
      </c>
      <c r="H1988" s="5" t="n">
        <v>0.004874291405800282</v>
      </c>
      <c r="I1988" s="5" t="n">
        <v>0.001093684698137975</v>
      </c>
      <c r="J1988" s="5" t="n">
        <v>0.0003357543931050373</v>
      </c>
      <c r="K1988" s="5" t="n">
        <v>-0.009582484618451795</v>
      </c>
      <c r="L1988" s="5" t="n">
        <v>-0.004890901306934938</v>
      </c>
      <c r="M1988" s="5">
        <f>SUMPRODUCT(Exposures!$B$6:$K$6,B1988:K1988)</f>
        <v/>
      </c>
      <c r="N1988" s="5">
        <f>IF(AND($A1988&gt;=DATE(2020,2,1),$A1988&lt;=DATE(2020,5,31)),$M1988,"")</f>
        <v/>
      </c>
      <c r="O1988" s="5">
        <f>IF(AND($A1988&gt;=DATE(2022,1,1),$A1988&lt;=DATE(2022,10,31)),$M1988,"")</f>
        <v/>
      </c>
      <c r="P1988" s="5">
        <f>IF(AND($A1988&gt;=DATE(2018,10,1),$A1988&lt;=DATE(2018,12,31)),$M1988,"")</f>
        <v/>
      </c>
      <c r="Q1988" s="5">
        <f>SUMPRODUCT(Exposures!$B$8:$K$8,B1988:K1988)</f>
        <v/>
      </c>
      <c r="R1988" s="5">
        <f>SUMPRODUCT(Exposures!$B$9:$K$9,B1988:K1988)</f>
        <v/>
      </c>
      <c r="S1988" s="5">
        <f>SUMPRODUCT(Exposures!$B$10:$K$10,B1988:K1988)</f>
        <v/>
      </c>
    </row>
    <row r="1989">
      <c r="A1989" s="1" t="n">
        <v>45345</v>
      </c>
      <c r="B1989" s="5" t="n">
        <v>-0.004336066058221601</v>
      </c>
      <c r="C1989" s="5" t="n">
        <v>0.001947972262937332</v>
      </c>
      <c r="D1989" s="5" t="n">
        <v>0.001047069330269042</v>
      </c>
      <c r="E1989" s="5" t="n">
        <v>0.0003426626319331837</v>
      </c>
      <c r="F1989" s="5" t="n">
        <v>0.002999043254269283</v>
      </c>
      <c r="G1989" s="5" t="n">
        <v>0.0003926443348309067</v>
      </c>
      <c r="H1989" s="5" t="n">
        <v>-0.001358378111554612</v>
      </c>
      <c r="I1989" s="5" t="n">
        <v>-0.0007600892836684119</v>
      </c>
      <c r="J1989" s="5" t="n">
        <v>-0.0007177780914977142</v>
      </c>
      <c r="K1989" s="5" t="n">
        <v>-0.003886203557166321</v>
      </c>
      <c r="L1989" s="5" t="n">
        <v>0.0004000260318870527</v>
      </c>
      <c r="M1989" s="5">
        <f>SUMPRODUCT(Exposures!$B$6:$K$6,B1989:K1989)</f>
        <v/>
      </c>
      <c r="N1989" s="5">
        <f>IF(AND($A1989&gt;=DATE(2020,2,1),$A1989&lt;=DATE(2020,5,31)),$M1989,"")</f>
        <v/>
      </c>
      <c r="O1989" s="5">
        <f>IF(AND($A1989&gt;=DATE(2022,1,1),$A1989&lt;=DATE(2022,10,31)),$M1989,"")</f>
        <v/>
      </c>
      <c r="P1989" s="5">
        <f>IF(AND($A1989&gt;=DATE(2018,10,1),$A1989&lt;=DATE(2018,12,31)),$M1989,"")</f>
        <v/>
      </c>
      <c r="Q1989" s="5">
        <f>SUMPRODUCT(Exposures!$B$8:$K$8,B1989:K1989)</f>
        <v/>
      </c>
      <c r="R1989" s="5">
        <f>SUMPRODUCT(Exposures!$B$9:$K$9,B1989:K1989)</f>
        <v/>
      </c>
      <c r="S1989" s="5">
        <f>SUMPRODUCT(Exposures!$B$10:$K$10,B1989:K1989)</f>
        <v/>
      </c>
    </row>
    <row r="1990">
      <c r="A1990" s="1" t="n">
        <v>45348</v>
      </c>
      <c r="B1990" s="5" t="n">
        <v>0.001608257276590543</v>
      </c>
      <c r="C1990" s="5" t="n">
        <v>0.002541360338641947</v>
      </c>
      <c r="D1990" s="5" t="n">
        <v>-0.0008708644996524747</v>
      </c>
      <c r="E1990" s="5" t="n">
        <v>-0.002006619011840641</v>
      </c>
      <c r="F1990" s="5" t="n">
        <v>-0.003869802071949897</v>
      </c>
      <c r="G1990" s="5" t="n">
        <v>0.001766879345987085</v>
      </c>
      <c r="H1990" s="5" t="n">
        <v>0.003056723014709077</v>
      </c>
      <c r="I1990" s="5" t="n">
        <v>0.004216992514456077</v>
      </c>
      <c r="J1990" s="5" t="n">
        <v>0.006358114274535314</v>
      </c>
      <c r="K1990" s="5" t="n">
        <v>-0.00333659083780751</v>
      </c>
      <c r="L1990" s="5" t="n">
        <v>-0.005014560581889763</v>
      </c>
      <c r="M1990" s="5">
        <f>SUMPRODUCT(Exposures!$B$6:$K$6,B1990:K1990)</f>
        <v/>
      </c>
      <c r="N1990" s="5">
        <f>IF(AND($A1990&gt;=DATE(2020,2,1),$A1990&lt;=DATE(2020,5,31)),$M1990,"")</f>
        <v/>
      </c>
      <c r="O1990" s="5">
        <f>IF(AND($A1990&gt;=DATE(2022,1,1),$A1990&lt;=DATE(2022,10,31)),$M1990,"")</f>
        <v/>
      </c>
      <c r="P1990" s="5">
        <f>IF(AND($A1990&gt;=DATE(2018,10,1),$A1990&lt;=DATE(2018,12,31)),$M1990,"")</f>
        <v/>
      </c>
      <c r="Q1990" s="5">
        <f>SUMPRODUCT(Exposures!$B$8:$K$8,B1990:K1990)</f>
        <v/>
      </c>
      <c r="R1990" s="5">
        <f>SUMPRODUCT(Exposures!$B$9:$K$9,B1990:K1990)</f>
        <v/>
      </c>
      <c r="S1990" s="5">
        <f>SUMPRODUCT(Exposures!$B$10:$K$10,B1990:K1990)</f>
        <v/>
      </c>
    </row>
    <row r="1991">
      <c r="A1991" s="1" t="n">
        <v>45349</v>
      </c>
      <c r="B1991" s="5" t="n">
        <v>0.004106783066391693</v>
      </c>
      <c r="C1991" s="5" t="n">
        <v>-0.000365475026320868</v>
      </c>
      <c r="D1991" s="5" t="n">
        <v>0.0001085631811682437</v>
      </c>
      <c r="E1991" s="5" t="n">
        <v>-0.0006502298753948488</v>
      </c>
      <c r="F1991" s="5" t="n">
        <v>0.002916508019586921</v>
      </c>
      <c r="G1991" s="5" t="n">
        <v>0.008510242541348169</v>
      </c>
      <c r="H1991" s="5" t="n">
        <v>-0.00510995563538048</v>
      </c>
      <c r="I1991" s="5" t="n">
        <v>-0.001155222851716796</v>
      </c>
      <c r="J1991" s="5" t="n">
        <v>0.006115289052104868</v>
      </c>
      <c r="K1991" s="5" t="n">
        <v>-0.001897310982849969</v>
      </c>
      <c r="L1991" s="5" t="n">
        <v>-0.0006607893735656543</v>
      </c>
      <c r="M1991" s="5">
        <f>SUMPRODUCT(Exposures!$B$6:$K$6,B1991:K1991)</f>
        <v/>
      </c>
      <c r="N1991" s="5">
        <f>IF(AND($A1991&gt;=DATE(2020,2,1),$A1991&lt;=DATE(2020,5,31)),$M1991,"")</f>
        <v/>
      </c>
      <c r="O1991" s="5">
        <f>IF(AND($A1991&gt;=DATE(2022,1,1),$A1991&lt;=DATE(2022,10,31)),$M1991,"")</f>
        <v/>
      </c>
      <c r="P1991" s="5">
        <f>IF(AND($A1991&gt;=DATE(2018,10,1),$A1991&lt;=DATE(2018,12,31)),$M1991,"")</f>
        <v/>
      </c>
      <c r="Q1991" s="5">
        <f>SUMPRODUCT(Exposures!$B$8:$K$8,B1991:K1991)</f>
        <v/>
      </c>
      <c r="R1991" s="5">
        <f>SUMPRODUCT(Exposures!$B$9:$K$9,B1991:K1991)</f>
        <v/>
      </c>
      <c r="S1991" s="5">
        <f>SUMPRODUCT(Exposures!$B$10:$K$10,B1991:K1991)</f>
        <v/>
      </c>
    </row>
    <row r="1992">
      <c r="A1992" s="1" t="n">
        <v>45350</v>
      </c>
      <c r="B1992" s="5" t="n">
        <v>0.003654189123672131</v>
      </c>
      <c r="C1992" s="5" t="n">
        <v>0.002259752309517618</v>
      </c>
      <c r="D1992" s="5" t="n">
        <v>-0.001384829282163524</v>
      </c>
      <c r="E1992" s="5" t="n">
        <v>0.0007891728804724544</v>
      </c>
      <c r="F1992" s="5" t="n">
        <v>0.003108518992733123</v>
      </c>
      <c r="G1992" s="5" t="n">
        <v>-0.002572329615913151</v>
      </c>
      <c r="H1992" s="5" t="n">
        <v>-0.003307395597811678</v>
      </c>
      <c r="I1992" s="5" t="n">
        <v>0.0004832870379893214</v>
      </c>
      <c r="J1992" s="5" t="n">
        <v>-0.00872819950235006</v>
      </c>
      <c r="K1992" s="5" t="n">
        <v>-0.007974959887182189</v>
      </c>
      <c r="L1992" s="5" t="n">
        <v>-0.004220782935132252</v>
      </c>
      <c r="M1992" s="5">
        <f>SUMPRODUCT(Exposures!$B$6:$K$6,B1992:K1992)</f>
        <v/>
      </c>
      <c r="N1992" s="5">
        <f>IF(AND($A1992&gt;=DATE(2020,2,1),$A1992&lt;=DATE(2020,5,31)),$M1992,"")</f>
        <v/>
      </c>
      <c r="O1992" s="5">
        <f>IF(AND($A1992&gt;=DATE(2022,1,1),$A1992&lt;=DATE(2022,10,31)),$M1992,"")</f>
        <v/>
      </c>
      <c r="P1992" s="5">
        <f>IF(AND($A1992&gt;=DATE(2018,10,1),$A1992&lt;=DATE(2018,12,31)),$M1992,"")</f>
        <v/>
      </c>
      <c r="Q1992" s="5">
        <f>SUMPRODUCT(Exposures!$B$8:$K$8,B1992:K1992)</f>
        <v/>
      </c>
      <c r="R1992" s="5">
        <f>SUMPRODUCT(Exposures!$B$9:$K$9,B1992:K1992)</f>
        <v/>
      </c>
      <c r="S1992" s="5">
        <f>SUMPRODUCT(Exposures!$B$10:$K$10,B1992:K1992)</f>
        <v/>
      </c>
    </row>
    <row r="1993">
      <c r="A1993" s="1" t="n">
        <v>45351</v>
      </c>
      <c r="B1993" s="5" t="n">
        <v>0.005756134532346251</v>
      </c>
      <c r="C1993" s="5" t="n">
        <v>-0.001955715869489366</v>
      </c>
      <c r="D1993" s="5" t="n">
        <v>0.002166506228126528</v>
      </c>
      <c r="E1993" s="5" t="n">
        <v>-0.0009265948330536303</v>
      </c>
      <c r="F1993" s="5" t="n">
        <v>-0.001122040930585426</v>
      </c>
      <c r="G1993" s="5" t="n">
        <v>0.003450281245213445</v>
      </c>
      <c r="H1993" s="5" t="n">
        <v>0.00184638919338786</v>
      </c>
      <c r="I1993" s="5" t="n">
        <v>0.0008345884901853395</v>
      </c>
      <c r="J1993" s="5" t="n">
        <v>-0.001143580775896997</v>
      </c>
      <c r="K1993" s="5" t="n">
        <v>0.004082087703403446</v>
      </c>
      <c r="L1993" s="5" t="n">
        <v>0.002261874590528932</v>
      </c>
      <c r="M1993" s="5">
        <f>SUMPRODUCT(Exposures!$B$6:$K$6,B1993:K1993)</f>
        <v/>
      </c>
      <c r="N1993" s="5">
        <f>IF(AND($A1993&gt;=DATE(2020,2,1),$A1993&lt;=DATE(2020,5,31)),$M1993,"")</f>
        <v/>
      </c>
      <c r="O1993" s="5">
        <f>IF(AND($A1993&gt;=DATE(2022,1,1),$A1993&lt;=DATE(2022,10,31)),$M1993,"")</f>
        <v/>
      </c>
      <c r="P1993" s="5">
        <f>IF(AND($A1993&gt;=DATE(2018,10,1),$A1993&lt;=DATE(2018,12,31)),$M1993,"")</f>
        <v/>
      </c>
      <c r="Q1993" s="5">
        <f>SUMPRODUCT(Exposures!$B$8:$K$8,B1993:K1993)</f>
        <v/>
      </c>
      <c r="R1993" s="5">
        <f>SUMPRODUCT(Exposures!$B$9:$K$9,B1993:K1993)</f>
        <v/>
      </c>
      <c r="S1993" s="5">
        <f>SUMPRODUCT(Exposures!$B$10:$K$10,B1993:K1993)</f>
        <v/>
      </c>
    </row>
    <row r="1994">
      <c r="A1994" s="1" t="n">
        <v>45352</v>
      </c>
      <c r="B1994" s="5" t="n">
        <v>0.004487883225106581</v>
      </c>
      <c r="C1994" s="5" t="n">
        <v>-0.0002903996705195789</v>
      </c>
      <c r="D1994" s="5" t="n">
        <v>-0.001330312144535826</v>
      </c>
      <c r="E1994" s="5" t="n">
        <v>-0.001491510026596586</v>
      </c>
      <c r="F1994" s="5" t="n">
        <v>0.006860921988411883</v>
      </c>
      <c r="G1994" s="5" t="n">
        <v>0.007595594047262929</v>
      </c>
      <c r="H1994" s="5" t="n">
        <v>0.001103530168903657</v>
      </c>
      <c r="I1994" s="5" t="n">
        <v>0.001243706981121429</v>
      </c>
      <c r="J1994" s="5" t="n">
        <v>0.0006068608545311655</v>
      </c>
      <c r="K1994" s="5" t="n">
        <v>-0.007158383591833677</v>
      </c>
      <c r="L1994" s="5" t="n">
        <v>-0.001600295903814358</v>
      </c>
      <c r="M1994" s="5">
        <f>SUMPRODUCT(Exposures!$B$6:$K$6,B1994:K1994)</f>
        <v/>
      </c>
      <c r="N1994" s="5">
        <f>IF(AND($A1994&gt;=DATE(2020,2,1),$A1994&lt;=DATE(2020,5,31)),$M1994,"")</f>
        <v/>
      </c>
      <c r="O1994" s="5">
        <f>IF(AND($A1994&gt;=DATE(2022,1,1),$A1994&lt;=DATE(2022,10,31)),$M1994,"")</f>
        <v/>
      </c>
      <c r="P1994" s="5">
        <f>IF(AND($A1994&gt;=DATE(2018,10,1),$A1994&lt;=DATE(2018,12,31)),$M1994,"")</f>
        <v/>
      </c>
      <c r="Q1994" s="5">
        <f>SUMPRODUCT(Exposures!$B$8:$K$8,B1994:K1994)</f>
        <v/>
      </c>
      <c r="R1994" s="5">
        <f>SUMPRODUCT(Exposures!$B$9:$K$9,B1994:K1994)</f>
        <v/>
      </c>
      <c r="S1994" s="5">
        <f>SUMPRODUCT(Exposures!$B$10:$K$10,B1994:K1994)</f>
        <v/>
      </c>
    </row>
    <row r="1995">
      <c r="A1995" s="1" t="n">
        <v>45355</v>
      </c>
      <c r="B1995" s="5" t="n">
        <v>-0.003727449649381986</v>
      </c>
      <c r="C1995" s="5" t="n">
        <v>-0.003650581230646598</v>
      </c>
      <c r="D1995" s="5" t="n">
        <v>0.002237659689953066</v>
      </c>
      <c r="E1995" s="5" t="n">
        <v>0.004173790595391715</v>
      </c>
      <c r="F1995" s="5" t="n">
        <v>0.000453992931532751</v>
      </c>
      <c r="G1995" s="5" t="n">
        <v>0.0005622411756283088</v>
      </c>
      <c r="H1995" s="5" t="n">
        <v>0.002742065181527644</v>
      </c>
      <c r="I1995" s="5" t="n">
        <v>0.002538661148091948</v>
      </c>
      <c r="J1995" s="5" t="n">
        <v>-0.004984092404911235</v>
      </c>
      <c r="K1995" s="5" t="n">
        <v>-0.008874446384621405</v>
      </c>
      <c r="L1995" s="5" t="n">
        <v>0.0007693416719008154</v>
      </c>
      <c r="M1995" s="5">
        <f>SUMPRODUCT(Exposures!$B$6:$K$6,B1995:K1995)</f>
        <v/>
      </c>
      <c r="N1995" s="5">
        <f>IF(AND($A1995&gt;=DATE(2020,2,1),$A1995&lt;=DATE(2020,5,31)),$M1995,"")</f>
        <v/>
      </c>
      <c r="O1995" s="5">
        <f>IF(AND($A1995&gt;=DATE(2022,1,1),$A1995&lt;=DATE(2022,10,31)),$M1995,"")</f>
        <v/>
      </c>
      <c r="P1995" s="5">
        <f>IF(AND($A1995&gt;=DATE(2018,10,1),$A1995&lt;=DATE(2018,12,31)),$M1995,"")</f>
        <v/>
      </c>
      <c r="Q1995" s="5">
        <f>SUMPRODUCT(Exposures!$B$8:$K$8,B1995:K1995)</f>
        <v/>
      </c>
      <c r="R1995" s="5">
        <f>SUMPRODUCT(Exposures!$B$9:$K$9,B1995:K1995)</f>
        <v/>
      </c>
      <c r="S1995" s="5">
        <f>SUMPRODUCT(Exposures!$B$10:$K$10,B1995:K1995)</f>
        <v/>
      </c>
    </row>
    <row r="1996">
      <c r="A1996" s="1" t="n">
        <v>45356</v>
      </c>
      <c r="B1996" s="5" t="n">
        <v>-0.008830050513863251</v>
      </c>
      <c r="C1996" s="5" t="n">
        <v>0.005213294525931317</v>
      </c>
      <c r="D1996" s="5" t="n">
        <v>0.0004337786801560914</v>
      </c>
      <c r="E1996" s="5" t="n">
        <v>0.002935808949861927</v>
      </c>
      <c r="F1996" s="5" t="n">
        <v>-0.0009044119845820573</v>
      </c>
      <c r="G1996" s="5" t="n">
        <v>-0.007563360190443484</v>
      </c>
      <c r="H1996" s="5" t="n">
        <v>0.001942557500659403</v>
      </c>
      <c r="I1996" s="5" t="n">
        <v>0.0007298895219644288</v>
      </c>
      <c r="J1996" s="5" t="n">
        <v>0.004299659158475883</v>
      </c>
      <c r="K1996" s="5" t="n">
        <v>0.0001100535202675562</v>
      </c>
      <c r="L1996" s="5" t="n">
        <v>0.002667068294825984</v>
      </c>
      <c r="M1996" s="5">
        <f>SUMPRODUCT(Exposures!$B$6:$K$6,B1996:K1996)</f>
        <v/>
      </c>
      <c r="N1996" s="5">
        <f>IF(AND($A1996&gt;=DATE(2020,2,1),$A1996&lt;=DATE(2020,5,31)),$M1996,"")</f>
        <v/>
      </c>
      <c r="O1996" s="5">
        <f>IF(AND($A1996&gt;=DATE(2022,1,1),$A1996&lt;=DATE(2022,10,31)),$M1996,"")</f>
        <v/>
      </c>
      <c r="P1996" s="5">
        <f>IF(AND($A1996&gt;=DATE(2018,10,1),$A1996&lt;=DATE(2018,12,31)),$M1996,"")</f>
        <v/>
      </c>
      <c r="Q1996" s="5">
        <f>SUMPRODUCT(Exposures!$B$8:$K$8,B1996:K1996)</f>
        <v/>
      </c>
      <c r="R1996" s="5">
        <f>SUMPRODUCT(Exposures!$B$9:$K$9,B1996:K1996)</f>
        <v/>
      </c>
      <c r="S1996" s="5">
        <f>SUMPRODUCT(Exposures!$B$10:$K$10,B1996:K1996)</f>
        <v/>
      </c>
    </row>
    <row r="1997">
      <c r="A1997" s="1" t="n">
        <v>45357</v>
      </c>
      <c r="B1997" s="5" t="n">
        <v>0.002929503638400082</v>
      </c>
      <c r="C1997" s="5" t="n">
        <v>-0.001157991082298145</v>
      </c>
      <c r="D1997" s="5" t="n">
        <v>0.002181737893853133</v>
      </c>
      <c r="E1997" s="5" t="n">
        <v>-0.001804058630067931</v>
      </c>
      <c r="F1997" s="5" t="n">
        <v>0.0040271645525324</v>
      </c>
      <c r="G1997" s="5" t="n">
        <v>0.009735166729086676</v>
      </c>
      <c r="H1997" s="5" t="n">
        <v>-0.003788109921515749</v>
      </c>
      <c r="I1997" s="5" t="n">
        <v>0.003985773358946547</v>
      </c>
      <c r="J1997" s="5" t="n">
        <v>0.0004724313385591002</v>
      </c>
      <c r="K1997" s="5" t="n">
        <v>-0.006724443154011378</v>
      </c>
      <c r="L1997" s="5" t="n">
        <v>-0.001216028137849671</v>
      </c>
      <c r="M1997" s="5">
        <f>SUMPRODUCT(Exposures!$B$6:$K$6,B1997:K1997)</f>
        <v/>
      </c>
      <c r="N1997" s="5">
        <f>IF(AND($A1997&gt;=DATE(2020,2,1),$A1997&lt;=DATE(2020,5,31)),$M1997,"")</f>
        <v/>
      </c>
      <c r="O1997" s="5">
        <f>IF(AND($A1997&gt;=DATE(2022,1,1),$A1997&lt;=DATE(2022,10,31)),$M1997,"")</f>
        <v/>
      </c>
      <c r="P1997" s="5">
        <f>IF(AND($A1997&gt;=DATE(2018,10,1),$A1997&lt;=DATE(2018,12,31)),$M1997,"")</f>
        <v/>
      </c>
      <c r="Q1997" s="5">
        <f>SUMPRODUCT(Exposures!$B$8:$K$8,B1997:K1997)</f>
        <v/>
      </c>
      <c r="R1997" s="5">
        <f>SUMPRODUCT(Exposures!$B$9:$K$9,B1997:K1997)</f>
        <v/>
      </c>
      <c r="S1997" s="5">
        <f>SUMPRODUCT(Exposures!$B$10:$K$10,B1997:K1997)</f>
        <v/>
      </c>
    </row>
    <row r="1998">
      <c r="A1998" s="1" t="n">
        <v>45358</v>
      </c>
      <c r="B1998" s="5" t="n">
        <v>0.005730107110326972</v>
      </c>
      <c r="C1998" s="5" t="n">
        <v>0.001420581105806931</v>
      </c>
      <c r="D1998" s="5" t="n">
        <v>0.0005068273584242009</v>
      </c>
      <c r="E1998" s="5" t="n">
        <v>-0.0006274932353277865</v>
      </c>
      <c r="F1998" s="5" t="n">
        <v>0.003570181530762591</v>
      </c>
      <c r="G1998" s="5" t="n">
        <v>0.006900371568670328</v>
      </c>
      <c r="H1998" s="5" t="n">
        <v>-0.00158426748727221</v>
      </c>
      <c r="I1998" s="5" t="n">
        <v>-0.0003280908464883398</v>
      </c>
      <c r="J1998" s="5" t="n">
        <v>-0.004509491260062335</v>
      </c>
      <c r="K1998" s="5" t="n">
        <v>-0.003289503994295948</v>
      </c>
      <c r="L1998" s="5" t="n">
        <v>-0.002642395753031713</v>
      </c>
      <c r="M1998" s="5">
        <f>SUMPRODUCT(Exposures!$B$6:$K$6,B1998:K1998)</f>
        <v/>
      </c>
      <c r="N1998" s="5">
        <f>IF(AND($A1998&gt;=DATE(2020,2,1),$A1998&lt;=DATE(2020,5,31)),$M1998,"")</f>
        <v/>
      </c>
      <c r="O1998" s="5">
        <f>IF(AND($A1998&gt;=DATE(2022,1,1),$A1998&lt;=DATE(2022,10,31)),$M1998,"")</f>
        <v/>
      </c>
      <c r="P1998" s="5">
        <f>IF(AND($A1998&gt;=DATE(2018,10,1),$A1998&lt;=DATE(2018,12,31)),$M1998,"")</f>
        <v/>
      </c>
      <c r="Q1998" s="5">
        <f>SUMPRODUCT(Exposures!$B$8:$K$8,B1998:K1998)</f>
        <v/>
      </c>
      <c r="R1998" s="5">
        <f>SUMPRODUCT(Exposures!$B$9:$K$9,B1998:K1998)</f>
        <v/>
      </c>
      <c r="S1998" s="5">
        <f>SUMPRODUCT(Exposures!$B$10:$K$10,B1998:K1998)</f>
        <v/>
      </c>
    </row>
    <row r="1999">
      <c r="A1999" s="1" t="n">
        <v>45359</v>
      </c>
      <c r="B1999" s="5" t="n">
        <v>-0.0007442785310881795</v>
      </c>
      <c r="C1999" s="5" t="n">
        <v>0.0004250650610105343</v>
      </c>
      <c r="D1999" s="5" t="n">
        <v>-0.001596704659683583</v>
      </c>
      <c r="E1999" s="5" t="n">
        <v>0.0006701832537007361</v>
      </c>
      <c r="F1999" s="5" t="n">
        <v>-0.002804247536320009</v>
      </c>
      <c r="G1999" s="5" t="n">
        <v>-0.0004746236541751344</v>
      </c>
      <c r="H1999" s="5" t="n">
        <v>-0.002881584754931168</v>
      </c>
      <c r="I1999" s="5" t="n">
        <v>-0.0005675705524528202</v>
      </c>
      <c r="J1999" s="5" t="n">
        <v>0.002831195523457498</v>
      </c>
      <c r="K1999" s="5" t="n">
        <v>0.004072250434562523</v>
      </c>
      <c r="L1999" s="5" t="n">
        <v>0.002352464162515062</v>
      </c>
      <c r="M1999" s="5">
        <f>SUMPRODUCT(Exposures!$B$6:$K$6,B1999:K1999)</f>
        <v/>
      </c>
      <c r="N1999" s="5">
        <f>IF(AND($A1999&gt;=DATE(2020,2,1),$A1999&lt;=DATE(2020,5,31)),$M1999,"")</f>
        <v/>
      </c>
      <c r="O1999" s="5">
        <f>IF(AND($A1999&gt;=DATE(2022,1,1),$A1999&lt;=DATE(2022,10,31)),$M1999,"")</f>
        <v/>
      </c>
      <c r="P1999" s="5">
        <f>IF(AND($A1999&gt;=DATE(2018,10,1),$A1999&lt;=DATE(2018,12,31)),$M1999,"")</f>
        <v/>
      </c>
      <c r="Q1999" s="5">
        <f>SUMPRODUCT(Exposures!$B$8:$K$8,B1999:K1999)</f>
        <v/>
      </c>
      <c r="R1999" s="5">
        <f>SUMPRODUCT(Exposures!$B$9:$K$9,B1999:K1999)</f>
        <v/>
      </c>
      <c r="S1999" s="5">
        <f>SUMPRODUCT(Exposures!$B$10:$K$10,B1999:K1999)</f>
        <v/>
      </c>
    </row>
    <row r="2000">
      <c r="A2000" s="1" t="n">
        <v>45362</v>
      </c>
      <c r="B2000" s="5" t="n">
        <v>-0.002293616721723685</v>
      </c>
      <c r="C2000" s="5" t="n">
        <v>0.001956167342661051</v>
      </c>
      <c r="D2000" s="5" t="n">
        <v>-0.00346504574174175</v>
      </c>
      <c r="E2000" s="5" t="n">
        <v>-0.0003586157287856126</v>
      </c>
      <c r="F2000" s="5" t="n">
        <v>-0.0039865114957981</v>
      </c>
      <c r="G2000" s="5" t="n">
        <v>-0.002368171873626754</v>
      </c>
      <c r="H2000" s="5" t="n">
        <v>-0.005303333916991628</v>
      </c>
      <c r="I2000" s="5" t="n">
        <v>-0.003135579210154104</v>
      </c>
      <c r="J2000" s="5" t="n">
        <v>-5.084788167288457e-05</v>
      </c>
      <c r="K2000" s="5" t="n">
        <v>0.0103606166424906</v>
      </c>
      <c r="L2000" s="5" t="n">
        <v>0.002948760088542594</v>
      </c>
      <c r="M2000" s="5">
        <f>SUMPRODUCT(Exposures!$B$6:$K$6,B2000:K2000)</f>
        <v/>
      </c>
      <c r="N2000" s="5">
        <f>IF(AND($A2000&gt;=DATE(2020,2,1),$A2000&lt;=DATE(2020,5,31)),$M2000,"")</f>
        <v/>
      </c>
      <c r="O2000" s="5">
        <f>IF(AND($A2000&gt;=DATE(2022,1,1),$A2000&lt;=DATE(2022,10,31)),$M2000,"")</f>
        <v/>
      </c>
      <c r="P2000" s="5">
        <f>IF(AND($A2000&gt;=DATE(2018,10,1),$A2000&lt;=DATE(2018,12,31)),$M2000,"")</f>
        <v/>
      </c>
      <c r="Q2000" s="5">
        <f>SUMPRODUCT(Exposures!$B$8:$K$8,B2000:K2000)</f>
        <v/>
      </c>
      <c r="R2000" s="5">
        <f>SUMPRODUCT(Exposures!$B$9:$K$9,B2000:K2000)</f>
        <v/>
      </c>
      <c r="S2000" s="5">
        <f>SUMPRODUCT(Exposures!$B$10:$K$10,B2000:K2000)</f>
        <v/>
      </c>
    </row>
    <row r="2001">
      <c r="A2001" s="1" t="n">
        <v>45363</v>
      </c>
      <c r="B2001" s="5" t="n">
        <v>0.002835582413790526</v>
      </c>
      <c r="C2001" s="5" t="n">
        <v>0.003350271632891921</v>
      </c>
      <c r="D2001" s="5" t="n">
        <v>0.001848765060691211</v>
      </c>
      <c r="E2001" s="5" t="n">
        <v>0.0007373297862731918</v>
      </c>
      <c r="F2001" s="5" t="n">
        <v>-0.006065555288129776</v>
      </c>
      <c r="G2001" s="5" t="n">
        <v>0.000414047563071147</v>
      </c>
      <c r="H2001" s="5" t="n">
        <v>0.005972826360524236</v>
      </c>
      <c r="I2001" s="5" t="n">
        <v>0.001613447750685663</v>
      </c>
      <c r="J2001" s="5" t="n">
        <v>-0.001858116044036863</v>
      </c>
      <c r="K2001" s="5" t="n">
        <v>0.005387878684452856</v>
      </c>
      <c r="L2001" s="5" t="n">
        <v>-0.0001622872914760974</v>
      </c>
      <c r="M2001" s="5">
        <f>SUMPRODUCT(Exposures!$B$6:$K$6,B2001:K2001)</f>
        <v/>
      </c>
      <c r="N2001" s="5">
        <f>IF(AND($A2001&gt;=DATE(2020,2,1),$A2001&lt;=DATE(2020,5,31)),$M2001,"")</f>
        <v/>
      </c>
      <c r="O2001" s="5">
        <f>IF(AND($A2001&gt;=DATE(2022,1,1),$A2001&lt;=DATE(2022,10,31)),$M2001,"")</f>
        <v/>
      </c>
      <c r="P2001" s="5">
        <f>IF(AND($A2001&gt;=DATE(2018,10,1),$A2001&lt;=DATE(2018,12,31)),$M2001,"")</f>
        <v/>
      </c>
      <c r="Q2001" s="5">
        <f>SUMPRODUCT(Exposures!$B$8:$K$8,B2001:K2001)</f>
        <v/>
      </c>
      <c r="R2001" s="5">
        <f>SUMPRODUCT(Exposures!$B$9:$K$9,B2001:K2001)</f>
        <v/>
      </c>
      <c r="S2001" s="5">
        <f>SUMPRODUCT(Exposures!$B$10:$K$10,B2001:K2001)</f>
        <v/>
      </c>
    </row>
    <row r="2002">
      <c r="A2002" s="1" t="n">
        <v>45364</v>
      </c>
      <c r="B2002" s="5" t="n">
        <v>-0.002012666728899392</v>
      </c>
      <c r="C2002" s="5" t="n">
        <v>0.002214416428423694</v>
      </c>
      <c r="D2002" s="5" t="n">
        <v>-9.813737840164334e-05</v>
      </c>
      <c r="E2002" s="5" t="n">
        <v>-0.0001982346736634054</v>
      </c>
      <c r="F2002" s="5" t="n">
        <v>-0.0033581294244679</v>
      </c>
      <c r="G2002" s="5" t="n">
        <v>0.002926693586259049</v>
      </c>
      <c r="H2002" s="5" t="n">
        <v>0.0017808660948853</v>
      </c>
      <c r="I2002" s="5" t="n">
        <v>-0.001657359273802424</v>
      </c>
      <c r="J2002" s="5" t="n">
        <v>0.006926183774515876</v>
      </c>
      <c r="K2002" s="5" t="n">
        <v>0.003380737549007433</v>
      </c>
      <c r="L2002" s="5" t="n">
        <v>0.001347639528769723</v>
      </c>
      <c r="M2002" s="5">
        <f>SUMPRODUCT(Exposures!$B$6:$K$6,B2002:K2002)</f>
        <v/>
      </c>
      <c r="N2002" s="5">
        <f>IF(AND($A2002&gt;=DATE(2020,2,1),$A2002&lt;=DATE(2020,5,31)),$M2002,"")</f>
        <v/>
      </c>
      <c r="O2002" s="5">
        <f>IF(AND($A2002&gt;=DATE(2022,1,1),$A2002&lt;=DATE(2022,10,31)),$M2002,"")</f>
        <v/>
      </c>
      <c r="P2002" s="5">
        <f>IF(AND($A2002&gt;=DATE(2018,10,1),$A2002&lt;=DATE(2018,12,31)),$M2002,"")</f>
        <v/>
      </c>
      <c r="Q2002" s="5">
        <f>SUMPRODUCT(Exposures!$B$8:$K$8,B2002:K2002)</f>
        <v/>
      </c>
      <c r="R2002" s="5">
        <f>SUMPRODUCT(Exposures!$B$9:$K$9,B2002:K2002)</f>
        <v/>
      </c>
      <c r="S2002" s="5">
        <f>SUMPRODUCT(Exposures!$B$10:$K$10,B2002:K2002)</f>
        <v/>
      </c>
    </row>
    <row r="2003">
      <c r="A2003" s="1" t="n">
        <v>45365</v>
      </c>
      <c r="B2003" s="5" t="n">
        <v>-0.001422453160176355</v>
      </c>
      <c r="C2003" s="5" t="n">
        <v>0.001545469455428675</v>
      </c>
      <c r="D2003" s="5" t="n">
        <v>0.0002823323688302333</v>
      </c>
      <c r="E2003" s="5" t="n">
        <v>-0.002729317343775613</v>
      </c>
      <c r="F2003" s="5" t="n">
        <v>-0.004804728231117555</v>
      </c>
      <c r="G2003" s="5" t="n">
        <v>-0.0141182434058913</v>
      </c>
      <c r="H2003" s="5" t="n">
        <v>0.002289341545146613</v>
      </c>
      <c r="I2003" s="5" t="n">
        <v>-0.002174609445000846</v>
      </c>
      <c r="J2003" s="5" t="n">
        <v>-0.007424286589229041</v>
      </c>
      <c r="K2003" s="5" t="n">
        <v>0.008265745903045563</v>
      </c>
      <c r="L2003" s="5" t="n">
        <v>-0.001454244502189678</v>
      </c>
      <c r="M2003" s="5">
        <f>SUMPRODUCT(Exposures!$B$6:$K$6,B2003:K2003)</f>
        <v/>
      </c>
      <c r="N2003" s="5">
        <f>IF(AND($A2003&gt;=DATE(2020,2,1),$A2003&lt;=DATE(2020,5,31)),$M2003,"")</f>
        <v/>
      </c>
      <c r="O2003" s="5">
        <f>IF(AND($A2003&gt;=DATE(2022,1,1),$A2003&lt;=DATE(2022,10,31)),$M2003,"")</f>
        <v/>
      </c>
      <c r="P2003" s="5">
        <f>IF(AND($A2003&gt;=DATE(2018,10,1),$A2003&lt;=DATE(2018,12,31)),$M2003,"")</f>
        <v/>
      </c>
      <c r="Q2003" s="5">
        <f>SUMPRODUCT(Exposures!$B$8:$K$8,B2003:K2003)</f>
        <v/>
      </c>
      <c r="R2003" s="5">
        <f>SUMPRODUCT(Exposures!$B$9:$K$9,B2003:K2003)</f>
        <v/>
      </c>
      <c r="S2003" s="5">
        <f>SUMPRODUCT(Exposures!$B$10:$K$10,B2003:K2003)</f>
        <v/>
      </c>
    </row>
    <row r="2004">
      <c r="A2004" s="1" t="n">
        <v>45366</v>
      </c>
      <c r="B2004" s="5" t="n">
        <v>-0.004297750248594549</v>
      </c>
      <c r="C2004" s="5" t="n">
        <v>5.868585571736838e-05</v>
      </c>
      <c r="D2004" s="5" t="n">
        <v>-0.005073580264230131</v>
      </c>
      <c r="E2004" s="5" t="n">
        <v>0.0008291328245526721</v>
      </c>
      <c r="F2004" s="5" t="n">
        <v>-0.0007683287182490541</v>
      </c>
      <c r="G2004" s="5" t="n">
        <v>0.001509699931265628</v>
      </c>
      <c r="H2004" s="5" t="n">
        <v>-0.001419084933058775</v>
      </c>
      <c r="I2004" s="5" t="n">
        <v>-0.00124627220554564</v>
      </c>
      <c r="J2004" s="5" t="n">
        <v>0.005669238724139492</v>
      </c>
      <c r="K2004" s="5" t="n">
        <v>-0.002918450147041674</v>
      </c>
      <c r="L2004" s="5" t="n">
        <v>0.002035730783038314</v>
      </c>
      <c r="M2004" s="5">
        <f>SUMPRODUCT(Exposures!$B$6:$K$6,B2004:K2004)</f>
        <v/>
      </c>
      <c r="N2004" s="5">
        <f>IF(AND($A2004&gt;=DATE(2020,2,1),$A2004&lt;=DATE(2020,5,31)),$M2004,"")</f>
        <v/>
      </c>
      <c r="O2004" s="5">
        <f>IF(AND($A2004&gt;=DATE(2022,1,1),$A2004&lt;=DATE(2022,10,31)),$M2004,"")</f>
        <v/>
      </c>
      <c r="P2004" s="5">
        <f>IF(AND($A2004&gt;=DATE(2018,10,1),$A2004&lt;=DATE(2018,12,31)),$M2004,"")</f>
        <v/>
      </c>
      <c r="Q2004" s="5">
        <f>SUMPRODUCT(Exposures!$B$8:$K$8,B2004:K2004)</f>
        <v/>
      </c>
      <c r="R2004" s="5">
        <f>SUMPRODUCT(Exposures!$B$9:$K$9,B2004:K2004)</f>
        <v/>
      </c>
      <c r="S2004" s="5">
        <f>SUMPRODUCT(Exposures!$B$10:$K$10,B2004:K2004)</f>
        <v/>
      </c>
    </row>
    <row r="2005">
      <c r="A2005" s="1" t="n">
        <v>45369</v>
      </c>
      <c r="B2005" s="5" t="n">
        <v>0.0004923344081757932</v>
      </c>
      <c r="C2005" s="5" t="n">
        <v>0.0005153639830702678</v>
      </c>
      <c r="D2005" s="5" t="n">
        <v>-0.001251978754411336</v>
      </c>
      <c r="E2005" s="5" t="n">
        <v>-0.001607117413829466</v>
      </c>
      <c r="F2005" s="5" t="n">
        <v>-0.001423677865874988</v>
      </c>
      <c r="G2005" s="5" t="n">
        <v>0.002786032057130766</v>
      </c>
      <c r="H2005" s="5" t="n">
        <v>0.00451934341905736</v>
      </c>
      <c r="I2005" s="5" t="n">
        <v>-0.002509361134599672</v>
      </c>
      <c r="J2005" s="5" t="n">
        <v>0.005151317121535558</v>
      </c>
      <c r="K2005" s="5" t="n">
        <v>0.00725331079231168</v>
      </c>
      <c r="L2005" s="5" t="n">
        <v>0.003003088515437615</v>
      </c>
      <c r="M2005" s="5">
        <f>SUMPRODUCT(Exposures!$B$6:$K$6,B2005:K2005)</f>
        <v/>
      </c>
      <c r="N2005" s="5">
        <f>IF(AND($A2005&gt;=DATE(2020,2,1),$A2005&lt;=DATE(2020,5,31)),$M2005,"")</f>
        <v/>
      </c>
      <c r="O2005" s="5">
        <f>IF(AND($A2005&gt;=DATE(2022,1,1),$A2005&lt;=DATE(2022,10,31)),$M2005,"")</f>
        <v/>
      </c>
      <c r="P2005" s="5">
        <f>IF(AND($A2005&gt;=DATE(2018,10,1),$A2005&lt;=DATE(2018,12,31)),$M2005,"")</f>
        <v/>
      </c>
      <c r="Q2005" s="5">
        <f>SUMPRODUCT(Exposures!$B$8:$K$8,B2005:K2005)</f>
        <v/>
      </c>
      <c r="R2005" s="5">
        <f>SUMPRODUCT(Exposures!$B$9:$K$9,B2005:K2005)</f>
        <v/>
      </c>
      <c r="S2005" s="5">
        <f>SUMPRODUCT(Exposures!$B$10:$K$10,B2005:K2005)</f>
        <v/>
      </c>
    </row>
    <row r="2006">
      <c r="A2006" s="1" t="n">
        <v>45370</v>
      </c>
      <c r="B2006" s="5" t="n">
        <v>-0.0007149729845050297</v>
      </c>
      <c r="C2006" s="5" t="n">
        <v>0.0006977822907092503</v>
      </c>
      <c r="D2006" s="5" t="n">
        <v>0.001608063402117029</v>
      </c>
      <c r="E2006" s="5" t="n">
        <v>0.0008991365348219557</v>
      </c>
      <c r="F2006" s="5" t="n">
        <v>-0.004188867542794429</v>
      </c>
      <c r="G2006" s="5" t="n">
        <v>0.00551495245614656</v>
      </c>
      <c r="H2006" s="5" t="n">
        <v>-0.0001981614986075073</v>
      </c>
      <c r="I2006" s="5" t="n">
        <v>0.0004318528246007758</v>
      </c>
      <c r="J2006" s="5" t="n">
        <v>0.0001695319851517837</v>
      </c>
      <c r="K2006" s="5" t="n">
        <v>0.000747080155963447</v>
      </c>
      <c r="L2006" s="5" t="n">
        <v>-0.003164557101462815</v>
      </c>
      <c r="M2006" s="5">
        <f>SUMPRODUCT(Exposures!$B$6:$K$6,B2006:K2006)</f>
        <v/>
      </c>
      <c r="N2006" s="5">
        <f>IF(AND($A2006&gt;=DATE(2020,2,1),$A2006&lt;=DATE(2020,5,31)),$M2006,"")</f>
        <v/>
      </c>
      <c r="O2006" s="5">
        <f>IF(AND($A2006&gt;=DATE(2022,1,1),$A2006&lt;=DATE(2022,10,31)),$M2006,"")</f>
        <v/>
      </c>
      <c r="P2006" s="5">
        <f>IF(AND($A2006&gt;=DATE(2018,10,1),$A2006&lt;=DATE(2018,12,31)),$M2006,"")</f>
        <v/>
      </c>
      <c r="Q2006" s="5">
        <f>SUMPRODUCT(Exposures!$B$8:$K$8,B2006:K2006)</f>
        <v/>
      </c>
      <c r="R2006" s="5">
        <f>SUMPRODUCT(Exposures!$B$9:$K$9,B2006:K2006)</f>
        <v/>
      </c>
      <c r="S2006" s="5">
        <f>SUMPRODUCT(Exposures!$B$10:$K$10,B2006:K2006)</f>
        <v/>
      </c>
    </row>
    <row r="2007">
      <c r="A2007" s="1" t="n">
        <v>45371</v>
      </c>
      <c r="B2007" s="5" t="n">
        <v>0.01177855227486409</v>
      </c>
      <c r="C2007" s="5" t="n">
        <v>-0.002985036014500805</v>
      </c>
      <c r="D2007" s="5" t="n">
        <v>-0.002672963374534138</v>
      </c>
      <c r="E2007" s="5" t="n">
        <v>-0.002738172125236873</v>
      </c>
      <c r="F2007" s="5" t="n">
        <v>0.006288202175738382</v>
      </c>
      <c r="G2007" s="5" t="n">
        <v>0.01456848135109279</v>
      </c>
      <c r="H2007" s="5" t="n">
        <v>0.0004505186515317559</v>
      </c>
      <c r="I2007" s="5" t="n">
        <v>0.0007611207139357344</v>
      </c>
      <c r="J2007" s="5" t="n">
        <v>-0.002210896875025701</v>
      </c>
      <c r="K2007" s="5" t="n">
        <v>-0.007188311961880571</v>
      </c>
      <c r="L2007" s="5" t="n">
        <v>0.005168951561211772</v>
      </c>
      <c r="M2007" s="5">
        <f>SUMPRODUCT(Exposures!$B$6:$K$6,B2007:K2007)</f>
        <v/>
      </c>
      <c r="N2007" s="5">
        <f>IF(AND($A2007&gt;=DATE(2020,2,1),$A2007&lt;=DATE(2020,5,31)),$M2007,"")</f>
        <v/>
      </c>
      <c r="O2007" s="5">
        <f>IF(AND($A2007&gt;=DATE(2022,1,1),$A2007&lt;=DATE(2022,10,31)),$M2007,"")</f>
        <v/>
      </c>
      <c r="P2007" s="5">
        <f>IF(AND($A2007&gt;=DATE(2018,10,1),$A2007&lt;=DATE(2018,12,31)),$M2007,"")</f>
        <v/>
      </c>
      <c r="Q2007" s="5">
        <f>SUMPRODUCT(Exposures!$B$8:$K$8,B2007:K2007)</f>
        <v/>
      </c>
      <c r="R2007" s="5">
        <f>SUMPRODUCT(Exposures!$B$9:$K$9,B2007:K2007)</f>
        <v/>
      </c>
      <c r="S2007" s="5">
        <f>SUMPRODUCT(Exposures!$B$10:$K$10,B2007:K2007)</f>
        <v/>
      </c>
    </row>
    <row r="2008">
      <c r="A2008" s="1" t="n">
        <v>45372</v>
      </c>
      <c r="B2008" s="5" t="n">
        <v>0.003201854727530233</v>
      </c>
      <c r="C2008" s="5" t="n">
        <v>-0.00136123632999779</v>
      </c>
      <c r="D2008" s="5" t="n">
        <v>0.003443851145880778</v>
      </c>
      <c r="E2008" s="5" t="n">
        <v>-0.0006275028592496685</v>
      </c>
      <c r="F2008" s="5" t="n">
        <v>0.001009586818352618</v>
      </c>
      <c r="G2008" s="5" t="n">
        <v>0.005498239818291574</v>
      </c>
      <c r="H2008" s="5" t="n">
        <v>0.003192056371435065</v>
      </c>
      <c r="I2008" s="5" t="n">
        <v>0.003970318593226834</v>
      </c>
      <c r="J2008" s="5" t="n">
        <v>-0.00715564667816909</v>
      </c>
      <c r="K2008" s="5" t="n">
        <v>-0.007858665329695588</v>
      </c>
      <c r="L2008" s="5" t="n">
        <v>0.003543752432055879</v>
      </c>
      <c r="M2008" s="5">
        <f>SUMPRODUCT(Exposures!$B$6:$K$6,B2008:K2008)</f>
        <v/>
      </c>
      <c r="N2008" s="5">
        <f>IF(AND($A2008&gt;=DATE(2020,2,1),$A2008&lt;=DATE(2020,5,31)),$M2008,"")</f>
        <v/>
      </c>
      <c r="O2008" s="5">
        <f>IF(AND($A2008&gt;=DATE(2022,1,1),$A2008&lt;=DATE(2022,10,31)),$M2008,"")</f>
        <v/>
      </c>
      <c r="P2008" s="5">
        <f>IF(AND($A2008&gt;=DATE(2018,10,1),$A2008&lt;=DATE(2018,12,31)),$M2008,"")</f>
        <v/>
      </c>
      <c r="Q2008" s="5">
        <f>SUMPRODUCT(Exposures!$B$8:$K$8,B2008:K2008)</f>
        <v/>
      </c>
      <c r="R2008" s="5">
        <f>SUMPRODUCT(Exposures!$B$9:$K$9,B2008:K2008)</f>
        <v/>
      </c>
      <c r="S2008" s="5">
        <f>SUMPRODUCT(Exposures!$B$10:$K$10,B2008:K2008)</f>
        <v/>
      </c>
    </row>
    <row r="2009">
      <c r="A2009" s="1" t="n">
        <v>45373</v>
      </c>
      <c r="B2009" s="5" t="n">
        <v>-0.003001632774331826</v>
      </c>
      <c r="C2009" s="5" t="n">
        <v>-0.001449800867842385</v>
      </c>
      <c r="D2009" s="5" t="n">
        <v>-0.001991556957396177</v>
      </c>
      <c r="E2009" s="5" t="n">
        <v>-0.0001774652561091596</v>
      </c>
      <c r="F2009" s="5" t="n">
        <v>0.005557915536264673</v>
      </c>
      <c r="G2009" s="5" t="n">
        <v>-0.009786115324616367</v>
      </c>
      <c r="H2009" s="5" t="n">
        <v>0.0002144353390748159</v>
      </c>
      <c r="I2009" s="5" t="n">
        <v>-0.003503300546755311</v>
      </c>
      <c r="J2009" s="5" t="n">
        <v>-0.001704125438972024</v>
      </c>
      <c r="K2009" s="5" t="n">
        <v>-2.344073406698255e-05</v>
      </c>
      <c r="L2009" s="5" t="n">
        <v>-0.001608770643622401</v>
      </c>
      <c r="M2009" s="5">
        <f>SUMPRODUCT(Exposures!$B$6:$K$6,B2009:K2009)</f>
        <v/>
      </c>
      <c r="N2009" s="5">
        <f>IF(AND($A2009&gt;=DATE(2020,2,1),$A2009&lt;=DATE(2020,5,31)),$M2009,"")</f>
        <v/>
      </c>
      <c r="O2009" s="5">
        <f>IF(AND($A2009&gt;=DATE(2022,1,1),$A2009&lt;=DATE(2022,10,31)),$M2009,"")</f>
        <v/>
      </c>
      <c r="P2009" s="5">
        <f>IF(AND($A2009&gt;=DATE(2018,10,1),$A2009&lt;=DATE(2018,12,31)),$M2009,"")</f>
        <v/>
      </c>
      <c r="Q2009" s="5">
        <f>SUMPRODUCT(Exposures!$B$8:$K$8,B2009:K2009)</f>
        <v/>
      </c>
      <c r="R2009" s="5">
        <f>SUMPRODUCT(Exposures!$B$9:$K$9,B2009:K2009)</f>
        <v/>
      </c>
      <c r="S2009" s="5">
        <f>SUMPRODUCT(Exposures!$B$10:$K$10,B2009:K2009)</f>
        <v/>
      </c>
    </row>
    <row r="2010">
      <c r="A2010" s="1" t="n">
        <v>45376</v>
      </c>
      <c r="B2010" s="5" t="n">
        <v>0.00259467432447578</v>
      </c>
      <c r="C2010" s="5" t="n">
        <v>0.002992366578154302</v>
      </c>
      <c r="D2010" s="5" t="n">
        <v>-0.0003707167973252544</v>
      </c>
      <c r="E2010" s="5" t="n">
        <v>-0.0001931671237090676</v>
      </c>
      <c r="F2010" s="5" t="n">
        <v>-0.0001068345896597625</v>
      </c>
      <c r="G2010" s="5" t="n">
        <v>-0.001536191645856107</v>
      </c>
      <c r="H2010" s="5" t="n">
        <v>0.001021550525833081</v>
      </c>
      <c r="I2010" s="5" t="n">
        <v>0.001895748169333973</v>
      </c>
      <c r="J2010" s="5" t="n">
        <v>-0.001926526588748115</v>
      </c>
      <c r="K2010" s="5" t="n">
        <v>-0.001623822257873759</v>
      </c>
      <c r="L2010" s="5" t="n">
        <v>2.579679284550466e-05</v>
      </c>
      <c r="M2010" s="5">
        <f>SUMPRODUCT(Exposures!$B$6:$K$6,B2010:K2010)</f>
        <v/>
      </c>
      <c r="N2010" s="5">
        <f>IF(AND($A2010&gt;=DATE(2020,2,1),$A2010&lt;=DATE(2020,5,31)),$M2010,"")</f>
        <v/>
      </c>
      <c r="O2010" s="5">
        <f>IF(AND($A2010&gt;=DATE(2022,1,1),$A2010&lt;=DATE(2022,10,31)),$M2010,"")</f>
        <v/>
      </c>
      <c r="P2010" s="5">
        <f>IF(AND($A2010&gt;=DATE(2018,10,1),$A2010&lt;=DATE(2018,12,31)),$M2010,"")</f>
        <v/>
      </c>
      <c r="Q2010" s="5">
        <f>SUMPRODUCT(Exposures!$B$8:$K$8,B2010:K2010)</f>
        <v/>
      </c>
      <c r="R2010" s="5">
        <f>SUMPRODUCT(Exposures!$B$9:$K$9,B2010:K2010)</f>
        <v/>
      </c>
      <c r="S2010" s="5">
        <f>SUMPRODUCT(Exposures!$B$10:$K$10,B2010:K2010)</f>
        <v/>
      </c>
    </row>
    <row r="2011">
      <c r="A2011" s="1" t="n">
        <v>45377</v>
      </c>
      <c r="B2011" s="5" t="n">
        <v>-0.001160125811801491</v>
      </c>
      <c r="C2011" s="5" t="n">
        <v>-0.001045890533808543</v>
      </c>
      <c r="D2011" s="5" t="n">
        <v>0.0003459769003848761</v>
      </c>
      <c r="E2011" s="5" t="n">
        <v>5.807256363262647e-05</v>
      </c>
      <c r="F2011" s="5" t="n">
        <v>-0.001006281294877542</v>
      </c>
      <c r="G2011" s="5" t="n">
        <v>-0.001204473250392386</v>
      </c>
      <c r="H2011" s="5" t="n">
        <v>0.0009275197275896803</v>
      </c>
      <c r="I2011" s="5" t="n">
        <v>0.0003401303450162002</v>
      </c>
      <c r="J2011" s="5" t="n">
        <v>-0.0005654247335484879</v>
      </c>
      <c r="K2011" s="5" t="n">
        <v>0.0005584254018941455</v>
      </c>
      <c r="L2011" s="5" t="n">
        <v>0.0004474124005481132</v>
      </c>
      <c r="M2011" s="5">
        <f>SUMPRODUCT(Exposures!$B$6:$K$6,B2011:K2011)</f>
        <v/>
      </c>
      <c r="N2011" s="5">
        <f>IF(AND($A2011&gt;=DATE(2020,2,1),$A2011&lt;=DATE(2020,5,31)),$M2011,"")</f>
        <v/>
      </c>
      <c r="O2011" s="5">
        <f>IF(AND($A2011&gt;=DATE(2022,1,1),$A2011&lt;=DATE(2022,10,31)),$M2011,"")</f>
        <v/>
      </c>
      <c r="P2011" s="5">
        <f>IF(AND($A2011&gt;=DATE(2018,10,1),$A2011&lt;=DATE(2018,12,31)),$M2011,"")</f>
        <v/>
      </c>
      <c r="Q2011" s="5">
        <f>SUMPRODUCT(Exposures!$B$8:$K$8,B2011:K2011)</f>
        <v/>
      </c>
      <c r="R2011" s="5">
        <f>SUMPRODUCT(Exposures!$B$9:$K$9,B2011:K2011)</f>
        <v/>
      </c>
      <c r="S2011" s="5">
        <f>SUMPRODUCT(Exposures!$B$10:$K$10,B2011:K2011)</f>
        <v/>
      </c>
    </row>
    <row r="2012">
      <c r="A2012" s="1" t="n">
        <v>45378</v>
      </c>
      <c r="B2012" s="5" t="n">
        <v>0.002199221894973006</v>
      </c>
      <c r="C2012" s="5" t="n">
        <v>0.0008961456161894271</v>
      </c>
      <c r="D2012" s="5" t="n">
        <v>0.001065468436804793</v>
      </c>
      <c r="E2012" s="5" t="n">
        <v>0.001114790014168876</v>
      </c>
      <c r="F2012" s="5" t="n">
        <v>0.001360541049723077</v>
      </c>
      <c r="G2012" s="5" t="n">
        <v>0.01827114960431971</v>
      </c>
      <c r="H2012" s="5" t="n">
        <v>-0.007699349942809251</v>
      </c>
      <c r="I2012" s="5" t="n">
        <v>-0.002290800426887801</v>
      </c>
      <c r="J2012" s="5" t="n">
        <v>0.001986868653859707</v>
      </c>
      <c r="K2012" s="5" t="n">
        <v>-0.002295980961467659</v>
      </c>
      <c r="L2012" s="5" t="n">
        <v>-0.0005645506291396099</v>
      </c>
      <c r="M2012" s="5">
        <f>SUMPRODUCT(Exposures!$B$6:$K$6,B2012:K2012)</f>
        <v/>
      </c>
      <c r="N2012" s="5">
        <f>IF(AND($A2012&gt;=DATE(2020,2,1),$A2012&lt;=DATE(2020,5,31)),$M2012,"")</f>
        <v/>
      </c>
      <c r="O2012" s="5">
        <f>IF(AND($A2012&gt;=DATE(2022,1,1),$A2012&lt;=DATE(2022,10,31)),$M2012,"")</f>
        <v/>
      </c>
      <c r="P2012" s="5">
        <f>IF(AND($A2012&gt;=DATE(2018,10,1),$A2012&lt;=DATE(2018,12,31)),$M2012,"")</f>
        <v/>
      </c>
      <c r="Q2012" s="5">
        <f>SUMPRODUCT(Exposures!$B$8:$K$8,B2012:K2012)</f>
        <v/>
      </c>
      <c r="R2012" s="5">
        <f>SUMPRODUCT(Exposures!$B$9:$K$9,B2012:K2012)</f>
        <v/>
      </c>
      <c r="S2012" s="5">
        <f>SUMPRODUCT(Exposures!$B$10:$K$10,B2012:K2012)</f>
        <v/>
      </c>
    </row>
    <row r="2013">
      <c r="A2013" s="1" t="n">
        <v>45379</v>
      </c>
      <c r="B2013" s="5" t="n">
        <v>0.0005964519305986283</v>
      </c>
      <c r="C2013" s="5" t="n">
        <v>-0.002004908793527401</v>
      </c>
      <c r="D2013" s="5" t="n">
        <v>0.0006612070534776703</v>
      </c>
      <c r="E2013" s="5" t="n">
        <v>-0.0001860669121351503</v>
      </c>
      <c r="F2013" s="5" t="n">
        <v>-0.001788841720137683</v>
      </c>
      <c r="G2013" s="5" t="n">
        <v>0.005487834616703269</v>
      </c>
      <c r="H2013" s="5" t="n">
        <v>-0.0002973511489030324</v>
      </c>
      <c r="I2013" s="5" t="n">
        <v>0.001489646225999273</v>
      </c>
      <c r="J2013" s="5" t="n">
        <v>0.0003643036885850787</v>
      </c>
      <c r="K2013" s="5" t="n">
        <v>0.0001027870059664175</v>
      </c>
      <c r="L2013" s="5" t="n">
        <v>0.003409786885388193</v>
      </c>
      <c r="M2013" s="5">
        <f>SUMPRODUCT(Exposures!$B$6:$K$6,B2013:K2013)</f>
        <v/>
      </c>
      <c r="N2013" s="5">
        <f>IF(AND($A2013&gt;=DATE(2020,2,1),$A2013&lt;=DATE(2020,5,31)),$M2013,"")</f>
        <v/>
      </c>
      <c r="O2013" s="5">
        <f>IF(AND($A2013&gt;=DATE(2022,1,1),$A2013&lt;=DATE(2022,10,31)),$M2013,"")</f>
        <v/>
      </c>
      <c r="P2013" s="5">
        <f>IF(AND($A2013&gt;=DATE(2018,10,1),$A2013&lt;=DATE(2018,12,31)),$M2013,"")</f>
        <v/>
      </c>
      <c r="Q2013" s="5">
        <f>SUMPRODUCT(Exposures!$B$8:$K$8,B2013:K2013)</f>
        <v/>
      </c>
      <c r="R2013" s="5">
        <f>SUMPRODUCT(Exposures!$B$9:$K$9,B2013:K2013)</f>
        <v/>
      </c>
      <c r="S2013" s="5">
        <f>SUMPRODUCT(Exposures!$B$10:$K$10,B2013:K2013)</f>
        <v/>
      </c>
    </row>
    <row r="2014">
      <c r="A2014" s="1" t="n">
        <v>45383</v>
      </c>
      <c r="B2014" s="5" t="n">
        <v>-0.001897319807704477</v>
      </c>
      <c r="C2014" s="5" t="n">
        <v>0.002945355996049118</v>
      </c>
      <c r="D2014" s="5" t="n">
        <v>-0.0004109169874003398</v>
      </c>
      <c r="E2014" s="5" t="n">
        <v>-0.0009918599540777659</v>
      </c>
      <c r="F2014" s="5" t="n">
        <v>-0.001050336454083454</v>
      </c>
      <c r="G2014" s="5" t="n">
        <v>-0.005976633700055046</v>
      </c>
      <c r="H2014" s="5" t="n">
        <v>0.001619661726418646</v>
      </c>
      <c r="I2014" s="5" t="n">
        <v>-0.0004389223551648083</v>
      </c>
      <c r="J2014" s="5" t="n">
        <v>0.006864309325880488</v>
      </c>
      <c r="K2014" s="5" t="n">
        <v>0.006406407907838361</v>
      </c>
      <c r="L2014" s="5" t="n">
        <v>-0.002872093383516525</v>
      </c>
      <c r="M2014" s="5">
        <f>SUMPRODUCT(Exposures!$B$6:$K$6,B2014:K2014)</f>
        <v/>
      </c>
      <c r="N2014" s="5">
        <f>IF(AND($A2014&gt;=DATE(2020,2,1),$A2014&lt;=DATE(2020,5,31)),$M2014,"")</f>
        <v/>
      </c>
      <c r="O2014" s="5">
        <f>IF(AND($A2014&gt;=DATE(2022,1,1),$A2014&lt;=DATE(2022,10,31)),$M2014,"")</f>
        <v/>
      </c>
      <c r="P2014" s="5">
        <f>IF(AND($A2014&gt;=DATE(2018,10,1),$A2014&lt;=DATE(2018,12,31)),$M2014,"")</f>
        <v/>
      </c>
      <c r="Q2014" s="5">
        <f>SUMPRODUCT(Exposures!$B$8:$K$8,B2014:K2014)</f>
        <v/>
      </c>
      <c r="R2014" s="5">
        <f>SUMPRODUCT(Exposures!$B$9:$K$9,B2014:K2014)</f>
        <v/>
      </c>
      <c r="S2014" s="5">
        <f>SUMPRODUCT(Exposures!$B$10:$K$10,B2014:K2014)</f>
        <v/>
      </c>
    </row>
    <row r="2015">
      <c r="A2015" s="1" t="n">
        <v>45384</v>
      </c>
      <c r="B2015" s="5" t="n">
        <v>-0.002266203681479262</v>
      </c>
      <c r="C2015" s="5" t="n">
        <v>0.000453889762497736</v>
      </c>
      <c r="D2015" s="5" t="n">
        <v>-0.001034972053488267</v>
      </c>
      <c r="E2015" s="5" t="n">
        <v>-0.0006564434053009274</v>
      </c>
      <c r="F2015" s="5" t="n">
        <v>-0.00159999033869911</v>
      </c>
      <c r="G2015" s="5" t="n">
        <v>-0.01494884739693781</v>
      </c>
      <c r="H2015" s="5" t="n">
        <v>0.0007293050535555224</v>
      </c>
      <c r="I2015" s="5" t="n">
        <v>-0.001560494624634283</v>
      </c>
      <c r="J2015" s="5" t="n">
        <v>-0.004622017778107345</v>
      </c>
      <c r="K2015" s="5" t="n">
        <v>0.003788828542856368</v>
      </c>
      <c r="L2015" s="5" t="n">
        <v>0.002594451763278929</v>
      </c>
      <c r="M2015" s="5">
        <f>SUMPRODUCT(Exposures!$B$6:$K$6,B2015:K2015)</f>
        <v/>
      </c>
      <c r="N2015" s="5">
        <f>IF(AND($A2015&gt;=DATE(2020,2,1),$A2015&lt;=DATE(2020,5,31)),$M2015,"")</f>
        <v/>
      </c>
      <c r="O2015" s="5">
        <f>IF(AND($A2015&gt;=DATE(2022,1,1),$A2015&lt;=DATE(2022,10,31)),$M2015,"")</f>
        <v/>
      </c>
      <c r="P2015" s="5">
        <f>IF(AND($A2015&gt;=DATE(2018,10,1),$A2015&lt;=DATE(2018,12,31)),$M2015,"")</f>
        <v/>
      </c>
      <c r="Q2015" s="5">
        <f>SUMPRODUCT(Exposures!$B$8:$K$8,B2015:K2015)</f>
        <v/>
      </c>
      <c r="R2015" s="5">
        <f>SUMPRODUCT(Exposures!$B$9:$K$9,B2015:K2015)</f>
        <v/>
      </c>
      <c r="S2015" s="5">
        <f>SUMPRODUCT(Exposures!$B$10:$K$10,B2015:K2015)</f>
        <v/>
      </c>
    </row>
    <row r="2016">
      <c r="A2016" s="1" t="n">
        <v>45385</v>
      </c>
      <c r="B2016" s="5" t="n">
        <v>0.00444691375849467</v>
      </c>
      <c r="C2016" s="5" t="n">
        <v>-0.0003402230313298589</v>
      </c>
      <c r="D2016" s="5" t="n">
        <v>0.0006946389179479695</v>
      </c>
      <c r="E2016" s="5" t="n">
        <v>-0.0004221313337356295</v>
      </c>
      <c r="F2016" s="5" t="n">
        <v>-0.002733907657297034</v>
      </c>
      <c r="G2016" s="5" t="n">
        <v>0.002291716009407259</v>
      </c>
      <c r="H2016" s="5" t="n">
        <v>0.002126971107424863</v>
      </c>
      <c r="I2016" s="5" t="n">
        <v>-0.0006663106987401955</v>
      </c>
      <c r="J2016" s="5" t="n">
        <v>-0.0002811300482363937</v>
      </c>
      <c r="K2016" s="5" t="n">
        <v>0.00191653249246759</v>
      </c>
      <c r="L2016" s="5" t="n">
        <v>0.0004470614990098099</v>
      </c>
      <c r="M2016" s="5">
        <f>SUMPRODUCT(Exposures!$B$6:$K$6,B2016:K2016)</f>
        <v/>
      </c>
      <c r="N2016" s="5">
        <f>IF(AND($A2016&gt;=DATE(2020,2,1),$A2016&lt;=DATE(2020,5,31)),$M2016,"")</f>
        <v/>
      </c>
      <c r="O2016" s="5">
        <f>IF(AND($A2016&gt;=DATE(2022,1,1),$A2016&lt;=DATE(2022,10,31)),$M2016,"")</f>
        <v/>
      </c>
      <c r="P2016" s="5">
        <f>IF(AND($A2016&gt;=DATE(2018,10,1),$A2016&lt;=DATE(2018,12,31)),$M2016,"")</f>
        <v/>
      </c>
      <c r="Q2016" s="5">
        <f>SUMPRODUCT(Exposures!$B$8:$K$8,B2016:K2016)</f>
        <v/>
      </c>
      <c r="R2016" s="5">
        <f>SUMPRODUCT(Exposures!$B$9:$K$9,B2016:K2016)</f>
        <v/>
      </c>
      <c r="S2016" s="5">
        <f>SUMPRODUCT(Exposures!$B$10:$K$10,B2016:K2016)</f>
        <v/>
      </c>
    </row>
    <row r="2017">
      <c r="A2017" s="1" t="n">
        <v>45386</v>
      </c>
      <c r="B2017" s="5" t="n">
        <v>-0.002705260452794907</v>
      </c>
      <c r="C2017" s="5" t="n">
        <v>-0.001729213201010094</v>
      </c>
      <c r="D2017" s="5" t="n">
        <v>0.0003770122345660423</v>
      </c>
      <c r="E2017" s="5" t="n">
        <v>-0.001819353002718481</v>
      </c>
      <c r="F2017" s="5" t="n">
        <v>-0.0104877258824891</v>
      </c>
      <c r="G2017" s="5" t="n">
        <v>-0.01128094244795436</v>
      </c>
      <c r="H2017" s="5" t="n">
        <v>-0.002064691800106061</v>
      </c>
      <c r="I2017" s="5" t="n">
        <v>-0.001902412707840079</v>
      </c>
      <c r="J2017" s="5" t="n">
        <v>-0.004148277431753966</v>
      </c>
      <c r="K2017" s="5" t="n">
        <v>0.00594604094887479</v>
      </c>
      <c r="L2017" s="5" t="n">
        <v>0.002439496571553806</v>
      </c>
      <c r="M2017" s="5">
        <f>SUMPRODUCT(Exposures!$B$6:$K$6,B2017:K2017)</f>
        <v/>
      </c>
      <c r="N2017" s="5">
        <f>IF(AND($A2017&gt;=DATE(2020,2,1),$A2017&lt;=DATE(2020,5,31)),$M2017,"")</f>
        <v/>
      </c>
      <c r="O2017" s="5">
        <f>IF(AND($A2017&gt;=DATE(2022,1,1),$A2017&lt;=DATE(2022,10,31)),$M2017,"")</f>
        <v/>
      </c>
      <c r="P2017" s="5">
        <f>IF(AND($A2017&gt;=DATE(2018,10,1),$A2017&lt;=DATE(2018,12,31)),$M2017,"")</f>
        <v/>
      </c>
      <c r="Q2017" s="5">
        <f>SUMPRODUCT(Exposures!$B$8:$K$8,B2017:K2017)</f>
        <v/>
      </c>
      <c r="R2017" s="5">
        <f>SUMPRODUCT(Exposures!$B$9:$K$9,B2017:K2017)</f>
        <v/>
      </c>
      <c r="S2017" s="5">
        <f>SUMPRODUCT(Exposures!$B$10:$K$10,B2017:K2017)</f>
        <v/>
      </c>
    </row>
    <row r="2018">
      <c r="A2018" s="1" t="n">
        <v>45387</v>
      </c>
      <c r="B2018" s="5" t="n">
        <v>0.002012558489296019</v>
      </c>
      <c r="C2018" s="5" t="n">
        <v>-0.002313656480483419</v>
      </c>
      <c r="D2018" s="5" t="n">
        <v>-0.001624096786456208</v>
      </c>
      <c r="E2018" s="5" t="n">
        <v>0.0003539930332168758</v>
      </c>
      <c r="F2018" s="5" t="n">
        <v>0.0005826931922850831</v>
      </c>
      <c r="G2018" s="5" t="n">
        <v>0.004019525714277344</v>
      </c>
      <c r="H2018" s="5" t="n">
        <v>0.00380118127429545</v>
      </c>
      <c r="I2018" s="5" t="n">
        <v>-0.0005935820387242403</v>
      </c>
      <c r="J2018" s="5" t="n">
        <v>-0.003814695776798452</v>
      </c>
      <c r="K2018" s="5" t="n">
        <v>0.002015975168762289</v>
      </c>
      <c r="L2018" s="5" t="n">
        <v>0.001498742551846217</v>
      </c>
      <c r="M2018" s="5">
        <f>SUMPRODUCT(Exposures!$B$6:$K$6,B2018:K2018)</f>
        <v/>
      </c>
      <c r="N2018" s="5">
        <f>IF(AND($A2018&gt;=DATE(2020,2,1),$A2018&lt;=DATE(2020,5,31)),$M2018,"")</f>
        <v/>
      </c>
      <c r="O2018" s="5">
        <f>IF(AND($A2018&gt;=DATE(2022,1,1),$A2018&lt;=DATE(2022,10,31)),$M2018,"")</f>
        <v/>
      </c>
      <c r="P2018" s="5">
        <f>IF(AND($A2018&gt;=DATE(2018,10,1),$A2018&lt;=DATE(2018,12,31)),$M2018,"")</f>
        <v/>
      </c>
      <c r="Q2018" s="5">
        <f>SUMPRODUCT(Exposures!$B$8:$K$8,B2018:K2018)</f>
        <v/>
      </c>
      <c r="R2018" s="5">
        <f>SUMPRODUCT(Exposures!$B$9:$K$9,B2018:K2018)</f>
        <v/>
      </c>
      <c r="S2018" s="5">
        <f>SUMPRODUCT(Exposures!$B$10:$K$10,B2018:K2018)</f>
        <v/>
      </c>
    </row>
    <row r="2019">
      <c r="A2019" s="1" t="n">
        <v>45390</v>
      </c>
      <c r="B2019" s="5" t="n">
        <v>0.007878436386686543</v>
      </c>
      <c r="C2019" s="5" t="n">
        <v>0.0004660777295103256</v>
      </c>
      <c r="D2019" s="5" t="n">
        <v>0.0003781101981281854</v>
      </c>
      <c r="E2019" s="5" t="n">
        <v>0.0002471324990596891</v>
      </c>
      <c r="F2019" s="5" t="n">
        <v>-0.004249974269855348</v>
      </c>
      <c r="G2019" s="5" t="n">
        <v>0.007514139314894095</v>
      </c>
      <c r="H2019" s="5" t="n">
        <v>-0.00289587102129871</v>
      </c>
      <c r="I2019" s="5" t="n">
        <v>0.0002205764814524806</v>
      </c>
      <c r="J2019" s="5" t="n">
        <v>5.860908157756268e-05</v>
      </c>
      <c r="K2019" s="5" t="n">
        <v>0.002071099252341988</v>
      </c>
      <c r="L2019" s="5" t="n">
        <v>0.0009289454388081843</v>
      </c>
      <c r="M2019" s="5">
        <f>SUMPRODUCT(Exposures!$B$6:$K$6,B2019:K2019)</f>
        <v/>
      </c>
      <c r="N2019" s="5">
        <f>IF(AND($A2019&gt;=DATE(2020,2,1),$A2019&lt;=DATE(2020,5,31)),$M2019,"")</f>
        <v/>
      </c>
      <c r="O2019" s="5">
        <f>IF(AND($A2019&gt;=DATE(2022,1,1),$A2019&lt;=DATE(2022,10,31)),$M2019,"")</f>
        <v/>
      </c>
      <c r="P2019" s="5">
        <f>IF(AND($A2019&gt;=DATE(2018,10,1),$A2019&lt;=DATE(2018,12,31)),$M2019,"")</f>
        <v/>
      </c>
      <c r="Q2019" s="5">
        <f>SUMPRODUCT(Exposures!$B$8:$K$8,B2019:K2019)</f>
        <v/>
      </c>
      <c r="R2019" s="5">
        <f>SUMPRODUCT(Exposures!$B$9:$K$9,B2019:K2019)</f>
        <v/>
      </c>
      <c r="S2019" s="5">
        <f>SUMPRODUCT(Exposures!$B$10:$K$10,B2019:K2019)</f>
        <v/>
      </c>
    </row>
    <row r="2020">
      <c r="A2020" s="1" t="n">
        <v>45391</v>
      </c>
      <c r="B2020" s="5" t="n">
        <v>0.005570648461717704</v>
      </c>
      <c r="C2020" s="5" t="n">
        <v>-0.002849719035364805</v>
      </c>
      <c r="D2020" s="5" t="n">
        <v>-0.001892826828022518</v>
      </c>
      <c r="E2020" s="5" t="n">
        <v>-0.002813604554652193</v>
      </c>
      <c r="F2020" s="5" t="n">
        <v>-0.002668930785150943</v>
      </c>
      <c r="G2020" s="5" t="n">
        <v>0.005277127695711125</v>
      </c>
      <c r="H2020" s="5" t="n">
        <v>-0.006896194872162502</v>
      </c>
      <c r="I2020" s="5" t="n">
        <v>-0.00123659714529711</v>
      </c>
      <c r="J2020" s="5" t="n">
        <v>-0.001783986866795311</v>
      </c>
      <c r="K2020" s="5" t="n">
        <v>0.0053241161424683</v>
      </c>
      <c r="L2020" s="5" t="n">
        <v>0.001730595544584708</v>
      </c>
      <c r="M2020" s="5">
        <f>SUMPRODUCT(Exposures!$B$6:$K$6,B2020:K2020)</f>
        <v/>
      </c>
      <c r="N2020" s="5">
        <f>IF(AND($A2020&gt;=DATE(2020,2,1),$A2020&lt;=DATE(2020,5,31)),$M2020,"")</f>
        <v/>
      </c>
      <c r="O2020" s="5">
        <f>IF(AND($A2020&gt;=DATE(2022,1,1),$A2020&lt;=DATE(2022,10,31)),$M2020,"")</f>
        <v/>
      </c>
      <c r="P2020" s="5">
        <f>IF(AND($A2020&gt;=DATE(2018,10,1),$A2020&lt;=DATE(2018,12,31)),$M2020,"")</f>
        <v/>
      </c>
      <c r="Q2020" s="5">
        <f>SUMPRODUCT(Exposures!$B$8:$K$8,B2020:K2020)</f>
        <v/>
      </c>
      <c r="R2020" s="5">
        <f>SUMPRODUCT(Exposures!$B$9:$K$9,B2020:K2020)</f>
        <v/>
      </c>
      <c r="S2020" s="5">
        <f>SUMPRODUCT(Exposures!$B$10:$K$10,B2020:K2020)</f>
        <v/>
      </c>
    </row>
    <row r="2021">
      <c r="A2021" s="1" t="n">
        <v>45392</v>
      </c>
      <c r="B2021" s="5" t="n">
        <v>-0.01094082646820507</v>
      </c>
      <c r="C2021" s="5" t="n">
        <v>0.001766705567750877</v>
      </c>
      <c r="D2021" s="5" t="n">
        <v>-0.0002941683833115207</v>
      </c>
      <c r="E2021" s="5" t="n">
        <v>-0.002996176577628248</v>
      </c>
      <c r="F2021" s="5" t="n">
        <v>-0.00165566610925446</v>
      </c>
      <c r="G2021" s="5" t="n">
        <v>-0.01896642243313981</v>
      </c>
      <c r="H2021" s="5" t="n">
        <v>0.005063069538509571</v>
      </c>
      <c r="I2021" s="5" t="n">
        <v>-0.0006477708914783232</v>
      </c>
      <c r="J2021" s="5" t="n">
        <v>0.007283537804969388</v>
      </c>
      <c r="K2021" s="5" t="n">
        <v>0.007138760222786953</v>
      </c>
      <c r="L2021" s="5" t="n">
        <v>-0.001347341957968685</v>
      </c>
      <c r="M2021" s="5">
        <f>SUMPRODUCT(Exposures!$B$6:$K$6,B2021:K2021)</f>
        <v/>
      </c>
      <c r="N2021" s="5">
        <f>IF(AND($A2021&gt;=DATE(2020,2,1),$A2021&lt;=DATE(2020,5,31)),$M2021,"")</f>
        <v/>
      </c>
      <c r="O2021" s="5">
        <f>IF(AND($A2021&gt;=DATE(2022,1,1),$A2021&lt;=DATE(2022,10,31)),$M2021,"")</f>
        <v/>
      </c>
      <c r="P2021" s="5">
        <f>IF(AND($A2021&gt;=DATE(2018,10,1),$A2021&lt;=DATE(2018,12,31)),$M2021,"")</f>
        <v/>
      </c>
      <c r="Q2021" s="5">
        <f>SUMPRODUCT(Exposures!$B$8:$K$8,B2021:K2021)</f>
        <v/>
      </c>
      <c r="R2021" s="5">
        <f>SUMPRODUCT(Exposures!$B$9:$K$9,B2021:K2021)</f>
        <v/>
      </c>
      <c r="S2021" s="5">
        <f>SUMPRODUCT(Exposures!$B$10:$K$10,B2021:K2021)</f>
        <v/>
      </c>
    </row>
    <row r="2022">
      <c r="A2022" s="1" t="n">
        <v>45393</v>
      </c>
      <c r="B2022" s="5" t="n">
        <v>0.005240268473389056</v>
      </c>
      <c r="C2022" s="5" t="n">
        <v>-0.002427587614984162</v>
      </c>
      <c r="D2022" s="5" t="n">
        <v>0.005041499352039101</v>
      </c>
      <c r="E2022" s="5" t="n">
        <v>-0.001684778824562081</v>
      </c>
      <c r="F2022" s="5" t="n">
        <v>0.002000160380875295</v>
      </c>
      <c r="G2022" s="5" t="n">
        <v>0.001895077850854907</v>
      </c>
      <c r="H2022" s="5" t="n">
        <v>0.001783847102287428</v>
      </c>
      <c r="I2022" s="5" t="n">
        <v>-0.001904968222790013</v>
      </c>
      <c r="J2022" s="5" t="n">
        <v>-0.001083326787512761</v>
      </c>
      <c r="K2022" s="5" t="n">
        <v>0.0008406593414770243</v>
      </c>
      <c r="L2022" s="5" t="n">
        <v>-0.0002294429395199699</v>
      </c>
      <c r="M2022" s="5">
        <f>SUMPRODUCT(Exposures!$B$6:$K$6,B2022:K2022)</f>
        <v/>
      </c>
      <c r="N2022" s="5">
        <f>IF(AND($A2022&gt;=DATE(2020,2,1),$A2022&lt;=DATE(2020,5,31)),$M2022,"")</f>
        <v/>
      </c>
      <c r="O2022" s="5">
        <f>IF(AND($A2022&gt;=DATE(2022,1,1),$A2022&lt;=DATE(2022,10,31)),$M2022,"")</f>
        <v/>
      </c>
      <c r="P2022" s="5">
        <f>IF(AND($A2022&gt;=DATE(2018,10,1),$A2022&lt;=DATE(2018,12,31)),$M2022,"")</f>
        <v/>
      </c>
      <c r="Q2022" s="5">
        <f>SUMPRODUCT(Exposures!$B$8:$K$8,B2022:K2022)</f>
        <v/>
      </c>
      <c r="R2022" s="5">
        <f>SUMPRODUCT(Exposures!$B$9:$K$9,B2022:K2022)</f>
        <v/>
      </c>
      <c r="S2022" s="5">
        <f>SUMPRODUCT(Exposures!$B$10:$K$10,B2022:K2022)</f>
        <v/>
      </c>
    </row>
    <row r="2023">
      <c r="A2023" s="1" t="n">
        <v>45394</v>
      </c>
      <c r="B2023" s="5" t="n">
        <v>-0.003771305947917341</v>
      </c>
      <c r="C2023" s="5" t="n">
        <v>-0.001160266115625794</v>
      </c>
      <c r="D2023" s="5" t="n">
        <v>0.004324542863845343</v>
      </c>
      <c r="E2023" s="5" t="n">
        <v>0.001353346321218349</v>
      </c>
      <c r="F2023" s="5" t="n">
        <v>-0.00400922891076526</v>
      </c>
      <c r="G2023" s="5" t="n">
        <v>-0.02179724061245262</v>
      </c>
      <c r="H2023" s="5" t="n">
        <v>0.003615285453530714</v>
      </c>
      <c r="I2023" s="5" t="n">
        <v>-0.002478624926193831</v>
      </c>
      <c r="J2023" s="5" t="n">
        <v>-0.009170261238036841</v>
      </c>
      <c r="K2023" s="5" t="n">
        <v>0.003306528127557506</v>
      </c>
      <c r="L2023" s="5" t="n">
        <v>0.0006193717185184736</v>
      </c>
      <c r="M2023" s="5">
        <f>SUMPRODUCT(Exposures!$B$6:$K$6,B2023:K2023)</f>
        <v/>
      </c>
      <c r="N2023" s="5">
        <f>IF(AND($A2023&gt;=DATE(2020,2,1),$A2023&lt;=DATE(2020,5,31)),$M2023,"")</f>
        <v/>
      </c>
      <c r="O2023" s="5">
        <f>IF(AND($A2023&gt;=DATE(2022,1,1),$A2023&lt;=DATE(2022,10,31)),$M2023,"")</f>
        <v/>
      </c>
      <c r="P2023" s="5">
        <f>IF(AND($A2023&gt;=DATE(2018,10,1),$A2023&lt;=DATE(2018,12,31)),$M2023,"")</f>
        <v/>
      </c>
      <c r="Q2023" s="5">
        <f>SUMPRODUCT(Exposures!$B$8:$K$8,B2023:K2023)</f>
        <v/>
      </c>
      <c r="R2023" s="5">
        <f>SUMPRODUCT(Exposures!$B$9:$K$9,B2023:K2023)</f>
        <v/>
      </c>
      <c r="S2023" s="5">
        <f>SUMPRODUCT(Exposures!$B$10:$K$10,B2023:K2023)</f>
        <v/>
      </c>
    </row>
    <row r="2024">
      <c r="A2024" s="1" t="n">
        <v>45397</v>
      </c>
      <c r="B2024" s="5" t="n">
        <v>-0.005382481157587342</v>
      </c>
      <c r="C2024" s="5" t="n">
        <v>-0.001450204654288098</v>
      </c>
      <c r="D2024" s="5" t="n">
        <v>-0.002803263369900913</v>
      </c>
      <c r="E2024" s="5" t="n">
        <v>0.001378208271981964</v>
      </c>
      <c r="F2024" s="5" t="n">
        <v>9.212380512336289e-05</v>
      </c>
      <c r="G2024" s="5" t="n">
        <v>-0.01246017245357702</v>
      </c>
      <c r="H2024" s="5" t="n">
        <v>-7.274824163030629e-05</v>
      </c>
      <c r="I2024" s="5" t="n">
        <v>0.0007206011694587213</v>
      </c>
      <c r="J2024" s="5" t="n">
        <v>-0.002353194211033791</v>
      </c>
      <c r="K2024" s="5" t="n">
        <v>0.0002458335698607961</v>
      </c>
      <c r="L2024" s="5" t="n">
        <v>0.001841373995690108</v>
      </c>
      <c r="M2024" s="5">
        <f>SUMPRODUCT(Exposures!$B$6:$K$6,B2024:K2024)</f>
        <v/>
      </c>
      <c r="N2024" s="5">
        <f>IF(AND($A2024&gt;=DATE(2020,2,1),$A2024&lt;=DATE(2020,5,31)),$M2024,"")</f>
        <v/>
      </c>
      <c r="O2024" s="5">
        <f>IF(AND($A2024&gt;=DATE(2022,1,1),$A2024&lt;=DATE(2022,10,31)),$M2024,"")</f>
        <v/>
      </c>
      <c r="P2024" s="5">
        <f>IF(AND($A2024&gt;=DATE(2018,10,1),$A2024&lt;=DATE(2018,12,31)),$M2024,"")</f>
        <v/>
      </c>
      <c r="Q2024" s="5">
        <f>SUMPRODUCT(Exposures!$B$8:$K$8,B2024:K2024)</f>
        <v/>
      </c>
      <c r="R2024" s="5">
        <f>SUMPRODUCT(Exposures!$B$9:$K$9,B2024:K2024)</f>
        <v/>
      </c>
      <c r="S2024" s="5">
        <f>SUMPRODUCT(Exposures!$B$10:$K$10,B2024:K2024)</f>
        <v/>
      </c>
    </row>
    <row r="2025">
      <c r="A2025" s="1" t="n">
        <v>45398</v>
      </c>
      <c r="B2025" s="5" t="n">
        <v>-0.004006157807904697</v>
      </c>
      <c r="C2025" s="5" t="n">
        <v>-0.0009858927468309731</v>
      </c>
      <c r="D2025" s="5" t="n">
        <v>-0.003396354978739863</v>
      </c>
      <c r="E2025" s="5" t="n">
        <v>0.0008790305368027529</v>
      </c>
      <c r="F2025" s="5" t="n">
        <v>0.005876281507931544</v>
      </c>
      <c r="G2025" s="5" t="n">
        <v>-0.005481031180358361</v>
      </c>
      <c r="H2025" s="5" t="n">
        <v>0.004803685666045453</v>
      </c>
      <c r="I2025" s="5" t="n">
        <v>0.00200126850805149</v>
      </c>
      <c r="J2025" s="5" t="n">
        <v>0.0005865742927181152</v>
      </c>
      <c r="K2025" s="5" t="n">
        <v>-0.006590790093817363</v>
      </c>
      <c r="L2025" s="5" t="n">
        <v>-0.00351775335609723</v>
      </c>
      <c r="M2025" s="5">
        <f>SUMPRODUCT(Exposures!$B$6:$K$6,B2025:K2025)</f>
        <v/>
      </c>
      <c r="N2025" s="5">
        <f>IF(AND($A2025&gt;=DATE(2020,2,1),$A2025&lt;=DATE(2020,5,31)),$M2025,"")</f>
        <v/>
      </c>
      <c r="O2025" s="5">
        <f>IF(AND($A2025&gt;=DATE(2022,1,1),$A2025&lt;=DATE(2022,10,31)),$M2025,"")</f>
        <v/>
      </c>
      <c r="P2025" s="5">
        <f>IF(AND($A2025&gt;=DATE(2018,10,1),$A2025&lt;=DATE(2018,12,31)),$M2025,"")</f>
        <v/>
      </c>
      <c r="Q2025" s="5">
        <f>SUMPRODUCT(Exposures!$B$8:$K$8,B2025:K2025)</f>
        <v/>
      </c>
      <c r="R2025" s="5">
        <f>SUMPRODUCT(Exposures!$B$9:$K$9,B2025:K2025)</f>
        <v/>
      </c>
      <c r="S2025" s="5">
        <f>SUMPRODUCT(Exposures!$B$10:$K$10,B2025:K2025)</f>
        <v/>
      </c>
    </row>
    <row r="2026">
      <c r="A2026" s="1" t="n">
        <v>45399</v>
      </c>
      <c r="B2026" s="5" t="n">
        <v>-0.004527366766595833</v>
      </c>
      <c r="C2026" s="5" t="n">
        <v>0.0003911405206321105</v>
      </c>
      <c r="D2026" s="5" t="n">
        <v>-0.003462260765449071</v>
      </c>
      <c r="E2026" s="5" t="n">
        <v>0.000387158599347834</v>
      </c>
      <c r="F2026" s="5" t="n">
        <v>0.0005547146690834824</v>
      </c>
      <c r="G2026" s="5" t="n">
        <v>-0.003856706288174422</v>
      </c>
      <c r="H2026" s="5" t="n">
        <v>-0.00351907214951671</v>
      </c>
      <c r="I2026" s="5" t="n">
        <v>-0.002242595748630384</v>
      </c>
      <c r="J2026" s="5" t="n">
        <v>0.0009481874782152405</v>
      </c>
      <c r="K2026" s="5" t="n">
        <v>0.0007729036507605023</v>
      </c>
      <c r="L2026" s="5" t="n">
        <v>0.002636687989593572</v>
      </c>
      <c r="M2026" s="5">
        <f>SUMPRODUCT(Exposures!$B$6:$K$6,B2026:K2026)</f>
        <v/>
      </c>
      <c r="N2026" s="5">
        <f>IF(AND($A2026&gt;=DATE(2020,2,1),$A2026&lt;=DATE(2020,5,31)),$M2026,"")</f>
        <v/>
      </c>
      <c r="O2026" s="5">
        <f>IF(AND($A2026&gt;=DATE(2022,1,1),$A2026&lt;=DATE(2022,10,31)),$M2026,"")</f>
        <v/>
      </c>
      <c r="P2026" s="5">
        <f>IF(AND($A2026&gt;=DATE(2018,10,1),$A2026&lt;=DATE(2018,12,31)),$M2026,"")</f>
        <v/>
      </c>
      <c r="Q2026" s="5">
        <f>SUMPRODUCT(Exposures!$B$8:$K$8,B2026:K2026)</f>
        <v/>
      </c>
      <c r="R2026" s="5">
        <f>SUMPRODUCT(Exposures!$B$9:$K$9,B2026:K2026)</f>
        <v/>
      </c>
      <c r="S2026" s="5">
        <f>SUMPRODUCT(Exposures!$B$10:$K$10,B2026:K2026)</f>
        <v/>
      </c>
    </row>
    <row r="2027">
      <c r="A2027" s="1" t="n">
        <v>45400</v>
      </c>
      <c r="B2027" s="5" t="n">
        <v>-0.006069027302821011</v>
      </c>
      <c r="C2027" s="5" t="n">
        <v>0.003510401962374802</v>
      </c>
      <c r="D2027" s="5" t="n">
        <v>0.001694127669890866</v>
      </c>
      <c r="E2027" s="5" t="n">
        <v>0.000355627770750532</v>
      </c>
      <c r="F2027" s="5" t="n">
        <v>0.001096688180916921</v>
      </c>
      <c r="G2027" s="5" t="n">
        <v>0.001467849317133866</v>
      </c>
      <c r="H2027" s="5" t="n">
        <v>0.001092235141730229</v>
      </c>
      <c r="I2027" s="5" t="n">
        <v>-8.437306427578576e-05</v>
      </c>
      <c r="J2027" s="5" t="n">
        <v>0.003429209698032649</v>
      </c>
      <c r="K2027" s="5" t="n">
        <v>-0.0008332016918477809</v>
      </c>
      <c r="L2027" s="5" t="n">
        <v>0.002825640193063432</v>
      </c>
      <c r="M2027" s="5">
        <f>SUMPRODUCT(Exposures!$B$6:$K$6,B2027:K2027)</f>
        <v/>
      </c>
      <c r="N2027" s="5">
        <f>IF(AND($A2027&gt;=DATE(2020,2,1),$A2027&lt;=DATE(2020,5,31)),$M2027,"")</f>
        <v/>
      </c>
      <c r="O2027" s="5">
        <f>IF(AND($A2027&gt;=DATE(2022,1,1),$A2027&lt;=DATE(2022,10,31)),$M2027,"")</f>
        <v/>
      </c>
      <c r="P2027" s="5">
        <f>IF(AND($A2027&gt;=DATE(2018,10,1),$A2027&lt;=DATE(2018,12,31)),$M2027,"")</f>
        <v/>
      </c>
      <c r="Q2027" s="5">
        <f>SUMPRODUCT(Exposures!$B$8:$K$8,B2027:K2027)</f>
        <v/>
      </c>
      <c r="R2027" s="5">
        <f>SUMPRODUCT(Exposures!$B$9:$K$9,B2027:K2027)</f>
        <v/>
      </c>
      <c r="S2027" s="5">
        <f>SUMPRODUCT(Exposures!$B$10:$K$10,B2027:K2027)</f>
        <v/>
      </c>
    </row>
    <row r="2028">
      <c r="A2028" s="1" t="n">
        <v>45401</v>
      </c>
      <c r="B2028" s="5" t="n">
        <v>-0.003980329859162786</v>
      </c>
      <c r="C2028" s="5" t="n">
        <v>0.002697895616833135</v>
      </c>
      <c r="D2028" s="5" t="n">
        <v>0.0008859314358101184</v>
      </c>
      <c r="E2028" s="5" t="n">
        <v>0.003657588117616607</v>
      </c>
      <c r="F2028" s="5" t="n">
        <v>-0.004876164892975688</v>
      </c>
      <c r="G2028" s="5" t="n">
        <v>0.005070598757268393</v>
      </c>
      <c r="H2028" s="5" t="n">
        <v>-0.004779327577608788</v>
      </c>
      <c r="I2028" s="5" t="n">
        <v>0.003316097208367855</v>
      </c>
      <c r="J2028" s="5" t="n">
        <v>-0.002398981256735665</v>
      </c>
      <c r="K2028" s="5" t="n">
        <v>-0.0008865945777822117</v>
      </c>
      <c r="L2028" s="5" t="n">
        <v>0.001875309308109527</v>
      </c>
      <c r="M2028" s="5">
        <f>SUMPRODUCT(Exposures!$B$6:$K$6,B2028:K2028)</f>
        <v/>
      </c>
      <c r="N2028" s="5">
        <f>IF(AND($A2028&gt;=DATE(2020,2,1),$A2028&lt;=DATE(2020,5,31)),$M2028,"")</f>
        <v/>
      </c>
      <c r="O2028" s="5">
        <f>IF(AND($A2028&gt;=DATE(2022,1,1),$A2028&lt;=DATE(2022,10,31)),$M2028,"")</f>
        <v/>
      </c>
      <c r="P2028" s="5">
        <f>IF(AND($A2028&gt;=DATE(2018,10,1),$A2028&lt;=DATE(2018,12,31)),$M2028,"")</f>
        <v/>
      </c>
      <c r="Q2028" s="5">
        <f>SUMPRODUCT(Exposures!$B$8:$K$8,B2028:K2028)</f>
        <v/>
      </c>
      <c r="R2028" s="5">
        <f>SUMPRODUCT(Exposures!$B$9:$K$9,B2028:K2028)</f>
        <v/>
      </c>
      <c r="S2028" s="5">
        <f>SUMPRODUCT(Exposures!$B$10:$K$10,B2028:K2028)</f>
        <v/>
      </c>
    </row>
    <row r="2029">
      <c r="A2029" s="1" t="n">
        <v>45404</v>
      </c>
      <c r="B2029" s="5" t="n">
        <v>0.003233002845043163</v>
      </c>
      <c r="C2029" s="5" t="n">
        <v>0.0005588655040358684</v>
      </c>
      <c r="D2029" s="5" t="n">
        <v>-0.0002244838421724742</v>
      </c>
      <c r="E2029" s="5" t="n">
        <v>0.0007578096485903478</v>
      </c>
      <c r="F2029" s="5" t="n">
        <v>-0.002612651699398724</v>
      </c>
      <c r="G2029" s="5" t="n">
        <v>0.01076354682296879</v>
      </c>
      <c r="H2029" s="5" t="n">
        <v>0.0008065128165735431</v>
      </c>
      <c r="I2029" s="5" t="n">
        <v>0.000572458190902176</v>
      </c>
      <c r="J2029" s="5" t="n">
        <v>0.002788849086458163</v>
      </c>
      <c r="K2029" s="5" t="n">
        <v>0.003521164798720001</v>
      </c>
      <c r="L2029" s="5" t="n">
        <v>0.001829757038649933</v>
      </c>
      <c r="M2029" s="5">
        <f>SUMPRODUCT(Exposures!$B$6:$K$6,B2029:K2029)</f>
        <v/>
      </c>
      <c r="N2029" s="5">
        <f>IF(AND($A2029&gt;=DATE(2020,2,1),$A2029&lt;=DATE(2020,5,31)),$M2029,"")</f>
        <v/>
      </c>
      <c r="O2029" s="5">
        <f>IF(AND($A2029&gt;=DATE(2022,1,1),$A2029&lt;=DATE(2022,10,31)),$M2029,"")</f>
        <v/>
      </c>
      <c r="P2029" s="5">
        <f>IF(AND($A2029&gt;=DATE(2018,10,1),$A2029&lt;=DATE(2018,12,31)),$M2029,"")</f>
        <v/>
      </c>
      <c r="Q2029" s="5">
        <f>SUMPRODUCT(Exposures!$B$8:$K$8,B2029:K2029)</f>
        <v/>
      </c>
      <c r="R2029" s="5">
        <f>SUMPRODUCT(Exposures!$B$9:$K$9,B2029:K2029)</f>
        <v/>
      </c>
      <c r="S2029" s="5">
        <f>SUMPRODUCT(Exposures!$B$10:$K$10,B2029:K2029)</f>
        <v/>
      </c>
    </row>
    <row r="2030">
      <c r="A2030" s="1" t="n">
        <v>45405</v>
      </c>
      <c r="B2030" s="5" t="n">
        <v>0.00273906662950753</v>
      </c>
      <c r="C2030" s="5" t="n">
        <v>0.0001113157998427187</v>
      </c>
      <c r="D2030" s="5" t="n">
        <v>0.0004987239715486198</v>
      </c>
      <c r="E2030" s="5" t="n">
        <v>0.001264018777381859</v>
      </c>
      <c r="F2030" s="5" t="n">
        <v>-0.0046207604655586</v>
      </c>
      <c r="G2030" s="5" t="n">
        <v>0.01237420860168022</v>
      </c>
      <c r="H2030" s="5" t="n">
        <v>0.004350014233737759</v>
      </c>
      <c r="I2030" s="5" t="n">
        <v>-0.0001601401902877797</v>
      </c>
      <c r="J2030" s="5" t="n">
        <v>0.004878271219593253</v>
      </c>
      <c r="K2030" s="5" t="n">
        <v>0.004792363329262061</v>
      </c>
      <c r="L2030" s="5" t="n">
        <v>0.0008103032568992718</v>
      </c>
      <c r="M2030" s="5">
        <f>SUMPRODUCT(Exposures!$B$6:$K$6,B2030:K2030)</f>
        <v/>
      </c>
      <c r="N2030" s="5">
        <f>IF(AND($A2030&gt;=DATE(2020,2,1),$A2030&lt;=DATE(2020,5,31)),$M2030,"")</f>
        <v/>
      </c>
      <c r="O2030" s="5">
        <f>IF(AND($A2030&gt;=DATE(2022,1,1),$A2030&lt;=DATE(2022,10,31)),$M2030,"")</f>
        <v/>
      </c>
      <c r="P2030" s="5">
        <f>IF(AND($A2030&gt;=DATE(2018,10,1),$A2030&lt;=DATE(2018,12,31)),$M2030,"")</f>
        <v/>
      </c>
      <c r="Q2030" s="5">
        <f>SUMPRODUCT(Exposures!$B$8:$K$8,B2030:K2030)</f>
        <v/>
      </c>
      <c r="R2030" s="5">
        <f>SUMPRODUCT(Exposures!$B$9:$K$9,B2030:K2030)</f>
        <v/>
      </c>
      <c r="S2030" s="5">
        <f>SUMPRODUCT(Exposures!$B$10:$K$10,B2030:K2030)</f>
        <v/>
      </c>
    </row>
    <row r="2031">
      <c r="A2031" s="1" t="n">
        <v>45406</v>
      </c>
      <c r="B2031" s="5" t="n">
        <v>0.001083145995552963</v>
      </c>
      <c r="C2031" s="5" t="n">
        <v>0.003714459555443504</v>
      </c>
      <c r="D2031" s="5" t="n">
        <v>0.008325643127578204</v>
      </c>
      <c r="E2031" s="5" t="n">
        <v>0.0001727812678745665</v>
      </c>
      <c r="F2031" s="5" t="n">
        <v>-0.00255782513055479</v>
      </c>
      <c r="G2031" s="5" t="n">
        <v>0.001287824220284486</v>
      </c>
      <c r="H2031" s="5" t="n">
        <v>-0.005585705578579761</v>
      </c>
      <c r="I2031" s="5" t="n">
        <v>0.001793941199385333</v>
      </c>
      <c r="J2031" s="5" t="n">
        <v>0.00218289111540328</v>
      </c>
      <c r="K2031" s="5" t="n">
        <v>0.002620299714596722</v>
      </c>
      <c r="L2031" s="5" t="n">
        <v>8.51609168813251e-05</v>
      </c>
      <c r="M2031" s="5">
        <f>SUMPRODUCT(Exposures!$B$6:$K$6,B2031:K2031)</f>
        <v/>
      </c>
      <c r="N2031" s="5">
        <f>IF(AND($A2031&gt;=DATE(2020,2,1),$A2031&lt;=DATE(2020,5,31)),$M2031,"")</f>
        <v/>
      </c>
      <c r="O2031" s="5">
        <f>IF(AND($A2031&gt;=DATE(2022,1,1),$A2031&lt;=DATE(2022,10,31)),$M2031,"")</f>
        <v/>
      </c>
      <c r="P2031" s="5">
        <f>IF(AND($A2031&gt;=DATE(2018,10,1),$A2031&lt;=DATE(2018,12,31)),$M2031,"")</f>
        <v/>
      </c>
      <c r="Q2031" s="5">
        <f>SUMPRODUCT(Exposures!$B$8:$K$8,B2031:K2031)</f>
        <v/>
      </c>
      <c r="R2031" s="5">
        <f>SUMPRODUCT(Exposures!$B$9:$K$9,B2031:K2031)</f>
        <v/>
      </c>
      <c r="S2031" s="5">
        <f>SUMPRODUCT(Exposures!$B$10:$K$10,B2031:K2031)</f>
        <v/>
      </c>
    </row>
    <row r="2032">
      <c r="A2032" s="1" t="n">
        <v>45407</v>
      </c>
      <c r="B2032" s="5" t="n">
        <v>-0.001997851143515552</v>
      </c>
      <c r="C2032" s="5" t="n">
        <v>0.0006638227570367588</v>
      </c>
      <c r="D2032" s="5" t="n">
        <v>0.009552536703911263</v>
      </c>
      <c r="E2032" s="5" t="n">
        <v>0.000567569044004421</v>
      </c>
      <c r="F2032" s="5" t="n">
        <v>0.005448789323697431</v>
      </c>
      <c r="G2032" s="5" t="n">
        <v>-0.003687893053854841</v>
      </c>
      <c r="H2032" s="5" t="n">
        <v>0.001244581451249371</v>
      </c>
      <c r="I2032" s="5" t="n">
        <v>0.001978007078389235</v>
      </c>
      <c r="J2032" s="5" t="n">
        <v>-0.001473766167064152</v>
      </c>
      <c r="K2032" s="5" t="n">
        <v>-0.008087301259970493</v>
      </c>
      <c r="L2032" s="5" t="n">
        <v>-0.002580655584008758</v>
      </c>
      <c r="M2032" s="5">
        <f>SUMPRODUCT(Exposures!$B$6:$K$6,B2032:K2032)</f>
        <v/>
      </c>
      <c r="N2032" s="5">
        <f>IF(AND($A2032&gt;=DATE(2020,2,1),$A2032&lt;=DATE(2020,5,31)),$M2032,"")</f>
        <v/>
      </c>
      <c r="O2032" s="5">
        <f>IF(AND($A2032&gt;=DATE(2022,1,1),$A2032&lt;=DATE(2022,10,31)),$M2032,"")</f>
        <v/>
      </c>
      <c r="P2032" s="5">
        <f>IF(AND($A2032&gt;=DATE(2018,10,1),$A2032&lt;=DATE(2018,12,31)),$M2032,"")</f>
        <v/>
      </c>
      <c r="Q2032" s="5">
        <f>SUMPRODUCT(Exposures!$B$8:$K$8,B2032:K2032)</f>
        <v/>
      </c>
      <c r="R2032" s="5">
        <f>SUMPRODUCT(Exposures!$B$9:$K$9,B2032:K2032)</f>
        <v/>
      </c>
      <c r="S2032" s="5">
        <f>SUMPRODUCT(Exposures!$B$10:$K$10,B2032:K2032)</f>
        <v/>
      </c>
    </row>
    <row r="2033">
      <c r="A2033" s="1" t="n">
        <v>45408</v>
      </c>
      <c r="B2033" s="5" t="n">
        <v>0.006654352552605208</v>
      </c>
      <c r="C2033" s="5" t="n">
        <v>0.00194468500167542</v>
      </c>
      <c r="D2033" s="5" t="n">
        <v>-0.0003595294456560241</v>
      </c>
      <c r="E2033" s="5" t="n">
        <v>-0.007937936238279637</v>
      </c>
      <c r="F2033" s="5" t="n">
        <v>-0.00657553956431915</v>
      </c>
      <c r="G2033" s="5" t="n">
        <v>0.008569519936830382</v>
      </c>
      <c r="H2033" s="5" t="n">
        <v>0.006559860090355477</v>
      </c>
      <c r="I2033" s="5" t="n">
        <v>-0.003700424452168338</v>
      </c>
      <c r="J2033" s="5" t="n">
        <v>0.009141212347025359</v>
      </c>
      <c r="K2033" s="5" t="n">
        <v>0.01577468117478394</v>
      </c>
      <c r="L2033" s="5" t="n">
        <v>0.002520167116050831</v>
      </c>
      <c r="M2033" s="5">
        <f>SUMPRODUCT(Exposures!$B$6:$K$6,B2033:K2033)</f>
        <v/>
      </c>
      <c r="N2033" s="5">
        <f>IF(AND($A2033&gt;=DATE(2020,2,1),$A2033&lt;=DATE(2020,5,31)),$M2033,"")</f>
        <v/>
      </c>
      <c r="O2033" s="5">
        <f>IF(AND($A2033&gt;=DATE(2022,1,1),$A2033&lt;=DATE(2022,10,31)),$M2033,"")</f>
        <v/>
      </c>
      <c r="P2033" s="5">
        <f>IF(AND($A2033&gt;=DATE(2018,10,1),$A2033&lt;=DATE(2018,12,31)),$M2033,"")</f>
        <v/>
      </c>
      <c r="Q2033" s="5">
        <f>SUMPRODUCT(Exposures!$B$8:$K$8,B2033:K2033)</f>
        <v/>
      </c>
      <c r="R2033" s="5">
        <f>SUMPRODUCT(Exposures!$B$9:$K$9,B2033:K2033)</f>
        <v/>
      </c>
      <c r="S2033" s="5">
        <f>SUMPRODUCT(Exposures!$B$10:$K$10,B2033:K2033)</f>
        <v/>
      </c>
    </row>
    <row r="2034">
      <c r="A2034" s="1" t="n">
        <v>45411</v>
      </c>
      <c r="B2034" s="5" t="n">
        <v>-0.001908802067702199</v>
      </c>
      <c r="C2034" s="5" t="n">
        <v>0.0002797904639958967</v>
      </c>
      <c r="D2034" s="5" t="n">
        <v>0.007091252766758515</v>
      </c>
      <c r="E2034" s="5" t="n">
        <v>0.001918464684965849</v>
      </c>
      <c r="F2034" s="5" t="n">
        <v>0.007667821106330371</v>
      </c>
      <c r="G2034" s="5" t="n">
        <v>0.006228134313595653</v>
      </c>
      <c r="H2034" s="5" t="n">
        <v>-0.005157954775619405</v>
      </c>
      <c r="I2034" s="5" t="n">
        <v>-0.0003812679314855891</v>
      </c>
      <c r="J2034" s="5" t="n">
        <v>0.0004893506041739225</v>
      </c>
      <c r="K2034" s="5" t="n">
        <v>-0.009606034051092501</v>
      </c>
      <c r="L2034" s="5" t="n">
        <v>-0.00271779252384904</v>
      </c>
      <c r="M2034" s="5">
        <f>SUMPRODUCT(Exposures!$B$6:$K$6,B2034:K2034)</f>
        <v/>
      </c>
      <c r="N2034" s="5">
        <f>IF(AND($A2034&gt;=DATE(2020,2,1),$A2034&lt;=DATE(2020,5,31)),$M2034,"")</f>
        <v/>
      </c>
      <c r="O2034" s="5">
        <f>IF(AND($A2034&gt;=DATE(2022,1,1),$A2034&lt;=DATE(2022,10,31)),$M2034,"")</f>
        <v/>
      </c>
      <c r="P2034" s="5">
        <f>IF(AND($A2034&gt;=DATE(2018,10,1),$A2034&lt;=DATE(2018,12,31)),$M2034,"")</f>
        <v/>
      </c>
      <c r="Q2034" s="5">
        <f>SUMPRODUCT(Exposures!$B$8:$K$8,B2034:K2034)</f>
        <v/>
      </c>
      <c r="R2034" s="5">
        <f>SUMPRODUCT(Exposures!$B$9:$K$9,B2034:K2034)</f>
        <v/>
      </c>
      <c r="S2034" s="5">
        <f>SUMPRODUCT(Exposures!$B$10:$K$10,B2034:K2034)</f>
        <v/>
      </c>
    </row>
    <row r="2035">
      <c r="A2035" s="1" t="n">
        <v>45412</v>
      </c>
      <c r="B2035" s="5" t="n">
        <v>-0.009625552786132965</v>
      </c>
      <c r="C2035" s="5" t="n">
        <v>-0.00337641055888283</v>
      </c>
      <c r="D2035" s="5" t="n">
        <v>0.0009340571111983735</v>
      </c>
      <c r="E2035" s="5" t="n">
        <v>0.00256331042113573</v>
      </c>
      <c r="F2035" s="5" t="n">
        <v>-0.002768116592143947</v>
      </c>
      <c r="G2035" s="5" t="n">
        <v>-0.01643681267153504</v>
      </c>
      <c r="H2035" s="5" t="n">
        <v>0.002000984431618295</v>
      </c>
      <c r="I2035" s="5" t="n">
        <v>0.0004011809845381114</v>
      </c>
      <c r="J2035" s="5" t="n">
        <v>-0.003428551990674658</v>
      </c>
      <c r="K2035" s="5" t="n">
        <v>-0.0008321157596898662</v>
      </c>
      <c r="L2035" s="5" t="n">
        <v>0.00106054611620059</v>
      </c>
      <c r="M2035" s="5">
        <f>SUMPRODUCT(Exposures!$B$6:$K$6,B2035:K2035)</f>
        <v/>
      </c>
      <c r="N2035" s="5">
        <f>IF(AND($A2035&gt;=DATE(2020,2,1),$A2035&lt;=DATE(2020,5,31)),$M2035,"")</f>
        <v/>
      </c>
      <c r="O2035" s="5">
        <f>IF(AND($A2035&gt;=DATE(2022,1,1),$A2035&lt;=DATE(2022,10,31)),$M2035,"")</f>
        <v/>
      </c>
      <c r="P2035" s="5">
        <f>IF(AND($A2035&gt;=DATE(2018,10,1),$A2035&lt;=DATE(2018,12,31)),$M2035,"")</f>
        <v/>
      </c>
      <c r="Q2035" s="5">
        <f>SUMPRODUCT(Exposures!$B$8:$K$8,B2035:K2035)</f>
        <v/>
      </c>
      <c r="R2035" s="5">
        <f>SUMPRODUCT(Exposures!$B$9:$K$9,B2035:K2035)</f>
        <v/>
      </c>
      <c r="S2035" s="5">
        <f>SUMPRODUCT(Exposures!$B$10:$K$10,B2035:K2035)</f>
        <v/>
      </c>
    </row>
    <row r="2036">
      <c r="A2036" s="1" t="n">
        <v>45413</v>
      </c>
      <c r="B2036" s="5" t="n">
        <v>0.002631242794485596</v>
      </c>
      <c r="C2036" s="5" t="n">
        <v>-0.001930781342455848</v>
      </c>
      <c r="D2036" s="5" t="n">
        <v>0.002547069732788433</v>
      </c>
      <c r="E2036" s="5" t="n">
        <v>-0.001274025316985032</v>
      </c>
      <c r="F2036" s="5" t="n">
        <v>-0.01674888577856417</v>
      </c>
      <c r="G2036" s="5" t="n">
        <v>0.004790754587676261</v>
      </c>
      <c r="H2036" s="5" t="n">
        <v>-0.003780651880267595</v>
      </c>
      <c r="I2036" s="5" t="n">
        <v>-0.002945297895144992</v>
      </c>
      <c r="J2036" s="5" t="n">
        <v>0.001397282019082972</v>
      </c>
      <c r="K2036" s="5" t="n">
        <v>0.01207762700869413</v>
      </c>
      <c r="L2036" s="5" t="n">
        <v>-0.001450826563659356</v>
      </c>
      <c r="M2036" s="5">
        <f>SUMPRODUCT(Exposures!$B$6:$K$6,B2036:K2036)</f>
        <v/>
      </c>
      <c r="N2036" s="5">
        <f>IF(AND($A2036&gt;=DATE(2020,2,1),$A2036&lt;=DATE(2020,5,31)),$M2036,"")</f>
        <v/>
      </c>
      <c r="O2036" s="5">
        <f>IF(AND($A2036&gt;=DATE(2022,1,1),$A2036&lt;=DATE(2022,10,31)),$M2036,"")</f>
        <v/>
      </c>
      <c r="P2036" s="5">
        <f>IF(AND($A2036&gt;=DATE(2018,10,1),$A2036&lt;=DATE(2018,12,31)),$M2036,"")</f>
        <v/>
      </c>
      <c r="Q2036" s="5">
        <f>SUMPRODUCT(Exposures!$B$8:$K$8,B2036:K2036)</f>
        <v/>
      </c>
      <c r="R2036" s="5">
        <f>SUMPRODUCT(Exposures!$B$9:$K$9,B2036:K2036)</f>
        <v/>
      </c>
      <c r="S2036" s="5">
        <f>SUMPRODUCT(Exposures!$B$10:$K$10,B2036:K2036)</f>
        <v/>
      </c>
    </row>
    <row r="2037">
      <c r="A2037" s="1" t="n">
        <v>45414</v>
      </c>
      <c r="B2037" s="5" t="n">
        <v>0.007945613444353105</v>
      </c>
      <c r="C2037" s="5" t="n">
        <v>0.004782278414939959</v>
      </c>
      <c r="D2037" s="5" t="n">
        <v>-0.002104157957498836</v>
      </c>
      <c r="E2037" s="5" t="n">
        <v>-0.004353956933942183</v>
      </c>
      <c r="F2037" s="5" t="n">
        <v>-0.004264934737643918</v>
      </c>
      <c r="G2037" s="5" t="n">
        <v>0.01363496890755787</v>
      </c>
      <c r="H2037" s="5" t="n">
        <v>-0.002336564905883972</v>
      </c>
      <c r="I2037" s="5" t="n">
        <v>-0.0002697172773549921</v>
      </c>
      <c r="J2037" s="5" t="n">
        <v>0.009512124279553849</v>
      </c>
      <c r="K2037" s="5" t="n">
        <v>0.00759839603230061</v>
      </c>
      <c r="L2037" s="5" t="n">
        <v>0.001590973326463367</v>
      </c>
      <c r="M2037" s="5">
        <f>SUMPRODUCT(Exposures!$B$6:$K$6,B2037:K2037)</f>
        <v/>
      </c>
      <c r="N2037" s="5">
        <f>IF(AND($A2037&gt;=DATE(2020,2,1),$A2037&lt;=DATE(2020,5,31)),$M2037,"")</f>
        <v/>
      </c>
      <c r="O2037" s="5">
        <f>IF(AND($A2037&gt;=DATE(2022,1,1),$A2037&lt;=DATE(2022,10,31)),$M2037,"")</f>
        <v/>
      </c>
      <c r="P2037" s="5">
        <f>IF(AND($A2037&gt;=DATE(2018,10,1),$A2037&lt;=DATE(2018,12,31)),$M2037,"")</f>
        <v/>
      </c>
      <c r="Q2037" s="5">
        <f>SUMPRODUCT(Exposures!$B$8:$K$8,B2037:K2037)</f>
        <v/>
      </c>
      <c r="R2037" s="5">
        <f>SUMPRODUCT(Exposures!$B$9:$K$9,B2037:K2037)</f>
        <v/>
      </c>
      <c r="S2037" s="5">
        <f>SUMPRODUCT(Exposures!$B$10:$K$10,B2037:K2037)</f>
        <v/>
      </c>
    </row>
    <row r="2038">
      <c r="A2038" s="1" t="n">
        <v>45415</v>
      </c>
      <c r="B2038" s="5" t="n">
        <v>0.000458964707323914</v>
      </c>
      <c r="C2038" s="5" t="n">
        <v>-0.003969696121788377</v>
      </c>
      <c r="D2038" s="5" t="n">
        <v>0.007704358883546038</v>
      </c>
      <c r="E2038" s="5" t="n">
        <v>0.002052374302929808</v>
      </c>
      <c r="F2038" s="5" t="n">
        <v>-0.0004288052882950551</v>
      </c>
      <c r="G2038" s="5" t="n">
        <v>0.01093140701985744</v>
      </c>
      <c r="H2038" s="5" t="n">
        <v>0.002010810655984018</v>
      </c>
      <c r="I2038" s="5" t="n">
        <v>-0.000937987621689524</v>
      </c>
      <c r="J2038" s="5" t="n">
        <v>0.006856939749504663</v>
      </c>
      <c r="K2038" s="5" t="n">
        <v>0.004372407974299198</v>
      </c>
      <c r="L2038" s="5" t="n">
        <v>0.001126489675632093</v>
      </c>
      <c r="M2038" s="5">
        <f>SUMPRODUCT(Exposures!$B$6:$K$6,B2038:K2038)</f>
        <v/>
      </c>
      <c r="N2038" s="5">
        <f>IF(AND($A2038&gt;=DATE(2020,2,1),$A2038&lt;=DATE(2020,5,31)),$M2038,"")</f>
        <v/>
      </c>
      <c r="O2038" s="5">
        <f>IF(AND($A2038&gt;=DATE(2022,1,1),$A2038&lt;=DATE(2022,10,31)),$M2038,"")</f>
        <v/>
      </c>
      <c r="P2038" s="5">
        <f>IF(AND($A2038&gt;=DATE(2018,10,1),$A2038&lt;=DATE(2018,12,31)),$M2038,"")</f>
        <v/>
      </c>
      <c r="Q2038" s="5">
        <f>SUMPRODUCT(Exposures!$B$8:$K$8,B2038:K2038)</f>
        <v/>
      </c>
      <c r="R2038" s="5">
        <f>SUMPRODUCT(Exposures!$B$9:$K$9,B2038:K2038)</f>
        <v/>
      </c>
      <c r="S2038" s="5">
        <f>SUMPRODUCT(Exposures!$B$10:$K$10,B2038:K2038)</f>
        <v/>
      </c>
    </row>
    <row r="2039">
      <c r="A2039" s="1" t="n">
        <v>45418</v>
      </c>
      <c r="B2039" s="5" t="n">
        <v>0.005273468542729066</v>
      </c>
      <c r="C2039" s="5" t="n">
        <v>0.0003692680262276003</v>
      </c>
      <c r="D2039" s="5" t="n">
        <v>6.041665883039983e-05</v>
      </c>
      <c r="E2039" s="5" t="n">
        <v>-0.001353883168325973</v>
      </c>
      <c r="F2039" s="5" t="n">
        <v>-7.335751265710472e-06</v>
      </c>
      <c r="G2039" s="5" t="n">
        <v>0.011333145508682</v>
      </c>
      <c r="H2039" s="5" t="n">
        <v>0.00276401155566496</v>
      </c>
      <c r="I2039" s="5" t="n">
        <v>0.001107449022512726</v>
      </c>
      <c r="J2039" s="5" t="n">
        <v>0.0004999226986598633</v>
      </c>
      <c r="K2039" s="5" t="n">
        <v>-0.002310078139268471</v>
      </c>
      <c r="L2039" s="5" t="n">
        <v>-0.0007587895551846531</v>
      </c>
      <c r="M2039" s="5">
        <f>SUMPRODUCT(Exposures!$B$6:$K$6,B2039:K2039)</f>
        <v/>
      </c>
      <c r="N2039" s="5">
        <f>IF(AND($A2039&gt;=DATE(2020,2,1),$A2039&lt;=DATE(2020,5,31)),$M2039,"")</f>
        <v/>
      </c>
      <c r="O2039" s="5">
        <f>IF(AND($A2039&gt;=DATE(2022,1,1),$A2039&lt;=DATE(2022,10,31)),$M2039,"")</f>
        <v/>
      </c>
      <c r="P2039" s="5">
        <f>IF(AND($A2039&gt;=DATE(2018,10,1),$A2039&lt;=DATE(2018,12,31)),$M2039,"")</f>
        <v/>
      </c>
      <c r="Q2039" s="5">
        <f>SUMPRODUCT(Exposures!$B$8:$K$8,B2039:K2039)</f>
        <v/>
      </c>
      <c r="R2039" s="5">
        <f>SUMPRODUCT(Exposures!$B$9:$K$9,B2039:K2039)</f>
        <v/>
      </c>
      <c r="S2039" s="5">
        <f>SUMPRODUCT(Exposures!$B$10:$K$10,B2039:K2039)</f>
        <v/>
      </c>
    </row>
    <row r="2040">
      <c r="A2040" s="1" t="n">
        <v>45419</v>
      </c>
      <c r="B2040" s="5" t="n">
        <v>-0.001135744102501817</v>
      </c>
      <c r="C2040" s="5" t="n">
        <v>-0.004156710449605338</v>
      </c>
      <c r="D2040" s="5" t="n">
        <v>-0.002724683014325628</v>
      </c>
      <c r="E2040" s="5" t="n">
        <v>0.002373768781704202</v>
      </c>
      <c r="F2040" s="5" t="n">
        <v>-0.005524305848837559</v>
      </c>
      <c r="G2040" s="5" t="n">
        <v>0.0003017017991915158</v>
      </c>
      <c r="H2040" s="5" t="n">
        <v>-0.00489673598667844</v>
      </c>
      <c r="I2040" s="5" t="n">
        <v>-0.0014520085363965</v>
      </c>
      <c r="J2040" s="5" t="n">
        <v>-0.00421733837502454</v>
      </c>
      <c r="K2040" s="5" t="n">
        <v>0.003856177664435912</v>
      </c>
      <c r="L2040" s="5" t="n">
        <v>-0.00135087406996105</v>
      </c>
      <c r="M2040" s="5">
        <f>SUMPRODUCT(Exposures!$B$6:$K$6,B2040:K2040)</f>
        <v/>
      </c>
      <c r="N2040" s="5">
        <f>IF(AND($A2040&gt;=DATE(2020,2,1),$A2040&lt;=DATE(2020,5,31)),$M2040,"")</f>
        <v/>
      </c>
      <c r="O2040" s="5">
        <f>IF(AND($A2040&gt;=DATE(2022,1,1),$A2040&lt;=DATE(2022,10,31)),$M2040,"")</f>
        <v/>
      </c>
      <c r="P2040" s="5">
        <f>IF(AND($A2040&gt;=DATE(2018,10,1),$A2040&lt;=DATE(2018,12,31)),$M2040,"")</f>
        <v/>
      </c>
      <c r="Q2040" s="5">
        <f>SUMPRODUCT(Exposures!$B$8:$K$8,B2040:K2040)</f>
        <v/>
      </c>
      <c r="R2040" s="5">
        <f>SUMPRODUCT(Exposures!$B$9:$K$9,B2040:K2040)</f>
        <v/>
      </c>
      <c r="S2040" s="5">
        <f>SUMPRODUCT(Exposures!$B$10:$K$10,B2040:K2040)</f>
        <v/>
      </c>
    </row>
    <row r="2041">
      <c r="A2041" s="1" t="n">
        <v>45420</v>
      </c>
      <c r="B2041" s="5" t="n">
        <v>-0.0001037652721106307</v>
      </c>
      <c r="C2041" s="5" t="n">
        <v>0.005965899997823827</v>
      </c>
      <c r="D2041" s="5" t="n">
        <v>0.001550939438772162</v>
      </c>
      <c r="E2041" s="5" t="n">
        <v>0.001483077140717684</v>
      </c>
      <c r="F2041" s="5" t="n">
        <v>-0.0001203891898726133</v>
      </c>
      <c r="G2041" s="5" t="n">
        <v>-0.004055186666756603</v>
      </c>
      <c r="H2041" s="5" t="n">
        <v>-0.001383007770379003</v>
      </c>
      <c r="I2041" s="5" t="n">
        <v>0.0002745645304302692</v>
      </c>
      <c r="J2041" s="5" t="n">
        <v>-0.002674560817577179</v>
      </c>
      <c r="K2041" s="5" t="n">
        <v>-0.0005146181141169328</v>
      </c>
      <c r="L2041" s="5" t="n">
        <v>-0.003460022873413356</v>
      </c>
      <c r="M2041" s="5">
        <f>SUMPRODUCT(Exposures!$B$6:$K$6,B2041:K2041)</f>
        <v/>
      </c>
      <c r="N2041" s="5">
        <f>IF(AND($A2041&gt;=DATE(2020,2,1),$A2041&lt;=DATE(2020,5,31)),$M2041,"")</f>
        <v/>
      </c>
      <c r="O2041" s="5">
        <f>IF(AND($A2041&gt;=DATE(2022,1,1),$A2041&lt;=DATE(2022,10,31)),$M2041,"")</f>
        <v/>
      </c>
      <c r="P2041" s="5">
        <f>IF(AND($A2041&gt;=DATE(2018,10,1),$A2041&lt;=DATE(2018,12,31)),$M2041,"")</f>
        <v/>
      </c>
      <c r="Q2041" s="5">
        <f>SUMPRODUCT(Exposures!$B$8:$K$8,B2041:K2041)</f>
        <v/>
      </c>
      <c r="R2041" s="5">
        <f>SUMPRODUCT(Exposures!$B$9:$K$9,B2041:K2041)</f>
        <v/>
      </c>
      <c r="S2041" s="5">
        <f>SUMPRODUCT(Exposures!$B$10:$K$10,B2041:K2041)</f>
        <v/>
      </c>
    </row>
    <row r="2042">
      <c r="A2042" s="1" t="n">
        <v>45421</v>
      </c>
      <c r="B2042" s="5" t="n">
        <v>0.001283645797875513</v>
      </c>
      <c r="C2042" s="5" t="n">
        <v>-0.0005250795698958149</v>
      </c>
      <c r="D2042" s="5" t="n">
        <v>0.001517630054664013</v>
      </c>
      <c r="E2042" s="5" t="n">
        <v>0.000643276761637684</v>
      </c>
      <c r="F2042" s="5" t="n">
        <v>-0.002318400132162458</v>
      </c>
      <c r="G2042" s="5" t="n">
        <v>0.01064472499418447</v>
      </c>
      <c r="H2042" s="5" t="n">
        <v>-0.0002114186817342273</v>
      </c>
      <c r="I2042" s="5" t="n">
        <v>-0.0002230334524329143</v>
      </c>
      <c r="J2042" s="5" t="n">
        <v>0.002750249195871206</v>
      </c>
      <c r="K2042" s="5" t="n">
        <v>0.001789402347157191</v>
      </c>
      <c r="L2042" s="5" t="n">
        <v>0.001844878904978931</v>
      </c>
      <c r="M2042" s="5">
        <f>SUMPRODUCT(Exposures!$B$6:$K$6,B2042:K2042)</f>
        <v/>
      </c>
      <c r="N2042" s="5">
        <f>IF(AND($A2042&gt;=DATE(2020,2,1),$A2042&lt;=DATE(2020,5,31)),$M2042,"")</f>
        <v/>
      </c>
      <c r="O2042" s="5">
        <f>IF(AND($A2042&gt;=DATE(2022,1,1),$A2042&lt;=DATE(2022,10,31)),$M2042,"")</f>
        <v/>
      </c>
      <c r="P2042" s="5">
        <f>IF(AND($A2042&gt;=DATE(2018,10,1),$A2042&lt;=DATE(2018,12,31)),$M2042,"")</f>
        <v/>
      </c>
      <c r="Q2042" s="5">
        <f>SUMPRODUCT(Exposures!$B$8:$K$8,B2042:K2042)</f>
        <v/>
      </c>
      <c r="R2042" s="5">
        <f>SUMPRODUCT(Exposures!$B$9:$K$9,B2042:K2042)</f>
        <v/>
      </c>
      <c r="S2042" s="5">
        <f>SUMPRODUCT(Exposures!$B$10:$K$10,B2042:K2042)</f>
        <v/>
      </c>
    </row>
    <row r="2043">
      <c r="A2043" s="1" t="n">
        <v>45422</v>
      </c>
      <c r="B2043" s="5" t="n">
        <v>-0.0001236305919044421</v>
      </c>
      <c r="C2043" s="5" t="n">
        <v>0.001104959050775487</v>
      </c>
      <c r="D2043" s="5" t="n">
        <v>0.001031509006820054</v>
      </c>
      <c r="E2043" s="5" t="n">
        <v>0.001572891646834711</v>
      </c>
      <c r="F2043" s="5" t="n">
        <v>-0.001551708311629246</v>
      </c>
      <c r="G2043" s="5" t="n">
        <v>-0.002247601895121281</v>
      </c>
      <c r="H2043" s="5" t="n">
        <v>-0.002250253345168053</v>
      </c>
      <c r="I2043" s="5" t="n">
        <v>0.001863596818900923</v>
      </c>
      <c r="J2043" s="5" t="n">
        <v>-0.004997694813783226</v>
      </c>
      <c r="K2043" s="5" t="n">
        <v>0.0001360924087578424</v>
      </c>
      <c r="L2043" s="5" t="n">
        <v>-0.002015249796903637</v>
      </c>
      <c r="M2043" s="5">
        <f>SUMPRODUCT(Exposures!$B$6:$K$6,B2043:K2043)</f>
        <v/>
      </c>
      <c r="N2043" s="5">
        <f>IF(AND($A2043&gt;=DATE(2020,2,1),$A2043&lt;=DATE(2020,5,31)),$M2043,"")</f>
        <v/>
      </c>
      <c r="O2043" s="5">
        <f>IF(AND($A2043&gt;=DATE(2022,1,1),$A2043&lt;=DATE(2022,10,31)),$M2043,"")</f>
        <v/>
      </c>
      <c r="P2043" s="5">
        <f>IF(AND($A2043&gt;=DATE(2018,10,1),$A2043&lt;=DATE(2018,12,31)),$M2043,"")</f>
        <v/>
      </c>
      <c r="Q2043" s="5">
        <f>SUMPRODUCT(Exposures!$B$8:$K$8,B2043:K2043)</f>
        <v/>
      </c>
      <c r="R2043" s="5">
        <f>SUMPRODUCT(Exposures!$B$9:$K$9,B2043:K2043)</f>
        <v/>
      </c>
      <c r="S2043" s="5">
        <f>SUMPRODUCT(Exposures!$B$10:$K$10,B2043:K2043)</f>
        <v/>
      </c>
    </row>
    <row r="2044">
      <c r="A2044" s="1" t="n">
        <v>45425</v>
      </c>
      <c r="B2044" s="5" t="n">
        <v>0.0006843978835408108</v>
      </c>
      <c r="C2044" s="5" t="n">
        <v>0.0005325229490252557</v>
      </c>
      <c r="D2044" s="5" t="n">
        <v>0.003578655065769613</v>
      </c>
      <c r="E2044" s="5" t="n">
        <v>-0.0003329331086113801</v>
      </c>
      <c r="F2044" s="5" t="n">
        <v>-0.004061577106190971</v>
      </c>
      <c r="G2044" s="5" t="n">
        <v>0.003323068394665052</v>
      </c>
      <c r="H2044" s="5" t="n">
        <v>-0.007166408655557747</v>
      </c>
      <c r="I2044" s="5" t="n">
        <v>-0.001392624661212819</v>
      </c>
      <c r="J2044" s="5" t="n">
        <v>0.01104243115980331</v>
      </c>
      <c r="K2044" s="5" t="n">
        <v>0.009206228956562187</v>
      </c>
      <c r="L2044" s="5" t="n">
        <v>0.002107356169100687</v>
      </c>
      <c r="M2044" s="5">
        <f>SUMPRODUCT(Exposures!$B$6:$K$6,B2044:K2044)</f>
        <v/>
      </c>
      <c r="N2044" s="5">
        <f>IF(AND($A2044&gt;=DATE(2020,2,1),$A2044&lt;=DATE(2020,5,31)),$M2044,"")</f>
        <v/>
      </c>
      <c r="O2044" s="5">
        <f>IF(AND($A2044&gt;=DATE(2022,1,1),$A2044&lt;=DATE(2022,10,31)),$M2044,"")</f>
        <v/>
      </c>
      <c r="P2044" s="5">
        <f>IF(AND($A2044&gt;=DATE(2018,10,1),$A2044&lt;=DATE(2018,12,31)),$M2044,"")</f>
        <v/>
      </c>
      <c r="Q2044" s="5">
        <f>SUMPRODUCT(Exposures!$B$8:$K$8,B2044:K2044)</f>
        <v/>
      </c>
      <c r="R2044" s="5">
        <f>SUMPRODUCT(Exposures!$B$9:$K$9,B2044:K2044)</f>
        <v/>
      </c>
      <c r="S2044" s="5">
        <f>SUMPRODUCT(Exposures!$B$10:$K$10,B2044:K2044)</f>
        <v/>
      </c>
    </row>
    <row r="2045">
      <c r="A2045" s="1" t="n">
        <v>45426</v>
      </c>
      <c r="B2045" s="5" t="n">
        <v>0.006612371543570451</v>
      </c>
      <c r="C2045" s="5" t="n">
        <v>-0.001334440486564421</v>
      </c>
      <c r="D2045" s="5" t="n">
        <v>0.0002100267404660168</v>
      </c>
      <c r="E2045" s="5" t="n">
        <v>0.000738001519677772</v>
      </c>
      <c r="F2045" s="5" t="n">
        <v>0.003502039780982107</v>
      </c>
      <c r="G2045" s="5" t="n">
        <v>0.00925389671550618</v>
      </c>
      <c r="H2045" s="5" t="n">
        <v>0.002802355055489282</v>
      </c>
      <c r="I2045" s="5" t="n">
        <v>-0.001082902996459435</v>
      </c>
      <c r="J2045" s="5" t="n">
        <v>-0.001840455880217482</v>
      </c>
      <c r="K2045" s="5" t="n">
        <v>-0.008662258299534582</v>
      </c>
      <c r="L2045" s="5" t="n">
        <v>-0.000970813502817271</v>
      </c>
      <c r="M2045" s="5">
        <f>SUMPRODUCT(Exposures!$B$6:$K$6,B2045:K2045)</f>
        <v/>
      </c>
      <c r="N2045" s="5">
        <f>IF(AND($A2045&gt;=DATE(2020,2,1),$A2045&lt;=DATE(2020,5,31)),$M2045,"")</f>
        <v/>
      </c>
      <c r="O2045" s="5">
        <f>IF(AND($A2045&gt;=DATE(2022,1,1),$A2045&lt;=DATE(2022,10,31)),$M2045,"")</f>
        <v/>
      </c>
      <c r="P2045" s="5">
        <f>IF(AND($A2045&gt;=DATE(2018,10,1),$A2045&lt;=DATE(2018,12,31)),$M2045,"")</f>
        <v/>
      </c>
      <c r="Q2045" s="5">
        <f>SUMPRODUCT(Exposures!$B$8:$K$8,B2045:K2045)</f>
        <v/>
      </c>
      <c r="R2045" s="5">
        <f>SUMPRODUCT(Exposures!$B$9:$K$9,B2045:K2045)</f>
        <v/>
      </c>
      <c r="S2045" s="5">
        <f>SUMPRODUCT(Exposures!$B$10:$K$10,B2045:K2045)</f>
        <v/>
      </c>
    </row>
    <row r="2046">
      <c r="A2046" s="1" t="n">
        <v>45427</v>
      </c>
      <c r="B2046" s="5" t="n">
        <v>0.003249065383339758</v>
      </c>
      <c r="C2046" s="5" t="n">
        <v>-0.003083976914342115</v>
      </c>
      <c r="D2046" s="5" t="n">
        <v>0.004836561492893137</v>
      </c>
      <c r="E2046" s="5" t="n">
        <v>0.001222365043393298</v>
      </c>
      <c r="F2046" s="5" t="n">
        <v>-0.003575481800914204</v>
      </c>
      <c r="G2046" s="5" t="n">
        <v>0.006808813366352303</v>
      </c>
      <c r="H2046" s="5" t="n">
        <v>0.002507353148221788</v>
      </c>
      <c r="I2046" s="5" t="n">
        <v>0.002107442782818759</v>
      </c>
      <c r="J2046" s="5" t="n">
        <v>-0.002670937573484878</v>
      </c>
      <c r="K2046" s="5" t="n">
        <v>0.003865216057125804</v>
      </c>
      <c r="L2046" s="5" t="n">
        <v>-0.0008049072129587708</v>
      </c>
      <c r="M2046" s="5">
        <f>SUMPRODUCT(Exposures!$B$6:$K$6,B2046:K2046)</f>
        <v/>
      </c>
      <c r="N2046" s="5">
        <f>IF(AND($A2046&gt;=DATE(2020,2,1),$A2046&lt;=DATE(2020,5,31)),$M2046,"")</f>
        <v/>
      </c>
      <c r="O2046" s="5">
        <f>IF(AND($A2046&gt;=DATE(2022,1,1),$A2046&lt;=DATE(2022,10,31)),$M2046,"")</f>
        <v/>
      </c>
      <c r="P2046" s="5">
        <f>IF(AND($A2046&gt;=DATE(2018,10,1),$A2046&lt;=DATE(2018,12,31)),$M2046,"")</f>
        <v/>
      </c>
      <c r="Q2046" s="5">
        <f>SUMPRODUCT(Exposures!$B$8:$K$8,B2046:K2046)</f>
        <v/>
      </c>
      <c r="R2046" s="5">
        <f>SUMPRODUCT(Exposures!$B$9:$K$9,B2046:K2046)</f>
        <v/>
      </c>
      <c r="S2046" s="5">
        <f>SUMPRODUCT(Exposures!$B$10:$K$10,B2046:K2046)</f>
        <v/>
      </c>
    </row>
    <row r="2047">
      <c r="A2047" s="1" t="n">
        <v>45428</v>
      </c>
      <c r="B2047" s="5" t="n">
        <v>-0.00606563150228461</v>
      </c>
      <c r="C2047" s="5" t="n">
        <v>-0.000840575779733796</v>
      </c>
      <c r="D2047" s="5" t="n">
        <v>-0.0006248327736069722</v>
      </c>
      <c r="E2047" s="5" t="n">
        <v>-0.001527767060675786</v>
      </c>
      <c r="F2047" s="5" t="n">
        <v>-0.008852306743176542</v>
      </c>
      <c r="G2047" s="5" t="n">
        <v>-0.002147612692040711</v>
      </c>
      <c r="H2047" s="5" t="n">
        <v>-0.002720424332659327</v>
      </c>
      <c r="I2047" s="5" t="n">
        <v>0.001082660318825514</v>
      </c>
      <c r="J2047" s="5" t="n">
        <v>0.00643661833765246</v>
      </c>
      <c r="K2047" s="5" t="n">
        <v>0.01378792033967094</v>
      </c>
      <c r="L2047" s="5" t="n">
        <v>0.002257047784724511</v>
      </c>
      <c r="M2047" s="5">
        <f>SUMPRODUCT(Exposures!$B$6:$K$6,B2047:K2047)</f>
        <v/>
      </c>
      <c r="N2047" s="5">
        <f>IF(AND($A2047&gt;=DATE(2020,2,1),$A2047&lt;=DATE(2020,5,31)),$M2047,"")</f>
        <v/>
      </c>
      <c r="O2047" s="5">
        <f>IF(AND($A2047&gt;=DATE(2022,1,1),$A2047&lt;=DATE(2022,10,31)),$M2047,"")</f>
        <v/>
      </c>
      <c r="P2047" s="5">
        <f>IF(AND($A2047&gt;=DATE(2018,10,1),$A2047&lt;=DATE(2018,12,31)),$M2047,"")</f>
        <v/>
      </c>
      <c r="Q2047" s="5">
        <f>SUMPRODUCT(Exposures!$B$8:$K$8,B2047:K2047)</f>
        <v/>
      </c>
      <c r="R2047" s="5">
        <f>SUMPRODUCT(Exposures!$B$9:$K$9,B2047:K2047)</f>
        <v/>
      </c>
      <c r="S2047" s="5">
        <f>SUMPRODUCT(Exposures!$B$10:$K$10,B2047:K2047)</f>
        <v/>
      </c>
    </row>
    <row r="2048">
      <c r="A2048" s="1" t="n">
        <v>45429</v>
      </c>
      <c r="B2048" s="5" t="n">
        <v>-0.001634454702787033</v>
      </c>
      <c r="C2048" s="5" t="n">
        <v>0.001898643504501691</v>
      </c>
      <c r="D2048" s="5" t="n">
        <v>-0.002252763949546841</v>
      </c>
      <c r="E2048" s="5" t="n">
        <v>-0.000758463836376351</v>
      </c>
      <c r="F2048" s="5" t="n">
        <v>0.0008369363074470363</v>
      </c>
      <c r="G2048" s="5" t="n">
        <v>0.00182154204563499</v>
      </c>
      <c r="H2048" s="5" t="n">
        <v>0.00135677424472842</v>
      </c>
      <c r="I2048" s="5" t="n">
        <v>0.001079659524505946</v>
      </c>
      <c r="J2048" s="5" t="n">
        <v>0.004651817611890374</v>
      </c>
      <c r="K2048" s="5" t="n">
        <v>0.001618351158691734</v>
      </c>
      <c r="L2048" s="5" t="n">
        <v>0.001087898972432183</v>
      </c>
      <c r="M2048" s="5">
        <f>SUMPRODUCT(Exposures!$B$6:$K$6,B2048:K2048)</f>
        <v/>
      </c>
      <c r="N2048" s="5">
        <f>IF(AND($A2048&gt;=DATE(2020,2,1),$A2048&lt;=DATE(2020,5,31)),$M2048,"")</f>
        <v/>
      </c>
      <c r="O2048" s="5">
        <f>IF(AND($A2048&gt;=DATE(2022,1,1),$A2048&lt;=DATE(2022,10,31)),$M2048,"")</f>
        <v/>
      </c>
      <c r="P2048" s="5">
        <f>IF(AND($A2048&gt;=DATE(2018,10,1),$A2048&lt;=DATE(2018,12,31)),$M2048,"")</f>
        <v/>
      </c>
      <c r="Q2048" s="5">
        <f>SUMPRODUCT(Exposures!$B$8:$K$8,B2048:K2048)</f>
        <v/>
      </c>
      <c r="R2048" s="5">
        <f>SUMPRODUCT(Exposures!$B$9:$K$9,B2048:K2048)</f>
        <v/>
      </c>
      <c r="S2048" s="5">
        <f>SUMPRODUCT(Exposures!$B$10:$K$10,B2048:K2048)</f>
        <v/>
      </c>
    </row>
    <row r="2049">
      <c r="A2049" s="1" t="n">
        <v>45432</v>
      </c>
      <c r="B2049" s="5" t="n">
        <v>0.00231997783547502</v>
      </c>
      <c r="C2049" s="5" t="n">
        <v>-0.00129967636106526</v>
      </c>
      <c r="D2049" s="5" t="n">
        <v>0.00249359371179536</v>
      </c>
      <c r="E2049" s="5" t="n">
        <v>-0.001217659096105378</v>
      </c>
      <c r="F2049" s="5" t="n">
        <v>-0.001909224782360265</v>
      </c>
      <c r="G2049" s="5" t="n">
        <v>0.002462900182806384</v>
      </c>
      <c r="H2049" s="5" t="n">
        <v>0.00198674053945425</v>
      </c>
      <c r="I2049" s="5" t="n">
        <v>-0.0005589290988721418</v>
      </c>
      <c r="J2049" s="5" t="n">
        <v>0.002025256877071358</v>
      </c>
      <c r="K2049" s="5" t="n">
        <v>0.0001574214955465661</v>
      </c>
      <c r="L2049" s="5" t="n">
        <v>-0.005082739669304353</v>
      </c>
      <c r="M2049" s="5">
        <f>SUMPRODUCT(Exposures!$B$6:$K$6,B2049:K2049)</f>
        <v/>
      </c>
      <c r="N2049" s="5">
        <f>IF(AND($A2049&gt;=DATE(2020,2,1),$A2049&lt;=DATE(2020,5,31)),$M2049,"")</f>
        <v/>
      </c>
      <c r="O2049" s="5">
        <f>IF(AND($A2049&gt;=DATE(2022,1,1),$A2049&lt;=DATE(2022,10,31)),$M2049,"")</f>
        <v/>
      </c>
      <c r="P2049" s="5">
        <f>IF(AND($A2049&gt;=DATE(2018,10,1),$A2049&lt;=DATE(2018,12,31)),$M2049,"")</f>
        <v/>
      </c>
      <c r="Q2049" s="5">
        <f>SUMPRODUCT(Exposures!$B$8:$K$8,B2049:K2049)</f>
        <v/>
      </c>
      <c r="R2049" s="5">
        <f>SUMPRODUCT(Exposures!$B$9:$K$9,B2049:K2049)</f>
        <v/>
      </c>
      <c r="S2049" s="5">
        <f>SUMPRODUCT(Exposures!$B$10:$K$10,B2049:K2049)</f>
        <v/>
      </c>
    </row>
    <row r="2050">
      <c r="A2050" s="1" t="n">
        <v>45433</v>
      </c>
      <c r="B2050" s="5" t="n">
        <v>-0.001839251700599099</v>
      </c>
      <c r="C2050" s="5" t="n">
        <v>-0.002833056111558885</v>
      </c>
      <c r="D2050" s="5" t="n">
        <v>0.001978816891258098</v>
      </c>
      <c r="E2050" s="5" t="n">
        <v>0.001572030760274902</v>
      </c>
      <c r="F2050" s="5" t="n">
        <v>-0.005322092409960949</v>
      </c>
      <c r="G2050" s="5" t="n">
        <v>-0.002043011464374489</v>
      </c>
      <c r="H2050" s="5" t="n">
        <v>0.00232023995394603</v>
      </c>
      <c r="I2050" s="5" t="n">
        <v>-0.001096819711419978</v>
      </c>
      <c r="J2050" s="5" t="n">
        <v>-0.002230044710927349</v>
      </c>
      <c r="K2050" s="5" t="n">
        <v>0.00470493748166642</v>
      </c>
      <c r="L2050" s="5" t="n">
        <v>0.002152854997916541</v>
      </c>
      <c r="M2050" s="5">
        <f>SUMPRODUCT(Exposures!$B$6:$K$6,B2050:K2050)</f>
        <v/>
      </c>
      <c r="N2050" s="5">
        <f>IF(AND($A2050&gt;=DATE(2020,2,1),$A2050&lt;=DATE(2020,5,31)),$M2050,"")</f>
        <v/>
      </c>
      <c r="O2050" s="5">
        <f>IF(AND($A2050&gt;=DATE(2022,1,1),$A2050&lt;=DATE(2022,10,31)),$M2050,"")</f>
        <v/>
      </c>
      <c r="P2050" s="5">
        <f>IF(AND($A2050&gt;=DATE(2018,10,1),$A2050&lt;=DATE(2018,12,31)),$M2050,"")</f>
        <v/>
      </c>
      <c r="Q2050" s="5">
        <f>SUMPRODUCT(Exposures!$B$8:$K$8,B2050:K2050)</f>
        <v/>
      </c>
      <c r="R2050" s="5">
        <f>SUMPRODUCT(Exposures!$B$9:$K$9,B2050:K2050)</f>
        <v/>
      </c>
      <c r="S2050" s="5">
        <f>SUMPRODUCT(Exposures!$B$10:$K$10,B2050:K2050)</f>
        <v/>
      </c>
    </row>
    <row r="2051">
      <c r="A2051" s="1" t="n">
        <v>45434</v>
      </c>
      <c r="B2051" s="5" t="n">
        <v>0.004381276549014468</v>
      </c>
      <c r="C2051" s="5" t="n">
        <v>-0.002632841405211869</v>
      </c>
      <c r="D2051" s="5" t="n">
        <v>0.0005682907881495513</v>
      </c>
      <c r="E2051" s="5" t="n">
        <v>-0.002165529715397284</v>
      </c>
      <c r="F2051" s="5" t="n">
        <v>0.002604468434212505</v>
      </c>
      <c r="G2051" s="5" t="n">
        <v>-0.002314457324030086</v>
      </c>
      <c r="H2051" s="5" t="n">
        <v>-0.004459815561656286</v>
      </c>
      <c r="I2051" s="5" t="n">
        <v>0.002547890006946178</v>
      </c>
      <c r="J2051" s="5" t="n">
        <v>-0.004067017220013854</v>
      </c>
      <c r="K2051" s="5" t="n">
        <v>-0.004654636193103944</v>
      </c>
      <c r="L2051" s="5" t="n">
        <v>-0.002405125800455584</v>
      </c>
      <c r="M2051" s="5">
        <f>SUMPRODUCT(Exposures!$B$6:$K$6,B2051:K2051)</f>
        <v/>
      </c>
      <c r="N2051" s="5">
        <f>IF(AND($A2051&gt;=DATE(2020,2,1),$A2051&lt;=DATE(2020,5,31)),$M2051,"")</f>
        <v/>
      </c>
      <c r="O2051" s="5">
        <f>IF(AND($A2051&gt;=DATE(2022,1,1),$A2051&lt;=DATE(2022,10,31)),$M2051,"")</f>
        <v/>
      </c>
      <c r="P2051" s="5">
        <f>IF(AND($A2051&gt;=DATE(2018,10,1),$A2051&lt;=DATE(2018,12,31)),$M2051,"")</f>
        <v/>
      </c>
      <c r="Q2051" s="5">
        <f>SUMPRODUCT(Exposures!$B$8:$K$8,B2051:K2051)</f>
        <v/>
      </c>
      <c r="R2051" s="5">
        <f>SUMPRODUCT(Exposures!$B$9:$K$9,B2051:K2051)</f>
        <v/>
      </c>
      <c r="S2051" s="5">
        <f>SUMPRODUCT(Exposures!$B$10:$K$10,B2051:K2051)</f>
        <v/>
      </c>
    </row>
    <row r="2052">
      <c r="A2052" s="1" t="n">
        <v>45435</v>
      </c>
      <c r="B2052" s="5" t="n">
        <v>-0.004526570173255726</v>
      </c>
      <c r="C2052" s="5" t="n">
        <v>0.001239991928426893</v>
      </c>
      <c r="D2052" s="5" t="n">
        <v>-0.0005062124363902788</v>
      </c>
      <c r="E2052" s="5" t="n">
        <v>0.0002601343747000749</v>
      </c>
      <c r="F2052" s="5" t="n">
        <v>0.002094231180260234</v>
      </c>
      <c r="G2052" s="5" t="n">
        <v>-0.01584295875843354</v>
      </c>
      <c r="H2052" s="5" t="n">
        <v>0.00565878565978623</v>
      </c>
      <c r="I2052" s="5" t="n">
        <v>-0.0004090817028091402</v>
      </c>
      <c r="J2052" s="5" t="n">
        <v>-0.001829107342593838</v>
      </c>
      <c r="K2052" s="5" t="n">
        <v>-0.003796470429887114</v>
      </c>
      <c r="L2052" s="5" t="n">
        <v>-0.001550134734508041</v>
      </c>
      <c r="M2052" s="5">
        <f>SUMPRODUCT(Exposures!$B$6:$K$6,B2052:K2052)</f>
        <v/>
      </c>
      <c r="N2052" s="5">
        <f>IF(AND($A2052&gt;=DATE(2020,2,1),$A2052&lt;=DATE(2020,5,31)),$M2052,"")</f>
        <v/>
      </c>
      <c r="O2052" s="5">
        <f>IF(AND($A2052&gt;=DATE(2022,1,1),$A2052&lt;=DATE(2022,10,31)),$M2052,"")</f>
        <v/>
      </c>
      <c r="P2052" s="5">
        <f>IF(AND($A2052&gt;=DATE(2018,10,1),$A2052&lt;=DATE(2018,12,31)),$M2052,"")</f>
        <v/>
      </c>
      <c r="Q2052" s="5">
        <f>SUMPRODUCT(Exposures!$B$8:$K$8,B2052:K2052)</f>
        <v/>
      </c>
      <c r="R2052" s="5">
        <f>SUMPRODUCT(Exposures!$B$9:$K$9,B2052:K2052)</f>
        <v/>
      </c>
      <c r="S2052" s="5">
        <f>SUMPRODUCT(Exposures!$B$10:$K$10,B2052:K2052)</f>
        <v/>
      </c>
    </row>
    <row r="2053">
      <c r="A2053" s="1" t="n">
        <v>45436</v>
      </c>
      <c r="B2053" s="5" t="n">
        <v>0.002632265979849916</v>
      </c>
      <c r="C2053" s="5" t="n">
        <v>0.003185684738782729</v>
      </c>
      <c r="D2053" s="5" t="n">
        <v>0.001436455519376046</v>
      </c>
      <c r="E2053" s="5" t="n">
        <v>0.001272861571152052</v>
      </c>
      <c r="F2053" s="5" t="n">
        <v>0.004100281870803765</v>
      </c>
      <c r="G2053" s="5" t="n">
        <v>0.006069896570593997</v>
      </c>
      <c r="H2053" s="5" t="n">
        <v>0.00220784452720068</v>
      </c>
      <c r="I2053" s="5" t="n">
        <v>-0.001414970501781642</v>
      </c>
      <c r="J2053" s="5" t="n">
        <v>0.001972977157683665</v>
      </c>
      <c r="K2053" s="5" t="n">
        <v>-0.00438839494385386</v>
      </c>
      <c r="L2053" s="5" t="n">
        <v>-0.002107669156585843</v>
      </c>
      <c r="M2053" s="5">
        <f>SUMPRODUCT(Exposures!$B$6:$K$6,B2053:K2053)</f>
        <v/>
      </c>
      <c r="N2053" s="5">
        <f>IF(AND($A2053&gt;=DATE(2020,2,1),$A2053&lt;=DATE(2020,5,31)),$M2053,"")</f>
        <v/>
      </c>
      <c r="O2053" s="5">
        <f>IF(AND($A2053&gt;=DATE(2022,1,1),$A2053&lt;=DATE(2022,10,31)),$M2053,"")</f>
        <v/>
      </c>
      <c r="P2053" s="5">
        <f>IF(AND($A2053&gt;=DATE(2018,10,1),$A2053&lt;=DATE(2018,12,31)),$M2053,"")</f>
        <v/>
      </c>
      <c r="Q2053" s="5">
        <f>SUMPRODUCT(Exposures!$B$8:$K$8,B2053:K2053)</f>
        <v/>
      </c>
      <c r="R2053" s="5">
        <f>SUMPRODUCT(Exposures!$B$9:$K$9,B2053:K2053)</f>
        <v/>
      </c>
      <c r="S2053" s="5">
        <f>SUMPRODUCT(Exposures!$B$10:$K$10,B2053:K2053)</f>
        <v/>
      </c>
    </row>
    <row r="2054">
      <c r="A2054" s="1" t="n">
        <v>45440</v>
      </c>
      <c r="B2054" s="5" t="n">
        <v>0.0007991219439038755</v>
      </c>
      <c r="C2054" s="5" t="n">
        <v>0.005114739366718323</v>
      </c>
      <c r="D2054" s="5" t="n">
        <v>-0.002218984640926505</v>
      </c>
      <c r="E2054" s="5" t="n">
        <v>-0.003422335703401191</v>
      </c>
      <c r="F2054" s="5" t="n">
        <v>0.001275172260860849</v>
      </c>
      <c r="G2054" s="5" t="n">
        <v>-0.003049946111448318</v>
      </c>
      <c r="H2054" s="5" t="n">
        <v>-9.184699531850662e-05</v>
      </c>
      <c r="I2054" s="5" t="n">
        <v>7.910595163487723e-05</v>
      </c>
      <c r="J2054" s="5" t="n">
        <v>0.007980481108815296</v>
      </c>
      <c r="K2054" s="5" t="n">
        <v>0.001017724061911271</v>
      </c>
      <c r="L2054" s="5" t="n">
        <v>-0.002140622066363906</v>
      </c>
      <c r="M2054" s="5">
        <f>SUMPRODUCT(Exposures!$B$6:$K$6,B2054:K2054)</f>
        <v/>
      </c>
      <c r="N2054" s="5">
        <f>IF(AND($A2054&gt;=DATE(2020,2,1),$A2054&lt;=DATE(2020,5,31)),$M2054,"")</f>
        <v/>
      </c>
      <c r="O2054" s="5">
        <f>IF(AND($A2054&gt;=DATE(2022,1,1),$A2054&lt;=DATE(2022,10,31)),$M2054,"")</f>
        <v/>
      </c>
      <c r="P2054" s="5">
        <f>IF(AND($A2054&gt;=DATE(2018,10,1),$A2054&lt;=DATE(2018,12,31)),$M2054,"")</f>
        <v/>
      </c>
      <c r="Q2054" s="5">
        <f>SUMPRODUCT(Exposures!$B$8:$K$8,B2054:K2054)</f>
        <v/>
      </c>
      <c r="R2054" s="5">
        <f>SUMPRODUCT(Exposures!$B$9:$K$9,B2054:K2054)</f>
        <v/>
      </c>
      <c r="S2054" s="5">
        <f>SUMPRODUCT(Exposures!$B$10:$K$10,B2054:K2054)</f>
        <v/>
      </c>
    </row>
    <row r="2055">
      <c r="A2055" s="1" t="n">
        <v>45441</v>
      </c>
      <c r="B2055" s="5" t="n">
        <v>-0.006987735394200572</v>
      </c>
      <c r="C2055" s="5" t="n">
        <v>0.0003711447359041652</v>
      </c>
      <c r="D2055" s="5" t="n">
        <v>-0.002069256213526389</v>
      </c>
      <c r="E2055" s="5" t="n">
        <v>-0.0001193461297271908</v>
      </c>
      <c r="F2055" s="5" t="n">
        <v>-0.00173096530385466</v>
      </c>
      <c r="G2055" s="5" t="n">
        <v>-0.01295585850314418</v>
      </c>
      <c r="H2055" s="5" t="n">
        <v>0.005731075828337918</v>
      </c>
      <c r="I2055" s="5" t="n">
        <v>-0.00218896410540516</v>
      </c>
      <c r="J2055" s="5" t="n">
        <v>0.003396502130331489</v>
      </c>
      <c r="K2055" s="5" t="n">
        <v>0.003535460108088548</v>
      </c>
      <c r="L2055" s="5" t="n">
        <v>-0.0004251758367643851</v>
      </c>
      <c r="M2055" s="5">
        <f>SUMPRODUCT(Exposures!$B$6:$K$6,B2055:K2055)</f>
        <v/>
      </c>
      <c r="N2055" s="5">
        <f>IF(AND($A2055&gt;=DATE(2020,2,1),$A2055&lt;=DATE(2020,5,31)),$M2055,"")</f>
        <v/>
      </c>
      <c r="O2055" s="5">
        <f>IF(AND($A2055&gt;=DATE(2022,1,1),$A2055&lt;=DATE(2022,10,31)),$M2055,"")</f>
        <v/>
      </c>
      <c r="P2055" s="5">
        <f>IF(AND($A2055&gt;=DATE(2018,10,1),$A2055&lt;=DATE(2018,12,31)),$M2055,"")</f>
        <v/>
      </c>
      <c r="Q2055" s="5">
        <f>SUMPRODUCT(Exposures!$B$8:$K$8,B2055:K2055)</f>
        <v/>
      </c>
      <c r="R2055" s="5">
        <f>SUMPRODUCT(Exposures!$B$9:$K$9,B2055:K2055)</f>
        <v/>
      </c>
      <c r="S2055" s="5">
        <f>SUMPRODUCT(Exposures!$B$10:$K$10,B2055:K2055)</f>
        <v/>
      </c>
    </row>
    <row r="2056">
      <c r="A2056" s="1" t="n">
        <v>45442</v>
      </c>
      <c r="B2056" s="5" t="n">
        <v>-0.002418409238250196</v>
      </c>
      <c r="C2056" s="5" t="n">
        <v>0.005567216446921201</v>
      </c>
      <c r="D2056" s="5" t="n">
        <v>-0.00293539063060169</v>
      </c>
      <c r="E2056" s="5" t="n">
        <v>0.003289691701540657</v>
      </c>
      <c r="F2056" s="5" t="n">
        <v>-0.00145022476136133</v>
      </c>
      <c r="G2056" s="5" t="n">
        <v>0.006630143917838267</v>
      </c>
      <c r="H2056" s="5" t="n">
        <v>-0.005731091139269686</v>
      </c>
      <c r="I2056" s="5" t="n">
        <v>0.001767704643540681</v>
      </c>
      <c r="J2056" s="5" t="n">
        <v>0.003480848682310464</v>
      </c>
      <c r="K2056" s="5" t="n">
        <v>-0.002523710378490267</v>
      </c>
      <c r="L2056" s="5" t="n">
        <v>0.0002415004910685027</v>
      </c>
      <c r="M2056" s="5">
        <f>SUMPRODUCT(Exposures!$B$6:$K$6,B2056:K2056)</f>
        <v/>
      </c>
      <c r="N2056" s="5">
        <f>IF(AND($A2056&gt;=DATE(2020,2,1),$A2056&lt;=DATE(2020,5,31)),$M2056,"")</f>
        <v/>
      </c>
      <c r="O2056" s="5">
        <f>IF(AND($A2056&gt;=DATE(2022,1,1),$A2056&lt;=DATE(2022,10,31)),$M2056,"")</f>
        <v/>
      </c>
      <c r="P2056" s="5">
        <f>IF(AND($A2056&gt;=DATE(2018,10,1),$A2056&lt;=DATE(2018,12,31)),$M2056,"")</f>
        <v/>
      </c>
      <c r="Q2056" s="5">
        <f>SUMPRODUCT(Exposures!$B$8:$K$8,B2056:K2056)</f>
        <v/>
      </c>
      <c r="R2056" s="5">
        <f>SUMPRODUCT(Exposures!$B$9:$K$9,B2056:K2056)</f>
        <v/>
      </c>
      <c r="S2056" s="5">
        <f>SUMPRODUCT(Exposures!$B$10:$K$10,B2056:K2056)</f>
        <v/>
      </c>
    </row>
    <row r="2057">
      <c r="A2057" s="1" t="n">
        <v>45443</v>
      </c>
      <c r="B2057" s="5" t="n">
        <v>-0.003151310078576816</v>
      </c>
      <c r="C2057" s="5" t="n">
        <v>-0.0003803419841927858</v>
      </c>
      <c r="D2057" s="5" t="n">
        <v>-0.002945448390881589</v>
      </c>
      <c r="E2057" s="5" t="n">
        <v>0.003132051198043717</v>
      </c>
      <c r="F2057" s="5" t="n">
        <v>0.00226434172880006</v>
      </c>
      <c r="G2057" s="5" t="n">
        <v>0.009966874928641494</v>
      </c>
      <c r="H2057" s="5" t="n">
        <v>-0.006592263866719106</v>
      </c>
      <c r="I2057" s="5" t="n">
        <v>0.001794467266500218</v>
      </c>
      <c r="J2057" s="5" t="n">
        <v>-0.004734487439856871</v>
      </c>
      <c r="K2057" s="5" t="n">
        <v>-0.003517528540863967</v>
      </c>
      <c r="L2057" s="5" t="n">
        <v>0.002315938001522354</v>
      </c>
      <c r="M2057" s="5">
        <f>SUMPRODUCT(Exposures!$B$6:$K$6,B2057:K2057)</f>
        <v/>
      </c>
      <c r="N2057" s="5">
        <f>IF(AND($A2057&gt;=DATE(2020,2,1),$A2057&lt;=DATE(2020,5,31)),$M2057,"")</f>
        <v/>
      </c>
      <c r="O2057" s="5">
        <f>IF(AND($A2057&gt;=DATE(2022,1,1),$A2057&lt;=DATE(2022,10,31)),$M2057,"")</f>
        <v/>
      </c>
      <c r="P2057" s="5">
        <f>IF(AND($A2057&gt;=DATE(2018,10,1),$A2057&lt;=DATE(2018,12,31)),$M2057,"")</f>
        <v/>
      </c>
      <c r="Q2057" s="5">
        <f>SUMPRODUCT(Exposures!$B$8:$K$8,B2057:K2057)</f>
        <v/>
      </c>
      <c r="R2057" s="5">
        <f>SUMPRODUCT(Exposures!$B$9:$K$9,B2057:K2057)</f>
        <v/>
      </c>
      <c r="S2057" s="5">
        <f>SUMPRODUCT(Exposures!$B$10:$K$10,B2057:K2057)</f>
        <v/>
      </c>
    </row>
    <row r="2058">
      <c r="A2058" s="1" t="n">
        <v>45446</v>
      </c>
      <c r="B2058" s="5" t="n">
        <v>-0.003309305987148705</v>
      </c>
      <c r="C2058" s="5" t="n">
        <v>-0.0006080441996706876</v>
      </c>
      <c r="D2058" s="5" t="n">
        <v>-0.0009795081928517559</v>
      </c>
      <c r="E2058" s="5" t="n">
        <v>-0.001684892358432095</v>
      </c>
      <c r="F2058" s="5" t="n">
        <v>0.0005702383248993835</v>
      </c>
      <c r="G2058" s="5" t="n">
        <v>0.0006612229751533068</v>
      </c>
      <c r="H2058" s="5" t="n">
        <v>-0.001702297836804741</v>
      </c>
      <c r="I2058" s="5" t="n">
        <v>0.0002156691605962562</v>
      </c>
      <c r="J2058" s="5" t="n">
        <v>0.004555458985031232</v>
      </c>
      <c r="K2058" s="5" t="n">
        <v>0.0002101193966129893</v>
      </c>
      <c r="L2058" s="5" t="n">
        <v>-0.001816478825905737</v>
      </c>
      <c r="M2058" s="5">
        <f>SUMPRODUCT(Exposures!$B$6:$K$6,B2058:K2058)</f>
        <v/>
      </c>
      <c r="N2058" s="5">
        <f>IF(AND($A2058&gt;=DATE(2020,2,1),$A2058&lt;=DATE(2020,5,31)),$M2058,"")</f>
        <v/>
      </c>
      <c r="O2058" s="5">
        <f>IF(AND($A2058&gt;=DATE(2022,1,1),$A2058&lt;=DATE(2022,10,31)),$M2058,"")</f>
        <v/>
      </c>
      <c r="P2058" s="5">
        <f>IF(AND($A2058&gt;=DATE(2018,10,1),$A2058&lt;=DATE(2018,12,31)),$M2058,"")</f>
        <v/>
      </c>
      <c r="Q2058" s="5">
        <f>SUMPRODUCT(Exposures!$B$8:$K$8,B2058:K2058)</f>
        <v/>
      </c>
      <c r="R2058" s="5">
        <f>SUMPRODUCT(Exposures!$B$9:$K$9,B2058:K2058)</f>
        <v/>
      </c>
      <c r="S2058" s="5">
        <f>SUMPRODUCT(Exposures!$B$10:$K$10,B2058:K2058)</f>
        <v/>
      </c>
    </row>
    <row r="2059">
      <c r="A2059" s="1" t="n">
        <v>45447</v>
      </c>
      <c r="B2059" s="5" t="n">
        <v>9.352257326978924e-05</v>
      </c>
      <c r="C2059" s="5" t="n">
        <v>-0.001040224551849896</v>
      </c>
      <c r="D2059" s="5" t="n">
        <v>0.001359382057703625</v>
      </c>
      <c r="E2059" s="5" t="n">
        <v>-0.001811230087142925</v>
      </c>
      <c r="F2059" s="5" t="n">
        <v>5.36101071842935e-06</v>
      </c>
      <c r="G2059" s="5" t="n">
        <v>-0.006852170803520304</v>
      </c>
      <c r="H2059" s="5" t="n">
        <v>-0.004027817799050597</v>
      </c>
      <c r="I2059" s="5" t="n">
        <v>0.002073621038974376</v>
      </c>
      <c r="J2059" s="5" t="n">
        <v>-0.006956560980122539</v>
      </c>
      <c r="K2059" s="5" t="n">
        <v>0.0009998917957326173</v>
      </c>
      <c r="L2059" s="5" t="n">
        <v>-0.001771559347201883</v>
      </c>
      <c r="M2059" s="5">
        <f>SUMPRODUCT(Exposures!$B$6:$K$6,B2059:K2059)</f>
        <v/>
      </c>
      <c r="N2059" s="5">
        <f>IF(AND($A2059&gt;=DATE(2020,2,1),$A2059&lt;=DATE(2020,5,31)),$M2059,"")</f>
        <v/>
      </c>
      <c r="O2059" s="5">
        <f>IF(AND($A2059&gt;=DATE(2022,1,1),$A2059&lt;=DATE(2022,10,31)),$M2059,"")</f>
        <v/>
      </c>
      <c r="P2059" s="5">
        <f>IF(AND($A2059&gt;=DATE(2018,10,1),$A2059&lt;=DATE(2018,12,31)),$M2059,"")</f>
        <v/>
      </c>
      <c r="Q2059" s="5">
        <f>SUMPRODUCT(Exposures!$B$8:$K$8,B2059:K2059)</f>
        <v/>
      </c>
      <c r="R2059" s="5">
        <f>SUMPRODUCT(Exposures!$B$9:$K$9,B2059:K2059)</f>
        <v/>
      </c>
      <c r="S2059" s="5">
        <f>SUMPRODUCT(Exposures!$B$10:$K$10,B2059:K2059)</f>
        <v/>
      </c>
    </row>
    <row r="2060">
      <c r="A2060" s="1" t="n">
        <v>45448</v>
      </c>
      <c r="B2060" s="5" t="n">
        <v>0.01077040218237794</v>
      </c>
      <c r="C2060" s="5" t="n">
        <v>0.001966761134548807</v>
      </c>
      <c r="D2060" s="5" t="n">
        <v>-0.002111188866883908</v>
      </c>
      <c r="E2060" s="5" t="n">
        <v>-0.0006141034916616045</v>
      </c>
      <c r="F2060" s="5" t="n">
        <v>0.002074624943347599</v>
      </c>
      <c r="G2060" s="5" t="n">
        <v>0.01021645565873506</v>
      </c>
      <c r="H2060" s="5" t="n">
        <v>0.002727747725623327</v>
      </c>
      <c r="I2060" s="5" t="n">
        <v>0.001694405531743071</v>
      </c>
      <c r="J2060" s="5" t="n">
        <v>0.002890163262931791</v>
      </c>
      <c r="K2060" s="5" t="n">
        <v>-0.001641836811215839</v>
      </c>
      <c r="L2060" s="5" t="n">
        <v>-0.001615397240328981</v>
      </c>
      <c r="M2060" s="5">
        <f>SUMPRODUCT(Exposures!$B$6:$K$6,B2060:K2060)</f>
        <v/>
      </c>
      <c r="N2060" s="5">
        <f>IF(AND($A2060&gt;=DATE(2020,2,1),$A2060&lt;=DATE(2020,5,31)),$M2060,"")</f>
        <v/>
      </c>
      <c r="O2060" s="5">
        <f>IF(AND($A2060&gt;=DATE(2022,1,1),$A2060&lt;=DATE(2022,10,31)),$M2060,"")</f>
        <v/>
      </c>
      <c r="P2060" s="5">
        <f>IF(AND($A2060&gt;=DATE(2018,10,1),$A2060&lt;=DATE(2018,12,31)),$M2060,"")</f>
        <v/>
      </c>
      <c r="Q2060" s="5">
        <f>SUMPRODUCT(Exposures!$B$8:$K$8,B2060:K2060)</f>
        <v/>
      </c>
      <c r="R2060" s="5">
        <f>SUMPRODUCT(Exposures!$B$9:$K$9,B2060:K2060)</f>
        <v/>
      </c>
      <c r="S2060" s="5">
        <f>SUMPRODUCT(Exposures!$B$10:$K$10,B2060:K2060)</f>
        <v/>
      </c>
    </row>
    <row r="2061">
      <c r="A2061" s="1" t="n">
        <v>45449</v>
      </c>
      <c r="B2061" s="5" t="n">
        <v>-0.003084719169109882</v>
      </c>
      <c r="C2061" s="5" t="n">
        <v>-0.0008079819738890375</v>
      </c>
      <c r="D2061" s="5" t="n">
        <v>-0.001256222803782763</v>
      </c>
      <c r="E2061" s="5" t="n">
        <v>-0.0006474368357845799</v>
      </c>
      <c r="F2061" s="5" t="n">
        <v>0.003620163864687402</v>
      </c>
      <c r="G2061" s="5" t="n">
        <v>-0.002569910990252392</v>
      </c>
      <c r="H2061" s="5" t="n">
        <v>-0.000983461771879923</v>
      </c>
      <c r="I2061" s="5" t="n">
        <v>0.0007417055040472068</v>
      </c>
      <c r="J2061" s="5" t="n">
        <v>0.002403065920299243</v>
      </c>
      <c r="K2061" s="5" t="n">
        <v>0.0007417704876656714</v>
      </c>
      <c r="L2061" s="5" t="n">
        <v>0.001815418196149575</v>
      </c>
      <c r="M2061" s="5">
        <f>SUMPRODUCT(Exposures!$B$6:$K$6,B2061:K2061)</f>
        <v/>
      </c>
      <c r="N2061" s="5">
        <f>IF(AND($A2061&gt;=DATE(2020,2,1),$A2061&lt;=DATE(2020,5,31)),$M2061,"")</f>
        <v/>
      </c>
      <c r="O2061" s="5">
        <f>IF(AND($A2061&gt;=DATE(2022,1,1),$A2061&lt;=DATE(2022,10,31)),$M2061,"")</f>
        <v/>
      </c>
      <c r="P2061" s="5">
        <f>IF(AND($A2061&gt;=DATE(2018,10,1),$A2061&lt;=DATE(2018,12,31)),$M2061,"")</f>
        <v/>
      </c>
      <c r="Q2061" s="5">
        <f>SUMPRODUCT(Exposures!$B$8:$K$8,B2061:K2061)</f>
        <v/>
      </c>
      <c r="R2061" s="5">
        <f>SUMPRODUCT(Exposures!$B$9:$K$9,B2061:K2061)</f>
        <v/>
      </c>
      <c r="S2061" s="5">
        <f>SUMPRODUCT(Exposures!$B$10:$K$10,B2061:K2061)</f>
        <v/>
      </c>
    </row>
    <row r="2062">
      <c r="A2062" s="1" t="n">
        <v>45450</v>
      </c>
      <c r="B2062" s="5" t="n">
        <v>-0.002532647596283782</v>
      </c>
      <c r="C2062" s="5" t="n">
        <v>-0.00198945002310942</v>
      </c>
      <c r="D2062" s="5" t="n">
        <v>-0.004853570432047149</v>
      </c>
      <c r="E2062" s="5" t="n">
        <v>0.002012496025627578</v>
      </c>
      <c r="F2062" s="5" t="n">
        <v>0.006124577266654054</v>
      </c>
      <c r="G2062" s="5" t="n">
        <v>-0.008383016786881997</v>
      </c>
      <c r="H2062" s="5" t="n">
        <v>0.0002208364081911088</v>
      </c>
      <c r="I2062" s="5" t="n">
        <v>0.001100550248329925</v>
      </c>
      <c r="J2062" s="5" t="n">
        <v>-0.004974792286599343</v>
      </c>
      <c r="K2062" s="5" t="n">
        <v>-0.00354854006427778</v>
      </c>
      <c r="L2062" s="5" t="n">
        <v>-0.0001013292429849343</v>
      </c>
      <c r="M2062" s="5">
        <f>SUMPRODUCT(Exposures!$B$6:$K$6,B2062:K2062)</f>
        <v/>
      </c>
      <c r="N2062" s="5">
        <f>IF(AND($A2062&gt;=DATE(2020,2,1),$A2062&lt;=DATE(2020,5,31)),$M2062,"")</f>
        <v/>
      </c>
      <c r="O2062" s="5">
        <f>IF(AND($A2062&gt;=DATE(2022,1,1),$A2062&lt;=DATE(2022,10,31)),$M2062,"")</f>
        <v/>
      </c>
      <c r="P2062" s="5">
        <f>IF(AND($A2062&gt;=DATE(2018,10,1),$A2062&lt;=DATE(2018,12,31)),$M2062,"")</f>
        <v/>
      </c>
      <c r="Q2062" s="5">
        <f>SUMPRODUCT(Exposures!$B$8:$K$8,B2062:K2062)</f>
        <v/>
      </c>
      <c r="R2062" s="5">
        <f>SUMPRODUCT(Exposures!$B$9:$K$9,B2062:K2062)</f>
        <v/>
      </c>
      <c r="S2062" s="5">
        <f>SUMPRODUCT(Exposures!$B$10:$K$10,B2062:K2062)</f>
        <v/>
      </c>
    </row>
    <row r="2063">
      <c r="A2063" s="1" t="n">
        <v>45453</v>
      </c>
      <c r="B2063" s="5" t="n">
        <v>0.0007262427706853315</v>
      </c>
      <c r="C2063" s="5" t="n">
        <v>0.0008457972086201252</v>
      </c>
      <c r="D2063" s="5" t="n">
        <v>0.002528613642360187</v>
      </c>
      <c r="E2063" s="5" t="n">
        <v>-0.000180756237671219</v>
      </c>
      <c r="F2063" s="5" t="n">
        <v>1.514657651351619e-05</v>
      </c>
      <c r="G2063" s="5" t="n">
        <v>0.0008584415399514073</v>
      </c>
      <c r="H2063" s="5" t="n">
        <v>0.003797458919884196</v>
      </c>
      <c r="I2063" s="5" t="n">
        <v>0.0008258021470065556</v>
      </c>
      <c r="J2063" s="5" t="n">
        <v>0.001543644155550484</v>
      </c>
      <c r="K2063" s="5" t="n">
        <v>0.0002632811907353427</v>
      </c>
      <c r="L2063" s="5" t="n">
        <v>-0.001878494806153729</v>
      </c>
      <c r="M2063" s="5">
        <f>SUMPRODUCT(Exposures!$B$6:$K$6,B2063:K2063)</f>
        <v/>
      </c>
      <c r="N2063" s="5">
        <f>IF(AND($A2063&gt;=DATE(2020,2,1),$A2063&lt;=DATE(2020,5,31)),$M2063,"")</f>
        <v/>
      </c>
      <c r="O2063" s="5">
        <f>IF(AND($A2063&gt;=DATE(2022,1,1),$A2063&lt;=DATE(2022,10,31)),$M2063,"")</f>
        <v/>
      </c>
      <c r="P2063" s="5">
        <f>IF(AND($A2063&gt;=DATE(2018,10,1),$A2063&lt;=DATE(2018,12,31)),$M2063,"")</f>
        <v/>
      </c>
      <c r="Q2063" s="5">
        <f>SUMPRODUCT(Exposures!$B$8:$K$8,B2063:K2063)</f>
        <v/>
      </c>
      <c r="R2063" s="5">
        <f>SUMPRODUCT(Exposures!$B$9:$K$9,B2063:K2063)</f>
        <v/>
      </c>
      <c r="S2063" s="5">
        <f>SUMPRODUCT(Exposures!$B$10:$K$10,B2063:K2063)</f>
        <v/>
      </c>
    </row>
    <row r="2064">
      <c r="A2064" s="1" t="n">
        <v>45454</v>
      </c>
      <c r="B2064" s="5" t="n">
        <v>-4.309724070718441e-05</v>
      </c>
      <c r="C2064" s="5" t="n">
        <v>-0.00218868124231014</v>
      </c>
      <c r="D2064" s="5" t="n">
        <v>0.002594907417821343</v>
      </c>
      <c r="E2064" s="5" t="n">
        <v>-0.001306257311916644</v>
      </c>
      <c r="F2064" s="5" t="n">
        <v>0.004790070748195426</v>
      </c>
      <c r="G2064" s="5" t="n">
        <v>-0.004639885521303994</v>
      </c>
      <c r="H2064" s="5" t="n">
        <v>-0.0003034934029420106</v>
      </c>
      <c r="I2064" s="5" t="n">
        <v>-0.005567966245801638</v>
      </c>
      <c r="J2064" s="5" t="n">
        <v>0.002742294269221133</v>
      </c>
      <c r="K2064" s="5" t="n">
        <v>0.001057517111229818</v>
      </c>
      <c r="L2064" s="5" t="n">
        <v>-0.001660117497730316</v>
      </c>
      <c r="M2064" s="5">
        <f>SUMPRODUCT(Exposures!$B$6:$K$6,B2064:K2064)</f>
        <v/>
      </c>
      <c r="N2064" s="5">
        <f>IF(AND($A2064&gt;=DATE(2020,2,1),$A2064&lt;=DATE(2020,5,31)),$M2064,"")</f>
        <v/>
      </c>
      <c r="O2064" s="5">
        <f>IF(AND($A2064&gt;=DATE(2022,1,1),$A2064&lt;=DATE(2022,10,31)),$M2064,"")</f>
        <v/>
      </c>
      <c r="P2064" s="5">
        <f>IF(AND($A2064&gt;=DATE(2018,10,1),$A2064&lt;=DATE(2018,12,31)),$M2064,"")</f>
        <v/>
      </c>
      <c r="Q2064" s="5">
        <f>SUMPRODUCT(Exposures!$B$8:$K$8,B2064:K2064)</f>
        <v/>
      </c>
      <c r="R2064" s="5">
        <f>SUMPRODUCT(Exposures!$B$9:$K$9,B2064:K2064)</f>
        <v/>
      </c>
      <c r="S2064" s="5">
        <f>SUMPRODUCT(Exposures!$B$10:$K$10,B2064:K2064)</f>
        <v/>
      </c>
    </row>
    <row r="2065">
      <c r="A2065" s="1" t="n">
        <v>45455</v>
      </c>
      <c r="B2065" s="5" t="n">
        <v>0.01271194486336266</v>
      </c>
      <c r="C2065" s="5" t="n">
        <v>0.001109456843508864</v>
      </c>
      <c r="D2065" s="5" t="n">
        <v>0.0008152022137784099</v>
      </c>
      <c r="E2065" s="5" t="n">
        <v>0.0006062147290382347</v>
      </c>
      <c r="F2065" s="5" t="n">
        <v>-0.001513946166327831</v>
      </c>
      <c r="G2065" s="5" t="n">
        <v>0.01173516814986462</v>
      </c>
      <c r="H2065" s="5" t="n">
        <v>0.003228610485964151</v>
      </c>
      <c r="I2065" s="5" t="n">
        <v>-0.003087880057719546</v>
      </c>
      <c r="J2065" s="5" t="n">
        <v>-0.003351057959126327</v>
      </c>
      <c r="K2065" s="5" t="n">
        <v>-0.0009387438375712811</v>
      </c>
      <c r="L2065" s="5" t="n">
        <v>-0.0009290739658064661</v>
      </c>
      <c r="M2065" s="5">
        <f>SUMPRODUCT(Exposures!$B$6:$K$6,B2065:K2065)</f>
        <v/>
      </c>
      <c r="N2065" s="5">
        <f>IF(AND($A2065&gt;=DATE(2020,2,1),$A2065&lt;=DATE(2020,5,31)),$M2065,"")</f>
        <v/>
      </c>
      <c r="O2065" s="5">
        <f>IF(AND($A2065&gt;=DATE(2022,1,1),$A2065&lt;=DATE(2022,10,31)),$M2065,"")</f>
        <v/>
      </c>
      <c r="P2065" s="5">
        <f>IF(AND($A2065&gt;=DATE(2018,10,1),$A2065&lt;=DATE(2018,12,31)),$M2065,"")</f>
        <v/>
      </c>
      <c r="Q2065" s="5">
        <f>SUMPRODUCT(Exposures!$B$8:$K$8,B2065:K2065)</f>
        <v/>
      </c>
      <c r="R2065" s="5">
        <f>SUMPRODUCT(Exposures!$B$9:$K$9,B2065:K2065)</f>
        <v/>
      </c>
      <c r="S2065" s="5">
        <f>SUMPRODUCT(Exposures!$B$10:$K$10,B2065:K2065)</f>
        <v/>
      </c>
    </row>
    <row r="2066">
      <c r="A2066" s="1" t="n">
        <v>45456</v>
      </c>
      <c r="B2066" s="5" t="n">
        <v>0.000513444357609265</v>
      </c>
      <c r="C2066" s="5" t="n">
        <v>0.003131251325570746</v>
      </c>
      <c r="D2066" s="5" t="n">
        <v>-0.001284806771307228</v>
      </c>
      <c r="E2066" s="5" t="n">
        <v>0.000814733767908263</v>
      </c>
      <c r="F2066" s="5" t="n">
        <v>0.003864105829965809</v>
      </c>
      <c r="G2066" s="5" t="n">
        <v>-0.005876237281497438</v>
      </c>
      <c r="H2066" s="5" t="n">
        <v>-0.002788518107635272</v>
      </c>
      <c r="I2066" s="5" t="n">
        <v>0.0004747694344989563</v>
      </c>
      <c r="J2066" s="5" t="n">
        <v>-0.00300072373054839</v>
      </c>
      <c r="K2066" s="5" t="n">
        <v>-0.00308170104012259</v>
      </c>
      <c r="L2066" s="5" t="n">
        <v>0.0008994078456983677</v>
      </c>
      <c r="M2066" s="5">
        <f>SUMPRODUCT(Exposures!$B$6:$K$6,B2066:K2066)</f>
        <v/>
      </c>
      <c r="N2066" s="5">
        <f>IF(AND($A2066&gt;=DATE(2020,2,1),$A2066&lt;=DATE(2020,5,31)),$M2066,"")</f>
        <v/>
      </c>
      <c r="O2066" s="5">
        <f>IF(AND($A2066&gt;=DATE(2022,1,1),$A2066&lt;=DATE(2022,10,31)),$M2066,"")</f>
        <v/>
      </c>
      <c r="P2066" s="5">
        <f>IF(AND($A2066&gt;=DATE(2018,10,1),$A2066&lt;=DATE(2018,12,31)),$M2066,"")</f>
        <v/>
      </c>
      <c r="Q2066" s="5">
        <f>SUMPRODUCT(Exposures!$B$8:$K$8,B2066:K2066)</f>
        <v/>
      </c>
      <c r="R2066" s="5">
        <f>SUMPRODUCT(Exposures!$B$9:$K$9,B2066:K2066)</f>
        <v/>
      </c>
      <c r="S2066" s="5">
        <f>SUMPRODUCT(Exposures!$B$10:$K$10,B2066:K2066)</f>
        <v/>
      </c>
    </row>
    <row r="2067">
      <c r="A2067" s="1" t="n">
        <v>45457</v>
      </c>
      <c r="B2067" s="5" t="n">
        <v>0.002584479057012597</v>
      </c>
      <c r="C2067" s="5" t="n">
        <v>-0.003583270518485325</v>
      </c>
      <c r="D2067" s="5" t="n">
        <v>0.0006414305860719744</v>
      </c>
      <c r="E2067" s="5" t="n">
        <v>0.0004046668394134236</v>
      </c>
      <c r="F2067" s="5" t="n">
        <v>0.005587115483159554</v>
      </c>
      <c r="G2067" s="5" t="n">
        <v>-0.01149967732638114</v>
      </c>
      <c r="H2067" s="5" t="n">
        <v>-0.003232637972335603</v>
      </c>
      <c r="I2067" s="5" t="n">
        <v>0.003583574218343472</v>
      </c>
      <c r="J2067" s="5" t="n">
        <v>-0.01212325086075904</v>
      </c>
      <c r="K2067" s="5" t="n">
        <v>-0.00340756935931188</v>
      </c>
      <c r="L2067" s="5" t="n">
        <v>-0.003050017015774676</v>
      </c>
      <c r="M2067" s="5">
        <f>SUMPRODUCT(Exposures!$B$6:$K$6,B2067:K2067)</f>
        <v/>
      </c>
      <c r="N2067" s="5">
        <f>IF(AND($A2067&gt;=DATE(2020,2,1),$A2067&lt;=DATE(2020,5,31)),$M2067,"")</f>
        <v/>
      </c>
      <c r="O2067" s="5">
        <f>IF(AND($A2067&gt;=DATE(2022,1,1),$A2067&lt;=DATE(2022,10,31)),$M2067,"")</f>
        <v/>
      </c>
      <c r="P2067" s="5">
        <f>IF(AND($A2067&gt;=DATE(2018,10,1),$A2067&lt;=DATE(2018,12,31)),$M2067,"")</f>
        <v/>
      </c>
      <c r="Q2067" s="5">
        <f>SUMPRODUCT(Exposures!$B$8:$K$8,B2067:K2067)</f>
        <v/>
      </c>
      <c r="R2067" s="5">
        <f>SUMPRODUCT(Exposures!$B$9:$K$9,B2067:K2067)</f>
        <v/>
      </c>
      <c r="S2067" s="5">
        <f>SUMPRODUCT(Exposures!$B$10:$K$10,B2067:K2067)</f>
        <v/>
      </c>
    </row>
    <row r="2068">
      <c r="A2068" s="1" t="n">
        <v>45460</v>
      </c>
      <c r="B2068" s="5" t="n">
        <v>0.003694924385460969</v>
      </c>
      <c r="C2068" s="5" t="n">
        <v>0.00217659031651492</v>
      </c>
      <c r="D2068" s="5" t="n">
        <v>-0.002587838155202462</v>
      </c>
      <c r="E2068" s="5" t="n">
        <v>0.002176124628854903</v>
      </c>
      <c r="F2068" s="5" t="n">
        <v>0.004144078539352279</v>
      </c>
      <c r="G2068" s="5" t="n">
        <v>0.006008649044410978</v>
      </c>
      <c r="H2068" s="5" t="n">
        <v>-0.001126521128736566</v>
      </c>
      <c r="I2068" s="5" t="n">
        <v>-0.000385181228399173</v>
      </c>
      <c r="J2068" s="5" t="n">
        <v>-0.007293353312774933</v>
      </c>
      <c r="K2068" s="5" t="n">
        <v>-0.005683782504424553</v>
      </c>
      <c r="L2068" s="5" t="n">
        <v>-0.001178888082330159</v>
      </c>
      <c r="M2068" s="5">
        <f>SUMPRODUCT(Exposures!$B$6:$K$6,B2068:K2068)</f>
        <v/>
      </c>
      <c r="N2068" s="5">
        <f>IF(AND($A2068&gt;=DATE(2020,2,1),$A2068&lt;=DATE(2020,5,31)),$M2068,"")</f>
        <v/>
      </c>
      <c r="O2068" s="5">
        <f>IF(AND($A2068&gt;=DATE(2022,1,1),$A2068&lt;=DATE(2022,10,31)),$M2068,"")</f>
        <v/>
      </c>
      <c r="P2068" s="5">
        <f>IF(AND($A2068&gt;=DATE(2018,10,1),$A2068&lt;=DATE(2018,12,31)),$M2068,"")</f>
        <v/>
      </c>
      <c r="Q2068" s="5">
        <f>SUMPRODUCT(Exposures!$B$8:$K$8,B2068:K2068)</f>
        <v/>
      </c>
      <c r="R2068" s="5">
        <f>SUMPRODUCT(Exposures!$B$9:$K$9,B2068:K2068)</f>
        <v/>
      </c>
      <c r="S2068" s="5">
        <f>SUMPRODUCT(Exposures!$B$10:$K$10,B2068:K2068)</f>
        <v/>
      </c>
    </row>
    <row r="2069">
      <c r="A2069" s="1" t="n">
        <v>45461</v>
      </c>
      <c r="B2069" s="5" t="n">
        <v>-0.0003812551466633042</v>
      </c>
      <c r="C2069" s="5" t="n">
        <v>0.0009907767010908766</v>
      </c>
      <c r="D2069" s="5" t="n">
        <v>0.0006101201734875562</v>
      </c>
      <c r="E2069" s="5" t="n">
        <v>0.002165122037544274</v>
      </c>
      <c r="F2069" s="5" t="n">
        <v>0.001256563272272034</v>
      </c>
      <c r="G2069" s="5" t="n">
        <v>0.0005268410798039569</v>
      </c>
      <c r="H2069" s="5" t="n">
        <v>0.0009070622831307787</v>
      </c>
      <c r="I2069" s="5" t="n">
        <v>0.002464669292900915</v>
      </c>
      <c r="J2069" s="5" t="n">
        <v>-0.001491344240582632</v>
      </c>
      <c r="K2069" s="5" t="n">
        <v>-0.002990866116776153</v>
      </c>
      <c r="L2069" s="5" t="n">
        <v>-0.0005361898036453043</v>
      </c>
      <c r="M2069" s="5">
        <f>SUMPRODUCT(Exposures!$B$6:$K$6,B2069:K2069)</f>
        <v/>
      </c>
      <c r="N2069" s="5">
        <f>IF(AND($A2069&gt;=DATE(2020,2,1),$A2069&lt;=DATE(2020,5,31)),$M2069,"")</f>
        <v/>
      </c>
      <c r="O2069" s="5">
        <f>IF(AND($A2069&gt;=DATE(2022,1,1),$A2069&lt;=DATE(2022,10,31)),$M2069,"")</f>
        <v/>
      </c>
      <c r="P2069" s="5">
        <f>IF(AND($A2069&gt;=DATE(2018,10,1),$A2069&lt;=DATE(2018,12,31)),$M2069,"")</f>
        <v/>
      </c>
      <c r="Q2069" s="5">
        <f>SUMPRODUCT(Exposures!$B$8:$K$8,B2069:K2069)</f>
        <v/>
      </c>
      <c r="R2069" s="5">
        <f>SUMPRODUCT(Exposures!$B$9:$K$9,B2069:K2069)</f>
        <v/>
      </c>
      <c r="S2069" s="5">
        <f>SUMPRODUCT(Exposures!$B$10:$K$10,B2069:K2069)</f>
        <v/>
      </c>
    </row>
    <row r="2070">
      <c r="A2070" s="1" t="n">
        <v>45463</v>
      </c>
      <c r="B2070" s="5" t="n">
        <v>-0.002183118645904353</v>
      </c>
      <c r="C2070" s="5" t="n">
        <v>-0.002458637849551425</v>
      </c>
      <c r="D2070" s="5" t="n">
        <v>-0.000498519401722907</v>
      </c>
      <c r="E2070" s="5" t="n">
        <v>0.000537573798488339</v>
      </c>
      <c r="F2070" s="5" t="n">
        <v>-0.0006180429852048967</v>
      </c>
      <c r="G2070" s="5" t="n">
        <v>0.0006034255802196372</v>
      </c>
      <c r="H2070" s="5" t="n">
        <v>-0.004471672597381094</v>
      </c>
      <c r="I2070" s="5" t="n">
        <v>0.003197616995724336</v>
      </c>
      <c r="J2070" s="5" t="n">
        <v>-0.001917337961442779</v>
      </c>
      <c r="K2070" s="5" t="n">
        <v>-0.0001276838673290016</v>
      </c>
      <c r="L2070" s="5" t="n">
        <v>0.001243621117248328</v>
      </c>
      <c r="M2070" s="5">
        <f>SUMPRODUCT(Exposures!$B$6:$K$6,B2070:K2070)</f>
        <v/>
      </c>
      <c r="N2070" s="5">
        <f>IF(AND($A2070&gt;=DATE(2020,2,1),$A2070&lt;=DATE(2020,5,31)),$M2070,"")</f>
        <v/>
      </c>
      <c r="O2070" s="5">
        <f>IF(AND($A2070&gt;=DATE(2022,1,1),$A2070&lt;=DATE(2022,10,31)),$M2070,"")</f>
        <v/>
      </c>
      <c r="P2070" s="5">
        <f>IF(AND($A2070&gt;=DATE(2018,10,1),$A2070&lt;=DATE(2018,12,31)),$M2070,"")</f>
        <v/>
      </c>
      <c r="Q2070" s="5">
        <f>SUMPRODUCT(Exposures!$B$8:$K$8,B2070:K2070)</f>
        <v/>
      </c>
      <c r="R2070" s="5">
        <f>SUMPRODUCT(Exposures!$B$9:$K$9,B2070:K2070)</f>
        <v/>
      </c>
      <c r="S2070" s="5">
        <f>SUMPRODUCT(Exposures!$B$10:$K$10,B2070:K2070)</f>
        <v/>
      </c>
    </row>
    <row r="2071">
      <c r="A2071" s="1" t="n">
        <v>45464</v>
      </c>
      <c r="B2071" s="5" t="n">
        <v>-0.00204282846727061</v>
      </c>
      <c r="C2071" s="5" t="n">
        <v>-0.003873416213810114</v>
      </c>
      <c r="D2071" s="5" t="n">
        <v>0.001150557475450816</v>
      </c>
      <c r="E2071" s="5" t="n">
        <v>-0.003637632499480576</v>
      </c>
      <c r="F2071" s="5" t="n">
        <v>-0.003542723441273813</v>
      </c>
      <c r="G2071" s="5" t="n">
        <v>0.002296988820711247</v>
      </c>
      <c r="H2071" s="5" t="n">
        <v>-0.0004368852997141448</v>
      </c>
      <c r="I2071" s="5" t="n">
        <v>-0.0008429548908183066</v>
      </c>
      <c r="J2071" s="5" t="n">
        <v>0.00113430750884039</v>
      </c>
      <c r="K2071" s="5" t="n">
        <v>0.003614288153632743</v>
      </c>
      <c r="L2071" s="5" t="n">
        <v>2.097319910986469e-05</v>
      </c>
      <c r="M2071" s="5">
        <f>SUMPRODUCT(Exposures!$B$6:$K$6,B2071:K2071)</f>
        <v/>
      </c>
      <c r="N2071" s="5">
        <f>IF(AND($A2071&gt;=DATE(2020,2,1),$A2071&lt;=DATE(2020,5,31)),$M2071,"")</f>
        <v/>
      </c>
      <c r="O2071" s="5">
        <f>IF(AND($A2071&gt;=DATE(2022,1,1),$A2071&lt;=DATE(2022,10,31)),$M2071,"")</f>
        <v/>
      </c>
      <c r="P2071" s="5">
        <f>IF(AND($A2071&gt;=DATE(2018,10,1),$A2071&lt;=DATE(2018,12,31)),$M2071,"")</f>
        <v/>
      </c>
      <c r="Q2071" s="5">
        <f>SUMPRODUCT(Exposures!$B$8:$K$8,B2071:K2071)</f>
        <v/>
      </c>
      <c r="R2071" s="5">
        <f>SUMPRODUCT(Exposures!$B$9:$K$9,B2071:K2071)</f>
        <v/>
      </c>
      <c r="S2071" s="5">
        <f>SUMPRODUCT(Exposures!$B$10:$K$10,B2071:K2071)</f>
        <v/>
      </c>
    </row>
    <row r="2072">
      <c r="A2072" s="1" t="n">
        <v>45467</v>
      </c>
      <c r="B2072" s="5" t="n">
        <v>-0.00752956715240565</v>
      </c>
      <c r="C2072" s="5" t="n">
        <v>-0.00450318049847977</v>
      </c>
      <c r="D2072" s="5" t="n">
        <v>0.002913961069645804</v>
      </c>
      <c r="E2072" s="5" t="n">
        <v>0.0001349868737465498</v>
      </c>
      <c r="F2072" s="5" t="n">
        <v>-0.003923455056541448</v>
      </c>
      <c r="G2072" s="5" t="n">
        <v>0.007837617592520687</v>
      </c>
      <c r="H2072" s="5" t="n">
        <v>-0.00196019224387421</v>
      </c>
      <c r="I2072" s="5" t="n">
        <v>-0.0018975695484149</v>
      </c>
      <c r="J2072" s="5" t="n">
        <v>0.0031718158629284</v>
      </c>
      <c r="K2072" s="5" t="n">
        <v>0.002948249232111945</v>
      </c>
      <c r="L2072" s="5" t="n">
        <v>0.003255119778156684</v>
      </c>
      <c r="M2072" s="5">
        <f>SUMPRODUCT(Exposures!$B$6:$K$6,B2072:K2072)</f>
        <v/>
      </c>
      <c r="N2072" s="5">
        <f>IF(AND($A2072&gt;=DATE(2020,2,1),$A2072&lt;=DATE(2020,5,31)),$M2072,"")</f>
        <v/>
      </c>
      <c r="O2072" s="5">
        <f>IF(AND($A2072&gt;=DATE(2022,1,1),$A2072&lt;=DATE(2022,10,31)),$M2072,"")</f>
        <v/>
      </c>
      <c r="P2072" s="5">
        <f>IF(AND($A2072&gt;=DATE(2018,10,1),$A2072&lt;=DATE(2018,12,31)),$M2072,"")</f>
        <v/>
      </c>
      <c r="Q2072" s="5">
        <f>SUMPRODUCT(Exposures!$B$8:$K$8,B2072:K2072)</f>
        <v/>
      </c>
      <c r="R2072" s="5">
        <f>SUMPRODUCT(Exposures!$B$9:$K$9,B2072:K2072)</f>
        <v/>
      </c>
      <c r="S2072" s="5">
        <f>SUMPRODUCT(Exposures!$B$10:$K$10,B2072:K2072)</f>
        <v/>
      </c>
    </row>
    <row r="2073">
      <c r="A2073" s="1" t="n">
        <v>45468</v>
      </c>
      <c r="B2073" s="5" t="n">
        <v>0.002719714194105798</v>
      </c>
      <c r="C2073" s="5" t="n">
        <v>0.002342708362600491</v>
      </c>
      <c r="D2073" s="5" t="n">
        <v>0.004470214789090148</v>
      </c>
      <c r="E2073" s="5" t="n">
        <v>-0.001783084832889219</v>
      </c>
      <c r="F2073" s="5" t="n">
        <v>0.001171600129354899</v>
      </c>
      <c r="G2073" s="5" t="n">
        <v>-0.006437029181326186</v>
      </c>
      <c r="H2073" s="5" t="n">
        <v>0.002487471163533164</v>
      </c>
      <c r="I2073" s="5" t="n">
        <v>0.0004319332686271531</v>
      </c>
      <c r="J2073" s="5" t="n">
        <v>0.0007866893541402928</v>
      </c>
      <c r="K2073" s="5" t="n">
        <v>0.002056489014394838</v>
      </c>
      <c r="L2073" s="5" t="n">
        <v>-0.004871921554372196</v>
      </c>
      <c r="M2073" s="5">
        <f>SUMPRODUCT(Exposures!$B$6:$K$6,B2073:K2073)</f>
        <v/>
      </c>
      <c r="N2073" s="5">
        <f>IF(AND($A2073&gt;=DATE(2020,2,1),$A2073&lt;=DATE(2020,5,31)),$M2073,"")</f>
        <v/>
      </c>
      <c r="O2073" s="5">
        <f>IF(AND($A2073&gt;=DATE(2022,1,1),$A2073&lt;=DATE(2022,10,31)),$M2073,"")</f>
        <v/>
      </c>
      <c r="P2073" s="5">
        <f>IF(AND($A2073&gt;=DATE(2018,10,1),$A2073&lt;=DATE(2018,12,31)),$M2073,"")</f>
        <v/>
      </c>
      <c r="Q2073" s="5">
        <f>SUMPRODUCT(Exposures!$B$8:$K$8,B2073:K2073)</f>
        <v/>
      </c>
      <c r="R2073" s="5">
        <f>SUMPRODUCT(Exposures!$B$9:$K$9,B2073:K2073)</f>
        <v/>
      </c>
      <c r="S2073" s="5">
        <f>SUMPRODUCT(Exposures!$B$10:$K$10,B2073:K2073)</f>
        <v/>
      </c>
    </row>
    <row r="2074">
      <c r="A2074" s="1" t="n">
        <v>45469</v>
      </c>
      <c r="B2074" s="5" t="n">
        <v>0.0003783650712292288</v>
      </c>
      <c r="C2074" s="5" t="n">
        <v>-0.0001418287543783289</v>
      </c>
      <c r="D2074" s="5" t="n">
        <v>-0.0005725385532500539</v>
      </c>
      <c r="E2074" s="5" t="n">
        <v>-0.002485498468672324</v>
      </c>
      <c r="F2074" s="5" t="n">
        <v>0.001469129218540642</v>
      </c>
      <c r="G2074" s="5" t="n">
        <v>-0.0006753894520659969</v>
      </c>
      <c r="H2074" s="5" t="n">
        <v>0.0002015130273389587</v>
      </c>
      <c r="I2074" s="5" t="n">
        <v>-0.003256678214979782</v>
      </c>
      <c r="J2074" s="5" t="n">
        <v>0.002997072761955017</v>
      </c>
      <c r="K2074" s="5" t="n">
        <v>0.00278859280294556</v>
      </c>
      <c r="L2074" s="5" t="n">
        <v>0.001718051538599317</v>
      </c>
      <c r="M2074" s="5">
        <f>SUMPRODUCT(Exposures!$B$6:$K$6,B2074:K2074)</f>
        <v/>
      </c>
      <c r="N2074" s="5">
        <f>IF(AND($A2074&gt;=DATE(2020,2,1),$A2074&lt;=DATE(2020,5,31)),$M2074,"")</f>
        <v/>
      </c>
      <c r="O2074" s="5">
        <f>IF(AND($A2074&gt;=DATE(2022,1,1),$A2074&lt;=DATE(2022,10,31)),$M2074,"")</f>
        <v/>
      </c>
      <c r="P2074" s="5">
        <f>IF(AND($A2074&gt;=DATE(2018,10,1),$A2074&lt;=DATE(2018,12,31)),$M2074,"")</f>
        <v/>
      </c>
      <c r="Q2074" s="5">
        <f>SUMPRODUCT(Exposures!$B$8:$K$8,B2074:K2074)</f>
        <v/>
      </c>
      <c r="R2074" s="5">
        <f>SUMPRODUCT(Exposures!$B$9:$K$9,B2074:K2074)</f>
        <v/>
      </c>
      <c r="S2074" s="5">
        <f>SUMPRODUCT(Exposures!$B$10:$K$10,B2074:K2074)</f>
        <v/>
      </c>
    </row>
    <row r="2075">
      <c r="A2075" s="1" t="n">
        <v>45470</v>
      </c>
      <c r="B2075" s="5" t="n">
        <v>0.004396270816010693</v>
      </c>
      <c r="C2075" s="5" t="n">
        <v>-0.0006888994442751484</v>
      </c>
      <c r="D2075" s="5" t="n">
        <v>0.0009708331925368688</v>
      </c>
      <c r="E2075" s="5" t="n">
        <v>2.050239530988459e-05</v>
      </c>
      <c r="F2075" s="5" t="n">
        <v>-0.005216399120536317</v>
      </c>
      <c r="G2075" s="5" t="n">
        <v>0.002156322324994259</v>
      </c>
      <c r="H2075" s="5" t="n">
        <v>0.0009238225524621532</v>
      </c>
      <c r="I2075" s="5" t="n">
        <v>-0.0004325922412629556</v>
      </c>
      <c r="J2075" s="5" t="n">
        <v>-0.001021195671986818</v>
      </c>
      <c r="K2075" s="5" t="n">
        <v>0.004027818241694776</v>
      </c>
      <c r="L2075" s="5" t="n">
        <v>-0.003350103874489222</v>
      </c>
      <c r="M2075" s="5">
        <f>SUMPRODUCT(Exposures!$B$6:$K$6,B2075:K2075)</f>
        <v/>
      </c>
      <c r="N2075" s="5">
        <f>IF(AND($A2075&gt;=DATE(2020,2,1),$A2075&lt;=DATE(2020,5,31)),$M2075,"")</f>
        <v/>
      </c>
      <c r="O2075" s="5">
        <f>IF(AND($A2075&gt;=DATE(2022,1,1),$A2075&lt;=DATE(2022,10,31)),$M2075,"")</f>
        <v/>
      </c>
      <c r="P2075" s="5">
        <f>IF(AND($A2075&gt;=DATE(2018,10,1),$A2075&lt;=DATE(2018,12,31)),$M2075,"")</f>
        <v/>
      </c>
      <c r="Q2075" s="5">
        <f>SUMPRODUCT(Exposures!$B$8:$K$8,B2075:K2075)</f>
        <v/>
      </c>
      <c r="R2075" s="5">
        <f>SUMPRODUCT(Exposures!$B$9:$K$9,B2075:K2075)</f>
        <v/>
      </c>
      <c r="S2075" s="5">
        <f>SUMPRODUCT(Exposures!$B$10:$K$10,B2075:K2075)</f>
        <v/>
      </c>
    </row>
    <row r="2076">
      <c r="A2076" s="1" t="n">
        <v>45471</v>
      </c>
      <c r="B2076" s="5" t="n">
        <v>0.0006509040651160431</v>
      </c>
      <c r="C2076" s="5" t="n">
        <v>-0.0006054174818843925</v>
      </c>
      <c r="D2076" s="5" t="n">
        <v>-0.0005429724153255998</v>
      </c>
      <c r="E2076" s="5" t="n">
        <v>0.0008421190558062517</v>
      </c>
      <c r="F2076" s="5" t="n">
        <v>-0.0007050942023963081</v>
      </c>
      <c r="G2076" s="5" t="n">
        <v>0.002954074585286045</v>
      </c>
      <c r="H2076" s="5" t="n">
        <v>0.0005041341978462823</v>
      </c>
      <c r="I2076" s="5" t="n">
        <v>0.003054600259996773</v>
      </c>
      <c r="J2076" s="5" t="n">
        <v>-0.001573198771046594</v>
      </c>
      <c r="K2076" s="5" t="n">
        <v>-0.003442144832384433</v>
      </c>
      <c r="L2076" s="5" t="n">
        <v>0.004173545896265433</v>
      </c>
      <c r="M2076" s="5">
        <f>SUMPRODUCT(Exposures!$B$6:$K$6,B2076:K2076)</f>
        <v/>
      </c>
      <c r="N2076" s="5">
        <f>IF(AND($A2076&gt;=DATE(2020,2,1),$A2076&lt;=DATE(2020,5,31)),$M2076,"")</f>
        <v/>
      </c>
      <c r="O2076" s="5">
        <f>IF(AND($A2076&gt;=DATE(2022,1,1),$A2076&lt;=DATE(2022,10,31)),$M2076,"")</f>
        <v/>
      </c>
      <c r="P2076" s="5">
        <f>IF(AND($A2076&gt;=DATE(2018,10,1),$A2076&lt;=DATE(2018,12,31)),$M2076,"")</f>
        <v/>
      </c>
      <c r="Q2076" s="5">
        <f>SUMPRODUCT(Exposures!$B$8:$K$8,B2076:K2076)</f>
        <v/>
      </c>
      <c r="R2076" s="5">
        <f>SUMPRODUCT(Exposures!$B$9:$K$9,B2076:K2076)</f>
        <v/>
      </c>
      <c r="S2076" s="5">
        <f>SUMPRODUCT(Exposures!$B$10:$K$10,B2076:K2076)</f>
        <v/>
      </c>
    </row>
    <row r="2077">
      <c r="A2077" s="1" t="n">
        <v>45474</v>
      </c>
      <c r="B2077" s="5" t="n">
        <v>-0.001939981707790475</v>
      </c>
      <c r="C2077" s="5" t="n">
        <v>-0.001856542617284698</v>
      </c>
      <c r="D2077" s="5" t="n">
        <v>-0.001679020151488059</v>
      </c>
      <c r="E2077" s="5" t="n">
        <v>0.001567138738191966</v>
      </c>
      <c r="F2077" s="5" t="n">
        <v>0.001595999394067092</v>
      </c>
      <c r="G2077" s="5" t="n">
        <v>-0.007301494511134991</v>
      </c>
      <c r="H2077" s="5" t="n">
        <v>0.00328151728502677</v>
      </c>
      <c r="I2077" s="5" t="n">
        <v>-0.001019507134240706</v>
      </c>
      <c r="J2077" s="5" t="n">
        <v>0.003870460913205881</v>
      </c>
      <c r="K2077" s="5" t="n">
        <v>0.003899644767457827</v>
      </c>
      <c r="L2077" s="5" t="n">
        <v>-0.0008896322475261352</v>
      </c>
      <c r="M2077" s="5">
        <f>SUMPRODUCT(Exposures!$B$6:$K$6,B2077:K2077)</f>
        <v/>
      </c>
      <c r="N2077" s="5">
        <f>IF(AND($A2077&gt;=DATE(2020,2,1),$A2077&lt;=DATE(2020,5,31)),$M2077,"")</f>
        <v/>
      </c>
      <c r="O2077" s="5">
        <f>IF(AND($A2077&gt;=DATE(2022,1,1),$A2077&lt;=DATE(2022,10,31)),$M2077,"")</f>
        <v/>
      </c>
      <c r="P2077" s="5">
        <f>IF(AND($A2077&gt;=DATE(2018,10,1),$A2077&lt;=DATE(2018,12,31)),$M2077,"")</f>
        <v/>
      </c>
      <c r="Q2077" s="5">
        <f>SUMPRODUCT(Exposures!$B$8:$K$8,B2077:K2077)</f>
        <v/>
      </c>
      <c r="R2077" s="5">
        <f>SUMPRODUCT(Exposures!$B$9:$K$9,B2077:K2077)</f>
        <v/>
      </c>
      <c r="S2077" s="5">
        <f>SUMPRODUCT(Exposures!$B$10:$K$10,B2077:K2077)</f>
        <v/>
      </c>
    </row>
    <row r="2078">
      <c r="A2078" s="1" t="n">
        <v>45475</v>
      </c>
      <c r="B2078" s="5" t="n">
        <v>0.007821630022871555</v>
      </c>
      <c r="C2078" s="5" t="n">
        <v>0.001680086187386661</v>
      </c>
      <c r="D2078" s="5" t="n">
        <v>-0.0008031791501450997</v>
      </c>
      <c r="E2078" s="5" t="n">
        <v>-0.001519640983141452</v>
      </c>
      <c r="F2078" s="5" t="n">
        <v>-0.004123752446291671</v>
      </c>
      <c r="G2078" s="5" t="n">
        <v>0.003827928696316083</v>
      </c>
      <c r="H2078" s="5" t="n">
        <v>0.0008623000945298831</v>
      </c>
      <c r="I2078" s="5" t="n">
        <v>-0.0001052198562149232</v>
      </c>
      <c r="J2078" s="5" t="n">
        <v>-0.004627741247885744</v>
      </c>
      <c r="K2078" s="5" t="n">
        <v>0.00645149404266096</v>
      </c>
      <c r="L2078" s="5" t="n">
        <v>0.002830649506504053</v>
      </c>
      <c r="M2078" s="5">
        <f>SUMPRODUCT(Exposures!$B$6:$K$6,B2078:K2078)</f>
        <v/>
      </c>
      <c r="N2078" s="5">
        <f>IF(AND($A2078&gt;=DATE(2020,2,1),$A2078&lt;=DATE(2020,5,31)),$M2078,"")</f>
        <v/>
      </c>
      <c r="O2078" s="5">
        <f>IF(AND($A2078&gt;=DATE(2022,1,1),$A2078&lt;=DATE(2022,10,31)),$M2078,"")</f>
        <v/>
      </c>
      <c r="P2078" s="5">
        <f>IF(AND($A2078&gt;=DATE(2018,10,1),$A2078&lt;=DATE(2018,12,31)),$M2078,"")</f>
        <v/>
      </c>
      <c r="Q2078" s="5">
        <f>SUMPRODUCT(Exposures!$B$8:$K$8,B2078:K2078)</f>
        <v/>
      </c>
      <c r="R2078" s="5">
        <f>SUMPRODUCT(Exposures!$B$9:$K$9,B2078:K2078)</f>
        <v/>
      </c>
      <c r="S2078" s="5">
        <f>SUMPRODUCT(Exposures!$B$10:$K$10,B2078:K2078)</f>
        <v/>
      </c>
    </row>
    <row r="2079">
      <c r="A2079" s="1" t="n">
        <v>45476</v>
      </c>
      <c r="B2079" s="5" t="n">
        <v>0.00283473502907369</v>
      </c>
      <c r="C2079" s="5" t="n">
        <v>0.001065716202125989</v>
      </c>
      <c r="D2079" s="5" t="n">
        <v>-0.001261657645528293</v>
      </c>
      <c r="E2079" s="5" t="n">
        <v>-0.0001774345282078465</v>
      </c>
      <c r="F2079" s="5" t="n">
        <v>0.0001029532951582791</v>
      </c>
      <c r="G2079" s="5" t="n">
        <v>0.004614944068541661</v>
      </c>
      <c r="H2079" s="5" t="n">
        <v>0.000539173022730011</v>
      </c>
      <c r="I2079" s="5" t="n">
        <v>0.0001547066134643623</v>
      </c>
      <c r="J2079" s="5" t="n">
        <v>0.004413415778412899</v>
      </c>
      <c r="K2079" s="5" t="n">
        <v>-0.0005092049257500782</v>
      </c>
      <c r="L2079" s="5" t="n">
        <v>-0.0006109625301447571</v>
      </c>
      <c r="M2079" s="5">
        <f>SUMPRODUCT(Exposures!$B$6:$K$6,B2079:K2079)</f>
        <v/>
      </c>
      <c r="N2079" s="5">
        <f>IF(AND($A2079&gt;=DATE(2020,2,1),$A2079&lt;=DATE(2020,5,31)),$M2079,"")</f>
        <v/>
      </c>
      <c r="O2079" s="5">
        <f>IF(AND($A2079&gt;=DATE(2022,1,1),$A2079&lt;=DATE(2022,10,31)),$M2079,"")</f>
        <v/>
      </c>
      <c r="P2079" s="5">
        <f>IF(AND($A2079&gt;=DATE(2018,10,1),$A2079&lt;=DATE(2018,12,31)),$M2079,"")</f>
        <v/>
      </c>
      <c r="Q2079" s="5">
        <f>SUMPRODUCT(Exposures!$B$8:$K$8,B2079:K2079)</f>
        <v/>
      </c>
      <c r="R2079" s="5">
        <f>SUMPRODUCT(Exposures!$B$9:$K$9,B2079:K2079)</f>
        <v/>
      </c>
      <c r="S2079" s="5">
        <f>SUMPRODUCT(Exposures!$B$10:$K$10,B2079:K2079)</f>
        <v/>
      </c>
    </row>
    <row r="2080">
      <c r="A2080" s="1" t="n">
        <v>45478</v>
      </c>
      <c r="B2080" s="5" t="n">
        <v>0.001235745826466823</v>
      </c>
      <c r="C2080" s="5" t="n">
        <v>-0.0004822607222416516</v>
      </c>
      <c r="D2080" s="5" t="n">
        <v>-0.001188408664791232</v>
      </c>
      <c r="E2080" s="5" t="n">
        <v>-0.002032272494244601</v>
      </c>
      <c r="F2080" s="5" t="n">
        <v>0.004373645071748176</v>
      </c>
      <c r="G2080" s="5" t="n">
        <v>-0.002820077291980781</v>
      </c>
      <c r="H2080" s="5" t="n">
        <v>-0.0005557864892306713</v>
      </c>
      <c r="I2080" s="5" t="n">
        <v>-0.0008900562742899075</v>
      </c>
      <c r="J2080" s="5" t="n">
        <v>0.000408096251313806</v>
      </c>
      <c r="K2080" s="5" t="n">
        <v>0.002191000080463716</v>
      </c>
      <c r="L2080" s="5" t="n">
        <v>-0.002737810595721905</v>
      </c>
      <c r="M2080" s="5">
        <f>SUMPRODUCT(Exposures!$B$6:$K$6,B2080:K2080)</f>
        <v/>
      </c>
      <c r="N2080" s="5">
        <f>IF(AND($A2080&gt;=DATE(2020,2,1),$A2080&lt;=DATE(2020,5,31)),$M2080,"")</f>
        <v/>
      </c>
      <c r="O2080" s="5">
        <f>IF(AND($A2080&gt;=DATE(2022,1,1),$A2080&lt;=DATE(2022,10,31)),$M2080,"")</f>
        <v/>
      </c>
      <c r="P2080" s="5">
        <f>IF(AND($A2080&gt;=DATE(2018,10,1),$A2080&lt;=DATE(2018,12,31)),$M2080,"")</f>
        <v/>
      </c>
      <c r="Q2080" s="5">
        <f>SUMPRODUCT(Exposures!$B$8:$K$8,B2080:K2080)</f>
        <v/>
      </c>
      <c r="R2080" s="5">
        <f>SUMPRODUCT(Exposures!$B$9:$K$9,B2080:K2080)</f>
        <v/>
      </c>
      <c r="S2080" s="5">
        <f>SUMPRODUCT(Exposures!$B$10:$K$10,B2080:K2080)</f>
        <v/>
      </c>
    </row>
    <row r="2081">
      <c r="A2081" s="1" t="n">
        <v>45481</v>
      </c>
      <c r="B2081" s="5" t="n">
        <v>0.003194917800233008</v>
      </c>
      <c r="C2081" s="5" t="n">
        <v>1.777501490835031e-05</v>
      </c>
      <c r="D2081" s="5" t="n">
        <v>-0.0001016627869674477</v>
      </c>
      <c r="E2081" s="5" t="n">
        <v>-2.522670189211631e-05</v>
      </c>
      <c r="F2081" s="5" t="n">
        <v>0.000964683697818834</v>
      </c>
      <c r="G2081" s="5" t="n">
        <v>0.002229897075590297</v>
      </c>
      <c r="H2081" s="5" t="n">
        <v>0.001635799817803278</v>
      </c>
      <c r="I2081" s="5" t="n">
        <v>-0.0006102536541912615</v>
      </c>
      <c r="J2081" s="5" t="n">
        <v>0.0003727773317900806</v>
      </c>
      <c r="K2081" s="5" t="n">
        <v>-0.001729730672246811</v>
      </c>
      <c r="L2081" s="5" t="n">
        <v>0.0005467011515171501</v>
      </c>
      <c r="M2081" s="5">
        <f>SUMPRODUCT(Exposures!$B$6:$K$6,B2081:K2081)</f>
        <v/>
      </c>
      <c r="N2081" s="5">
        <f>IF(AND($A2081&gt;=DATE(2020,2,1),$A2081&lt;=DATE(2020,5,31)),$M2081,"")</f>
        <v/>
      </c>
      <c r="O2081" s="5">
        <f>IF(AND($A2081&gt;=DATE(2022,1,1),$A2081&lt;=DATE(2022,10,31)),$M2081,"")</f>
        <v/>
      </c>
      <c r="P2081" s="5">
        <f>IF(AND($A2081&gt;=DATE(2018,10,1),$A2081&lt;=DATE(2018,12,31)),$M2081,"")</f>
        <v/>
      </c>
      <c r="Q2081" s="5">
        <f>SUMPRODUCT(Exposures!$B$8:$K$8,B2081:K2081)</f>
        <v/>
      </c>
      <c r="R2081" s="5">
        <f>SUMPRODUCT(Exposures!$B$9:$K$9,B2081:K2081)</f>
        <v/>
      </c>
      <c r="S2081" s="5">
        <f>SUMPRODUCT(Exposures!$B$10:$K$10,B2081:K2081)</f>
        <v/>
      </c>
    </row>
    <row r="2082">
      <c r="A2082" s="1" t="n">
        <v>45482</v>
      </c>
      <c r="B2082" s="5" t="n">
        <v>-0.006736609958647008</v>
      </c>
      <c r="C2082" s="5" t="n">
        <v>0.0009068391325268883</v>
      </c>
      <c r="D2082" s="5" t="n">
        <v>-0.001697594341458178</v>
      </c>
      <c r="E2082" s="5" t="n">
        <v>0.002117220599474016</v>
      </c>
      <c r="F2082" s="5" t="n">
        <v>-0.001612089349299801</v>
      </c>
      <c r="G2082" s="5" t="n">
        <v>-0.003630890107109257</v>
      </c>
      <c r="H2082" s="5" t="n">
        <v>0.004235662788504566</v>
      </c>
      <c r="I2082" s="5" t="n">
        <v>0.00101093910235693</v>
      </c>
      <c r="J2082" s="5" t="n">
        <v>0.005499068388722292</v>
      </c>
      <c r="K2082" s="5" t="n">
        <v>0.006576119737586016</v>
      </c>
      <c r="L2082" s="5" t="n">
        <v>0.003110528814004592</v>
      </c>
      <c r="M2082" s="5">
        <f>SUMPRODUCT(Exposures!$B$6:$K$6,B2082:K2082)</f>
        <v/>
      </c>
      <c r="N2082" s="5">
        <f>IF(AND($A2082&gt;=DATE(2020,2,1),$A2082&lt;=DATE(2020,5,31)),$M2082,"")</f>
        <v/>
      </c>
      <c r="O2082" s="5">
        <f>IF(AND($A2082&gt;=DATE(2022,1,1),$A2082&lt;=DATE(2022,10,31)),$M2082,"")</f>
        <v/>
      </c>
      <c r="P2082" s="5">
        <f>IF(AND($A2082&gt;=DATE(2018,10,1),$A2082&lt;=DATE(2018,12,31)),$M2082,"")</f>
        <v/>
      </c>
      <c r="Q2082" s="5">
        <f>SUMPRODUCT(Exposures!$B$8:$K$8,B2082:K2082)</f>
        <v/>
      </c>
      <c r="R2082" s="5">
        <f>SUMPRODUCT(Exposures!$B$9:$K$9,B2082:K2082)</f>
        <v/>
      </c>
      <c r="S2082" s="5">
        <f>SUMPRODUCT(Exposures!$B$10:$K$10,B2082:K2082)</f>
        <v/>
      </c>
    </row>
    <row r="2083">
      <c r="A2083" s="1" t="n">
        <v>45483</v>
      </c>
      <c r="B2083" s="5" t="n">
        <v>0.004786670630329752</v>
      </c>
      <c r="C2083" s="5" t="n">
        <v>0.0009599895265331327</v>
      </c>
      <c r="D2083" s="5" t="n">
        <v>-0.001386902184999404</v>
      </c>
      <c r="E2083" s="5" t="n">
        <v>0.0007858857793930471</v>
      </c>
      <c r="F2083" s="5" t="n">
        <v>-0.0007109036444911396</v>
      </c>
      <c r="G2083" s="5" t="n">
        <v>0.01010943333381325</v>
      </c>
      <c r="H2083" s="5" t="n">
        <v>-0.0004668709447897276</v>
      </c>
      <c r="I2083" s="5" t="n">
        <v>0.001048033769324928</v>
      </c>
      <c r="J2083" s="5" t="n">
        <v>-0.000722166087942914</v>
      </c>
      <c r="K2083" s="5" t="n">
        <v>0.0005187131202901234</v>
      </c>
      <c r="L2083" s="5" t="n">
        <v>0.0006108450976301189</v>
      </c>
      <c r="M2083" s="5">
        <f>SUMPRODUCT(Exposures!$B$6:$K$6,B2083:K2083)</f>
        <v/>
      </c>
      <c r="N2083" s="5">
        <f>IF(AND($A2083&gt;=DATE(2020,2,1),$A2083&lt;=DATE(2020,5,31)),$M2083,"")</f>
        <v/>
      </c>
      <c r="O2083" s="5">
        <f>IF(AND($A2083&gt;=DATE(2022,1,1),$A2083&lt;=DATE(2022,10,31)),$M2083,"")</f>
        <v/>
      </c>
      <c r="P2083" s="5">
        <f>IF(AND($A2083&gt;=DATE(2018,10,1),$A2083&lt;=DATE(2018,12,31)),$M2083,"")</f>
        <v/>
      </c>
      <c r="Q2083" s="5">
        <f>SUMPRODUCT(Exposures!$B$8:$K$8,B2083:K2083)</f>
        <v/>
      </c>
      <c r="R2083" s="5">
        <f>SUMPRODUCT(Exposures!$B$9:$K$9,B2083:K2083)</f>
        <v/>
      </c>
      <c r="S2083" s="5">
        <f>SUMPRODUCT(Exposures!$B$10:$K$10,B2083:K2083)</f>
        <v/>
      </c>
    </row>
    <row r="2084">
      <c r="A2084" s="1" t="n">
        <v>45484</v>
      </c>
      <c r="B2084" s="5" t="n">
        <v>-0.002604954354697942</v>
      </c>
      <c r="C2084" s="5" t="n">
        <v>-0.001158397751444125</v>
      </c>
      <c r="D2084" s="5" t="n">
        <v>0.001977417695806893</v>
      </c>
      <c r="E2084" s="5" t="n">
        <v>0.00305111730873225</v>
      </c>
      <c r="F2084" s="5" t="n">
        <v>-0.007950041082416722</v>
      </c>
      <c r="G2084" s="5" t="n">
        <v>0.02104784462565848</v>
      </c>
      <c r="H2084" s="5" t="n">
        <v>-0.005702385759398858</v>
      </c>
      <c r="I2084" s="5" t="n">
        <v>-0.000138576261853016</v>
      </c>
      <c r="J2084" s="5" t="n">
        <v>0.00516313919750958</v>
      </c>
      <c r="K2084" s="5" t="n">
        <v>-0.004611601993969087</v>
      </c>
      <c r="L2084" s="5" t="n">
        <v>0.003765197153941236</v>
      </c>
      <c r="M2084" s="5">
        <f>SUMPRODUCT(Exposures!$B$6:$K$6,B2084:K2084)</f>
        <v/>
      </c>
      <c r="N2084" s="5">
        <f>IF(AND($A2084&gt;=DATE(2020,2,1),$A2084&lt;=DATE(2020,5,31)),$M2084,"")</f>
        <v/>
      </c>
      <c r="O2084" s="5">
        <f>IF(AND($A2084&gt;=DATE(2022,1,1),$A2084&lt;=DATE(2022,10,31)),$M2084,"")</f>
        <v/>
      </c>
      <c r="P2084" s="5">
        <f>IF(AND($A2084&gt;=DATE(2018,10,1),$A2084&lt;=DATE(2018,12,31)),$M2084,"")</f>
        <v/>
      </c>
      <c r="Q2084" s="5">
        <f>SUMPRODUCT(Exposures!$B$8:$K$8,B2084:K2084)</f>
        <v/>
      </c>
      <c r="R2084" s="5">
        <f>SUMPRODUCT(Exposures!$B$9:$K$9,B2084:K2084)</f>
        <v/>
      </c>
      <c r="S2084" s="5">
        <f>SUMPRODUCT(Exposures!$B$10:$K$10,B2084:K2084)</f>
        <v/>
      </c>
    </row>
    <row r="2085">
      <c r="A2085" s="1" t="n">
        <v>45485</v>
      </c>
      <c r="B2085" s="5" t="n">
        <v>0.003813289366264012</v>
      </c>
      <c r="C2085" s="5" t="n">
        <v>-9.190063774772606e-05</v>
      </c>
      <c r="D2085" s="5" t="n">
        <v>-0.004063206825490298</v>
      </c>
      <c r="E2085" s="5" t="n">
        <v>0.001302334717544348</v>
      </c>
      <c r="F2085" s="5" t="n">
        <v>-0.005451481769986015</v>
      </c>
      <c r="G2085" s="5" t="n">
        <v>0.01037634675935812</v>
      </c>
      <c r="H2085" s="5" t="n">
        <v>-0.001417864932930423</v>
      </c>
      <c r="I2085" s="5" t="n">
        <v>0.0008376698073417315</v>
      </c>
      <c r="J2085" s="5" t="n">
        <v>0.002902113558514742</v>
      </c>
      <c r="K2085" s="5" t="n">
        <v>0.003127157507296011</v>
      </c>
      <c r="L2085" s="5" t="n">
        <v>-0.002947205099931107</v>
      </c>
      <c r="M2085" s="5">
        <f>SUMPRODUCT(Exposures!$B$6:$K$6,B2085:K2085)</f>
        <v/>
      </c>
      <c r="N2085" s="5">
        <f>IF(AND($A2085&gt;=DATE(2020,2,1),$A2085&lt;=DATE(2020,5,31)),$M2085,"")</f>
        <v/>
      </c>
      <c r="O2085" s="5">
        <f>IF(AND($A2085&gt;=DATE(2022,1,1),$A2085&lt;=DATE(2022,10,31)),$M2085,"")</f>
        <v/>
      </c>
      <c r="P2085" s="5">
        <f>IF(AND($A2085&gt;=DATE(2018,10,1),$A2085&lt;=DATE(2018,12,31)),$M2085,"")</f>
        <v/>
      </c>
      <c r="Q2085" s="5">
        <f>SUMPRODUCT(Exposures!$B$8:$K$8,B2085:K2085)</f>
        <v/>
      </c>
      <c r="R2085" s="5">
        <f>SUMPRODUCT(Exposures!$B$9:$K$9,B2085:K2085)</f>
        <v/>
      </c>
      <c r="S2085" s="5">
        <f>SUMPRODUCT(Exposures!$B$10:$K$10,B2085:K2085)</f>
        <v/>
      </c>
    </row>
    <row r="2086">
      <c r="A2086" s="1" t="n">
        <v>45488</v>
      </c>
      <c r="B2086" s="5" t="n">
        <v>0.007703543211476207</v>
      </c>
      <c r="C2086" s="5" t="n">
        <v>-0.005919724309898648</v>
      </c>
      <c r="D2086" s="5" t="n">
        <v>-0.001094283997652411</v>
      </c>
      <c r="E2086" s="5" t="n">
        <v>0.002155230654284755</v>
      </c>
      <c r="F2086" s="5" t="n">
        <v>-0.007145167265088745</v>
      </c>
      <c r="G2086" s="5" t="n">
        <v>0.007529764212697643</v>
      </c>
      <c r="H2086" s="5" t="n">
        <v>0.004430974157248587</v>
      </c>
      <c r="I2086" s="5" t="n">
        <v>0.0003380527904736062</v>
      </c>
      <c r="J2086" s="5" t="n">
        <v>-0.002008200236257624</v>
      </c>
      <c r="K2086" s="5" t="n">
        <v>0.003293869293417632</v>
      </c>
      <c r="L2086" s="5" t="n">
        <v>0.003842302060811645</v>
      </c>
      <c r="M2086" s="5">
        <f>SUMPRODUCT(Exposures!$B$6:$K$6,B2086:K2086)</f>
        <v/>
      </c>
      <c r="N2086" s="5">
        <f>IF(AND($A2086&gt;=DATE(2020,2,1),$A2086&lt;=DATE(2020,5,31)),$M2086,"")</f>
        <v/>
      </c>
      <c r="O2086" s="5">
        <f>IF(AND($A2086&gt;=DATE(2022,1,1),$A2086&lt;=DATE(2022,10,31)),$M2086,"")</f>
        <v/>
      </c>
      <c r="P2086" s="5">
        <f>IF(AND($A2086&gt;=DATE(2018,10,1),$A2086&lt;=DATE(2018,12,31)),$M2086,"")</f>
        <v/>
      </c>
      <c r="Q2086" s="5">
        <f>SUMPRODUCT(Exposures!$B$8:$K$8,B2086:K2086)</f>
        <v/>
      </c>
      <c r="R2086" s="5">
        <f>SUMPRODUCT(Exposures!$B$9:$K$9,B2086:K2086)</f>
        <v/>
      </c>
      <c r="S2086" s="5">
        <f>SUMPRODUCT(Exposures!$B$10:$K$10,B2086:K2086)</f>
        <v/>
      </c>
    </row>
    <row r="2087">
      <c r="A2087" s="1" t="n">
        <v>45489</v>
      </c>
      <c r="B2087" s="5" t="n">
        <v>0.001468427024266888</v>
      </c>
      <c r="C2087" s="5" t="n">
        <v>0.0001109501898624193</v>
      </c>
      <c r="D2087" s="5" t="n">
        <v>-0.00274239028955583</v>
      </c>
      <c r="E2087" s="5" t="n">
        <v>0.0002429487014897328</v>
      </c>
      <c r="F2087" s="5" t="n">
        <v>-0.004636101154558345</v>
      </c>
      <c r="G2087" s="5" t="n">
        <v>0.02497333013579603</v>
      </c>
      <c r="H2087" s="5" t="n">
        <v>0.000597700875179517</v>
      </c>
      <c r="I2087" s="5" t="n">
        <v>0.001039736112114294</v>
      </c>
      <c r="J2087" s="5" t="n">
        <v>0.004854024117210548</v>
      </c>
      <c r="K2087" s="5" t="n">
        <v>-0.00392825122772112</v>
      </c>
      <c r="L2087" s="5" t="n">
        <v>0.001189972289707529</v>
      </c>
      <c r="M2087" s="5">
        <f>SUMPRODUCT(Exposures!$B$6:$K$6,B2087:K2087)</f>
        <v/>
      </c>
      <c r="N2087" s="5">
        <f>IF(AND($A2087&gt;=DATE(2020,2,1),$A2087&lt;=DATE(2020,5,31)),$M2087,"")</f>
        <v/>
      </c>
      <c r="O2087" s="5">
        <f>IF(AND($A2087&gt;=DATE(2022,1,1),$A2087&lt;=DATE(2022,10,31)),$M2087,"")</f>
        <v/>
      </c>
      <c r="P2087" s="5">
        <f>IF(AND($A2087&gt;=DATE(2018,10,1),$A2087&lt;=DATE(2018,12,31)),$M2087,"")</f>
        <v/>
      </c>
      <c r="Q2087" s="5">
        <f>SUMPRODUCT(Exposures!$B$8:$K$8,B2087:K2087)</f>
        <v/>
      </c>
      <c r="R2087" s="5">
        <f>SUMPRODUCT(Exposures!$B$9:$K$9,B2087:K2087)</f>
        <v/>
      </c>
      <c r="S2087" s="5">
        <f>SUMPRODUCT(Exposures!$B$10:$K$10,B2087:K2087)</f>
        <v/>
      </c>
    </row>
    <row r="2088">
      <c r="A2088" s="1" t="n">
        <v>45490</v>
      </c>
      <c r="B2088" s="5" t="n">
        <v>-0.0180415419947632</v>
      </c>
      <c r="C2088" s="5" t="n">
        <v>-0.001355269056267516</v>
      </c>
      <c r="D2088" s="5" t="n">
        <v>0.005515191113902243</v>
      </c>
      <c r="E2088" s="5" t="n">
        <v>0.004705633389647679</v>
      </c>
      <c r="F2088" s="5" t="n">
        <v>-0.006312305024798532</v>
      </c>
      <c r="G2088" s="5" t="n">
        <v>-0.009566345538908557</v>
      </c>
      <c r="H2088" s="5" t="n">
        <v>-0.008028231694998412</v>
      </c>
      <c r="I2088" s="5" t="n">
        <v>-0.0003436634313371022</v>
      </c>
      <c r="J2088" s="5" t="n">
        <v>-0.0003820247965503169</v>
      </c>
      <c r="K2088" s="5" t="n">
        <v>0.00289781176159936</v>
      </c>
      <c r="L2088" s="5" t="n">
        <v>0.00315075611509663</v>
      </c>
      <c r="M2088" s="5">
        <f>SUMPRODUCT(Exposures!$B$6:$K$6,B2088:K2088)</f>
        <v/>
      </c>
      <c r="N2088" s="5">
        <f>IF(AND($A2088&gt;=DATE(2020,2,1),$A2088&lt;=DATE(2020,5,31)),$M2088,"")</f>
        <v/>
      </c>
      <c r="O2088" s="5">
        <f>IF(AND($A2088&gt;=DATE(2022,1,1),$A2088&lt;=DATE(2022,10,31)),$M2088,"")</f>
        <v/>
      </c>
      <c r="P2088" s="5">
        <f>IF(AND($A2088&gt;=DATE(2018,10,1),$A2088&lt;=DATE(2018,12,31)),$M2088,"")</f>
        <v/>
      </c>
      <c r="Q2088" s="5">
        <f>SUMPRODUCT(Exposures!$B$8:$K$8,B2088:K2088)</f>
        <v/>
      </c>
      <c r="R2088" s="5">
        <f>SUMPRODUCT(Exposures!$B$9:$K$9,B2088:K2088)</f>
        <v/>
      </c>
      <c r="S2088" s="5">
        <f>SUMPRODUCT(Exposures!$B$10:$K$10,B2088:K2088)</f>
        <v/>
      </c>
    </row>
    <row r="2089">
      <c r="A2089" s="1" t="n">
        <v>45491</v>
      </c>
      <c r="B2089" s="5" t="n">
        <v>-0.003304775026782982</v>
      </c>
      <c r="C2089" s="5" t="n">
        <v>0.002170350174875568</v>
      </c>
      <c r="D2089" s="5" t="n">
        <v>-0.0004116728045929493</v>
      </c>
      <c r="E2089" s="5" t="n">
        <v>0.0002989985191586708</v>
      </c>
      <c r="F2089" s="5" t="n">
        <v>1.694563453717322e-05</v>
      </c>
      <c r="G2089" s="5" t="n">
        <v>-0.01393523143200807</v>
      </c>
      <c r="H2089" s="5" t="n">
        <v>0.005039705559754802</v>
      </c>
      <c r="I2089" s="5" t="n">
        <v>-0.001105136106874231</v>
      </c>
      <c r="J2089" s="5" t="n">
        <v>-0.002715475407557837</v>
      </c>
      <c r="K2089" s="5" t="n">
        <v>-0.001847028811247518</v>
      </c>
      <c r="L2089" s="5" t="n">
        <v>-0.002546039905709637</v>
      </c>
      <c r="M2089" s="5">
        <f>SUMPRODUCT(Exposures!$B$6:$K$6,B2089:K2089)</f>
        <v/>
      </c>
      <c r="N2089" s="5">
        <f>IF(AND($A2089&gt;=DATE(2020,2,1),$A2089&lt;=DATE(2020,5,31)),$M2089,"")</f>
        <v/>
      </c>
      <c r="O2089" s="5">
        <f>IF(AND($A2089&gt;=DATE(2022,1,1),$A2089&lt;=DATE(2022,10,31)),$M2089,"")</f>
        <v/>
      </c>
      <c r="P2089" s="5">
        <f>IF(AND($A2089&gt;=DATE(2018,10,1),$A2089&lt;=DATE(2018,12,31)),$M2089,"")</f>
        <v/>
      </c>
      <c r="Q2089" s="5">
        <f>SUMPRODUCT(Exposures!$B$8:$K$8,B2089:K2089)</f>
        <v/>
      </c>
      <c r="R2089" s="5">
        <f>SUMPRODUCT(Exposures!$B$9:$K$9,B2089:K2089)</f>
        <v/>
      </c>
      <c r="S2089" s="5">
        <f>SUMPRODUCT(Exposures!$B$10:$K$10,B2089:K2089)</f>
        <v/>
      </c>
    </row>
    <row r="2090">
      <c r="A2090" s="1" t="n">
        <v>45492</v>
      </c>
      <c r="B2090" s="5" t="n">
        <v>-0.001277389558602357</v>
      </c>
      <c r="C2090" s="5" t="n">
        <v>-0.001268224672909148</v>
      </c>
      <c r="D2090" s="5" t="n">
        <v>-0.001460788885625819</v>
      </c>
      <c r="E2090" s="5" t="n">
        <v>0.0001675889603930114</v>
      </c>
      <c r="F2090" s="5" t="n">
        <v>-0.000286364938755969</v>
      </c>
      <c r="G2090" s="5" t="n">
        <v>-0.00576253960349126</v>
      </c>
      <c r="H2090" s="5" t="n">
        <v>-0.000225293703978456</v>
      </c>
      <c r="I2090" s="5" t="n">
        <v>-0.0006295575564441365</v>
      </c>
      <c r="J2090" s="5" t="n">
        <v>0.0007131371481575379</v>
      </c>
      <c r="K2090" s="5" t="n">
        <v>0.001464760395624656</v>
      </c>
      <c r="L2090" s="5" t="n">
        <v>-0.001734757249079978</v>
      </c>
      <c r="M2090" s="5">
        <f>SUMPRODUCT(Exposures!$B$6:$K$6,B2090:K2090)</f>
        <v/>
      </c>
      <c r="N2090" s="5">
        <f>IF(AND($A2090&gt;=DATE(2020,2,1),$A2090&lt;=DATE(2020,5,31)),$M2090,"")</f>
        <v/>
      </c>
      <c r="O2090" s="5">
        <f>IF(AND($A2090&gt;=DATE(2022,1,1),$A2090&lt;=DATE(2022,10,31)),$M2090,"")</f>
        <v/>
      </c>
      <c r="P2090" s="5">
        <f>IF(AND($A2090&gt;=DATE(2018,10,1),$A2090&lt;=DATE(2018,12,31)),$M2090,"")</f>
        <v/>
      </c>
      <c r="Q2090" s="5">
        <f>SUMPRODUCT(Exposures!$B$8:$K$8,B2090:K2090)</f>
        <v/>
      </c>
      <c r="R2090" s="5">
        <f>SUMPRODUCT(Exposures!$B$9:$K$9,B2090:K2090)</f>
        <v/>
      </c>
      <c r="S2090" s="5">
        <f>SUMPRODUCT(Exposures!$B$10:$K$10,B2090:K2090)</f>
        <v/>
      </c>
    </row>
    <row r="2091">
      <c r="A2091" s="1" t="n">
        <v>45495</v>
      </c>
      <c r="B2091" s="5" t="n">
        <v>0.006496894499017712</v>
      </c>
      <c r="C2091" s="5" t="n">
        <v>0.0006999015362841798</v>
      </c>
      <c r="D2091" s="5" t="n">
        <v>-1.114144821637514e-05</v>
      </c>
      <c r="E2091" s="5" t="n">
        <v>-0.002173500494395</v>
      </c>
      <c r="F2091" s="5" t="n">
        <v>-0.005103070537475832</v>
      </c>
      <c r="G2091" s="5" t="n">
        <v>0.009798157876130063</v>
      </c>
      <c r="H2091" s="5" t="n">
        <v>0.005590238039102119</v>
      </c>
      <c r="I2091" s="5" t="n">
        <v>-1.643026000033062e-05</v>
      </c>
      <c r="J2091" s="5" t="n">
        <v>-0.004023624767034106</v>
      </c>
      <c r="K2091" s="5" t="n">
        <v>0.0015556411192066</v>
      </c>
      <c r="L2091" s="5" t="n">
        <v>-0.002013246162233142</v>
      </c>
      <c r="M2091" s="5">
        <f>SUMPRODUCT(Exposures!$B$6:$K$6,B2091:K2091)</f>
        <v/>
      </c>
      <c r="N2091" s="5">
        <f>IF(AND($A2091&gt;=DATE(2020,2,1),$A2091&lt;=DATE(2020,5,31)),$M2091,"")</f>
        <v/>
      </c>
      <c r="O2091" s="5">
        <f>IF(AND($A2091&gt;=DATE(2022,1,1),$A2091&lt;=DATE(2022,10,31)),$M2091,"")</f>
        <v/>
      </c>
      <c r="P2091" s="5">
        <f>IF(AND($A2091&gt;=DATE(2018,10,1),$A2091&lt;=DATE(2018,12,31)),$M2091,"")</f>
        <v/>
      </c>
      <c r="Q2091" s="5">
        <f>SUMPRODUCT(Exposures!$B$8:$K$8,B2091:K2091)</f>
        <v/>
      </c>
      <c r="R2091" s="5">
        <f>SUMPRODUCT(Exposures!$B$9:$K$9,B2091:K2091)</f>
        <v/>
      </c>
      <c r="S2091" s="5">
        <f>SUMPRODUCT(Exposures!$B$10:$K$10,B2091:K2091)</f>
        <v/>
      </c>
    </row>
    <row r="2092">
      <c r="A2092" s="1" t="n">
        <v>45496</v>
      </c>
      <c r="B2092" s="5" t="n">
        <v>0.0005723805036631402</v>
      </c>
      <c r="C2092" s="5" t="n">
        <v>-0.001381847958124865</v>
      </c>
      <c r="D2092" s="5" t="n">
        <v>0.0009896588586060552</v>
      </c>
      <c r="E2092" s="5" t="n">
        <v>0.002580566975635474</v>
      </c>
      <c r="F2092" s="5" t="n">
        <v>-0.002730566599363443</v>
      </c>
      <c r="G2092" s="5" t="n">
        <v>0.002433568916678125</v>
      </c>
      <c r="H2092" s="5" t="n">
        <v>0.002276414497406271</v>
      </c>
      <c r="I2092" s="5" t="n">
        <v>-0.0003281797782073982</v>
      </c>
      <c r="J2092" s="5" t="n">
        <v>0.003504668631506474</v>
      </c>
      <c r="K2092" s="5" t="n">
        <v>0.002562939683718792</v>
      </c>
      <c r="L2092" s="5" t="n">
        <v>-0.0007066226490630599</v>
      </c>
      <c r="M2092" s="5">
        <f>SUMPRODUCT(Exposures!$B$6:$K$6,B2092:K2092)</f>
        <v/>
      </c>
      <c r="N2092" s="5">
        <f>IF(AND($A2092&gt;=DATE(2020,2,1),$A2092&lt;=DATE(2020,5,31)),$M2092,"")</f>
        <v/>
      </c>
      <c r="O2092" s="5">
        <f>IF(AND($A2092&gt;=DATE(2022,1,1),$A2092&lt;=DATE(2022,10,31)),$M2092,"")</f>
        <v/>
      </c>
      <c r="P2092" s="5">
        <f>IF(AND($A2092&gt;=DATE(2018,10,1),$A2092&lt;=DATE(2018,12,31)),$M2092,"")</f>
        <v/>
      </c>
      <c r="Q2092" s="5">
        <f>SUMPRODUCT(Exposures!$B$8:$K$8,B2092:K2092)</f>
        <v/>
      </c>
      <c r="R2092" s="5">
        <f>SUMPRODUCT(Exposures!$B$9:$K$9,B2092:K2092)</f>
        <v/>
      </c>
      <c r="S2092" s="5">
        <f>SUMPRODUCT(Exposures!$B$10:$K$10,B2092:K2092)</f>
        <v/>
      </c>
    </row>
    <row r="2093">
      <c r="A2093" s="1" t="n">
        <v>45497</v>
      </c>
      <c r="B2093" s="5" t="n">
        <v>-0.02058547407389794</v>
      </c>
      <c r="C2093" s="5" t="n">
        <v>0.002503259303153357</v>
      </c>
      <c r="D2093" s="5" t="n">
        <v>-0.00169928844293373</v>
      </c>
      <c r="E2093" s="5" t="n">
        <v>0.0008746186194382295</v>
      </c>
      <c r="F2093" s="5" t="n">
        <v>0.001072424568613891</v>
      </c>
      <c r="G2093" s="5" t="n">
        <v>-0.01817420735003481</v>
      </c>
      <c r="H2093" s="5" t="n">
        <v>-0.006372396201227712</v>
      </c>
      <c r="I2093" s="5" t="n">
        <v>0.001341456757439186</v>
      </c>
      <c r="J2093" s="5" t="n">
        <v>0.002903096656180369</v>
      </c>
      <c r="K2093" s="5" t="n">
        <v>-0.0002425400604957172</v>
      </c>
      <c r="L2093" s="5" t="n">
        <v>0.003114158513456118</v>
      </c>
      <c r="M2093" s="5">
        <f>SUMPRODUCT(Exposures!$B$6:$K$6,B2093:K2093)</f>
        <v/>
      </c>
      <c r="N2093" s="5">
        <f>IF(AND($A2093&gt;=DATE(2020,2,1),$A2093&lt;=DATE(2020,5,31)),$M2093,"")</f>
        <v/>
      </c>
      <c r="O2093" s="5">
        <f>IF(AND($A2093&gt;=DATE(2022,1,1),$A2093&lt;=DATE(2022,10,31)),$M2093,"")</f>
        <v/>
      </c>
      <c r="P2093" s="5">
        <f>IF(AND($A2093&gt;=DATE(2018,10,1),$A2093&lt;=DATE(2018,12,31)),$M2093,"")</f>
        <v/>
      </c>
      <c r="Q2093" s="5">
        <f>SUMPRODUCT(Exposures!$B$8:$K$8,B2093:K2093)</f>
        <v/>
      </c>
      <c r="R2093" s="5">
        <f>SUMPRODUCT(Exposures!$B$9:$K$9,B2093:K2093)</f>
        <v/>
      </c>
      <c r="S2093" s="5">
        <f>SUMPRODUCT(Exposures!$B$10:$K$10,B2093:K2093)</f>
        <v/>
      </c>
    </row>
    <row r="2094">
      <c r="A2094" s="1" t="n">
        <v>45498</v>
      </c>
      <c r="B2094" s="5" t="n">
        <v>-0.004516732786445778</v>
      </c>
      <c r="C2094" s="5" t="n">
        <v>0.0007441420838312871</v>
      </c>
      <c r="D2094" s="5" t="n">
        <v>-0.0009681666918114206</v>
      </c>
      <c r="E2094" s="5" t="n">
        <v>0.002182212128028349</v>
      </c>
      <c r="F2094" s="5" t="n">
        <v>2.354505597140311e-05</v>
      </c>
      <c r="G2094" s="5" t="n">
        <v>0.002926127466836661</v>
      </c>
      <c r="H2094" s="5" t="n">
        <v>-0.003268816826699996</v>
      </c>
      <c r="I2094" s="5" t="n">
        <v>-0.0009466382419686568</v>
      </c>
      <c r="J2094" s="5" t="n">
        <v>-0.000545923063481927</v>
      </c>
      <c r="K2094" s="5" t="n">
        <v>-0.00518087278188582</v>
      </c>
      <c r="L2094" s="5" t="n">
        <v>0.0001115115373483623</v>
      </c>
      <c r="M2094" s="5">
        <f>SUMPRODUCT(Exposures!$B$6:$K$6,B2094:K2094)</f>
        <v/>
      </c>
      <c r="N2094" s="5">
        <f>IF(AND($A2094&gt;=DATE(2020,2,1),$A2094&lt;=DATE(2020,5,31)),$M2094,"")</f>
        <v/>
      </c>
      <c r="O2094" s="5">
        <f>IF(AND($A2094&gt;=DATE(2022,1,1),$A2094&lt;=DATE(2022,10,31)),$M2094,"")</f>
        <v/>
      </c>
      <c r="P2094" s="5">
        <f>IF(AND($A2094&gt;=DATE(2018,10,1),$A2094&lt;=DATE(2018,12,31)),$M2094,"")</f>
        <v/>
      </c>
      <c r="Q2094" s="5">
        <f>SUMPRODUCT(Exposures!$B$8:$K$8,B2094:K2094)</f>
        <v/>
      </c>
      <c r="R2094" s="5">
        <f>SUMPRODUCT(Exposures!$B$9:$K$9,B2094:K2094)</f>
        <v/>
      </c>
      <c r="S2094" s="5">
        <f>SUMPRODUCT(Exposures!$B$10:$K$10,B2094:K2094)</f>
        <v/>
      </c>
    </row>
    <row r="2095">
      <c r="A2095" s="1" t="n">
        <v>45499</v>
      </c>
      <c r="B2095" s="5" t="n">
        <v>-0.0003854844801990213</v>
      </c>
      <c r="C2095" s="5" t="n">
        <v>-0.002259845549730171</v>
      </c>
      <c r="D2095" s="5" t="n">
        <v>-0.000350226166498758</v>
      </c>
      <c r="E2095" s="5" t="n">
        <v>0.002873785335895519</v>
      </c>
      <c r="F2095" s="5" t="n">
        <v>-0.0007860934031565045</v>
      </c>
      <c r="G2095" s="5" t="n">
        <v>0.01771638945088646</v>
      </c>
      <c r="H2095" s="5" t="n">
        <v>-0.003589978638162735</v>
      </c>
      <c r="I2095" s="5" t="n">
        <v>0.002623300743725345</v>
      </c>
      <c r="J2095" s="5" t="n">
        <v>0.003234412273641792</v>
      </c>
      <c r="K2095" s="5" t="n">
        <v>-0.001418886432161631</v>
      </c>
      <c r="L2095" s="5" t="n">
        <v>-0.0005064084020873648</v>
      </c>
      <c r="M2095" s="5">
        <f>SUMPRODUCT(Exposures!$B$6:$K$6,B2095:K2095)</f>
        <v/>
      </c>
      <c r="N2095" s="5">
        <f>IF(AND($A2095&gt;=DATE(2020,2,1),$A2095&lt;=DATE(2020,5,31)),$M2095,"")</f>
        <v/>
      </c>
      <c r="O2095" s="5">
        <f>IF(AND($A2095&gt;=DATE(2022,1,1),$A2095&lt;=DATE(2022,10,31)),$M2095,"")</f>
        <v/>
      </c>
      <c r="P2095" s="5">
        <f>IF(AND($A2095&gt;=DATE(2018,10,1),$A2095&lt;=DATE(2018,12,31)),$M2095,"")</f>
        <v/>
      </c>
      <c r="Q2095" s="5">
        <f>SUMPRODUCT(Exposures!$B$8:$K$8,B2095:K2095)</f>
        <v/>
      </c>
      <c r="R2095" s="5">
        <f>SUMPRODUCT(Exposures!$B$9:$K$9,B2095:K2095)</f>
        <v/>
      </c>
      <c r="S2095" s="5">
        <f>SUMPRODUCT(Exposures!$B$10:$K$10,B2095:K2095)</f>
        <v/>
      </c>
    </row>
    <row r="2096">
      <c r="A2096" s="1" t="n">
        <v>45502</v>
      </c>
      <c r="B2096" s="5" t="n">
        <v>-0.001337099839673566</v>
      </c>
      <c r="C2096" s="5" t="n">
        <v>0.001240096341106154</v>
      </c>
      <c r="D2096" s="5" t="n">
        <v>0.000590865460019819</v>
      </c>
      <c r="E2096" s="5" t="n">
        <v>-0.002134085737260229</v>
      </c>
      <c r="F2096" s="5" t="n">
        <v>0.002109046162087422</v>
      </c>
      <c r="G2096" s="5" t="n">
        <v>-0.001701007245963327</v>
      </c>
      <c r="H2096" s="5" t="n">
        <v>-0.0007750309633508205</v>
      </c>
      <c r="I2096" s="5" t="n">
        <v>-0.001979292991739256</v>
      </c>
      <c r="J2096" s="5" t="n">
        <v>-0.002773707853007977</v>
      </c>
      <c r="K2096" s="5" t="n">
        <v>-0.000496930973490445</v>
      </c>
      <c r="L2096" s="5" t="n">
        <v>0.0007538631573213881</v>
      </c>
      <c r="M2096" s="5">
        <f>SUMPRODUCT(Exposures!$B$6:$K$6,B2096:K2096)</f>
        <v/>
      </c>
      <c r="N2096" s="5">
        <f>IF(AND($A2096&gt;=DATE(2020,2,1),$A2096&lt;=DATE(2020,5,31)),$M2096,"")</f>
        <v/>
      </c>
      <c r="O2096" s="5">
        <f>IF(AND($A2096&gt;=DATE(2022,1,1),$A2096&lt;=DATE(2022,10,31)),$M2096,"")</f>
        <v/>
      </c>
      <c r="P2096" s="5">
        <f>IF(AND($A2096&gt;=DATE(2018,10,1),$A2096&lt;=DATE(2018,12,31)),$M2096,"")</f>
        <v/>
      </c>
      <c r="Q2096" s="5">
        <f>SUMPRODUCT(Exposures!$B$8:$K$8,B2096:K2096)</f>
        <v/>
      </c>
      <c r="R2096" s="5">
        <f>SUMPRODUCT(Exposures!$B$9:$K$9,B2096:K2096)</f>
        <v/>
      </c>
      <c r="S2096" s="5">
        <f>SUMPRODUCT(Exposures!$B$10:$K$10,B2096:K2096)</f>
        <v/>
      </c>
    </row>
    <row r="2097">
      <c r="A2097" s="1" t="n">
        <v>45503</v>
      </c>
      <c r="B2097" s="5" t="n">
        <v>-0.006789673514737435</v>
      </c>
      <c r="C2097" s="5" t="n">
        <v>-0.001615063409999787</v>
      </c>
      <c r="D2097" s="5" t="n">
        <v>0.00395029918579432</v>
      </c>
      <c r="E2097" s="5" t="n">
        <v>0.002151188715551333</v>
      </c>
      <c r="F2097" s="5" t="n">
        <v>0.0002236830711039067</v>
      </c>
      <c r="G2097" s="5" t="n">
        <v>0.003895728406547409</v>
      </c>
      <c r="H2097" s="5" t="n">
        <v>-0.002622656053447941</v>
      </c>
      <c r="I2097" s="5" t="n">
        <v>-0.001143694863873841</v>
      </c>
      <c r="J2097" s="5" t="n">
        <v>-0.002905729580324104</v>
      </c>
      <c r="K2097" s="5" t="n">
        <v>-0.002278876785728994</v>
      </c>
      <c r="L2097" s="5" t="n">
        <v>0.001952977160421001</v>
      </c>
      <c r="M2097" s="5">
        <f>SUMPRODUCT(Exposures!$B$6:$K$6,B2097:K2097)</f>
        <v/>
      </c>
      <c r="N2097" s="5">
        <f>IF(AND($A2097&gt;=DATE(2020,2,1),$A2097&lt;=DATE(2020,5,31)),$M2097,"")</f>
        <v/>
      </c>
      <c r="O2097" s="5">
        <f>IF(AND($A2097&gt;=DATE(2022,1,1),$A2097&lt;=DATE(2022,10,31)),$M2097,"")</f>
        <v/>
      </c>
      <c r="P2097" s="5">
        <f>IF(AND($A2097&gt;=DATE(2018,10,1),$A2097&lt;=DATE(2018,12,31)),$M2097,"")</f>
        <v/>
      </c>
      <c r="Q2097" s="5">
        <f>SUMPRODUCT(Exposures!$B$8:$K$8,B2097:K2097)</f>
        <v/>
      </c>
      <c r="R2097" s="5">
        <f>SUMPRODUCT(Exposures!$B$9:$K$9,B2097:K2097)</f>
        <v/>
      </c>
      <c r="S2097" s="5">
        <f>SUMPRODUCT(Exposures!$B$10:$K$10,B2097:K2097)</f>
        <v/>
      </c>
    </row>
    <row r="2098">
      <c r="A2098" s="1" t="n">
        <v>45504</v>
      </c>
      <c r="B2098" s="5" t="n">
        <v>0.01602067654602049</v>
      </c>
      <c r="C2098" s="5" t="n">
        <v>0.005254326331701585</v>
      </c>
      <c r="D2098" s="5" t="n">
        <v>0.0008049344734457233</v>
      </c>
      <c r="E2098" s="5" t="n">
        <v>-0.0003460333329384878</v>
      </c>
      <c r="F2098" s="5" t="n">
        <v>0.001828512173280302</v>
      </c>
      <c r="G2098" s="5" t="n">
        <v>0.008146180300937732</v>
      </c>
      <c r="H2098" s="5" t="n">
        <v>0.001474094824385454</v>
      </c>
      <c r="I2098" s="5" t="n">
        <v>0.003377279936180403</v>
      </c>
      <c r="J2098" s="5" t="n">
        <v>-0.001030720553196016</v>
      </c>
      <c r="K2098" s="5" t="n">
        <v>-0.002433619210054313</v>
      </c>
      <c r="L2098" s="5" t="n">
        <v>-0.006176980474436066</v>
      </c>
      <c r="M2098" s="5">
        <f>SUMPRODUCT(Exposures!$B$6:$K$6,B2098:K2098)</f>
        <v/>
      </c>
      <c r="N2098" s="5">
        <f>IF(AND($A2098&gt;=DATE(2020,2,1),$A2098&lt;=DATE(2020,5,31)),$M2098,"")</f>
        <v/>
      </c>
      <c r="O2098" s="5">
        <f>IF(AND($A2098&gt;=DATE(2022,1,1),$A2098&lt;=DATE(2022,10,31)),$M2098,"")</f>
        <v/>
      </c>
      <c r="P2098" s="5">
        <f>IF(AND($A2098&gt;=DATE(2018,10,1),$A2098&lt;=DATE(2018,12,31)),$M2098,"")</f>
        <v/>
      </c>
      <c r="Q2098" s="5">
        <f>SUMPRODUCT(Exposures!$B$8:$K$8,B2098:K2098)</f>
        <v/>
      </c>
      <c r="R2098" s="5">
        <f>SUMPRODUCT(Exposures!$B$9:$K$9,B2098:K2098)</f>
        <v/>
      </c>
      <c r="S2098" s="5">
        <f>SUMPRODUCT(Exposures!$B$10:$K$10,B2098:K2098)</f>
        <v/>
      </c>
    </row>
    <row r="2099">
      <c r="A2099" s="1" t="n">
        <v>45505</v>
      </c>
      <c r="B2099" s="5" t="n">
        <v>-0.0235629915351065</v>
      </c>
      <c r="C2099" s="5" t="n">
        <v>-0.003645976001904806</v>
      </c>
      <c r="D2099" s="5" t="n">
        <v>0.0041019635382945</v>
      </c>
      <c r="E2099" s="5" t="n">
        <v>8.862929373505105e-05</v>
      </c>
      <c r="F2099" s="5" t="n">
        <v>0.003807792628953852</v>
      </c>
      <c r="G2099" s="5" t="n">
        <v>-0.01762074694875687</v>
      </c>
      <c r="H2099" s="5" t="n">
        <v>-0.002309249232801081</v>
      </c>
      <c r="I2099" s="5" t="n">
        <v>-0.005755345259428509</v>
      </c>
      <c r="J2099" s="5" t="n">
        <v>0.0002929156638027171</v>
      </c>
      <c r="K2099" s="5" t="n">
        <v>-0.001340073843934583</v>
      </c>
      <c r="L2099" s="5" t="n">
        <v>-0.003532290678401736</v>
      </c>
      <c r="M2099" s="5">
        <f>SUMPRODUCT(Exposures!$B$6:$K$6,B2099:K2099)</f>
        <v/>
      </c>
      <c r="N2099" s="5">
        <f>IF(AND($A2099&gt;=DATE(2020,2,1),$A2099&lt;=DATE(2020,5,31)),$M2099,"")</f>
        <v/>
      </c>
      <c r="O2099" s="5">
        <f>IF(AND($A2099&gt;=DATE(2022,1,1),$A2099&lt;=DATE(2022,10,31)),$M2099,"")</f>
        <v/>
      </c>
      <c r="P2099" s="5">
        <f>IF(AND($A2099&gt;=DATE(2018,10,1),$A2099&lt;=DATE(2018,12,31)),$M2099,"")</f>
        <v/>
      </c>
      <c r="Q2099" s="5">
        <f>SUMPRODUCT(Exposures!$B$8:$K$8,B2099:K2099)</f>
        <v/>
      </c>
      <c r="R2099" s="5">
        <f>SUMPRODUCT(Exposures!$B$9:$K$9,B2099:K2099)</f>
        <v/>
      </c>
      <c r="S2099" s="5">
        <f>SUMPRODUCT(Exposures!$B$10:$K$10,B2099:K2099)</f>
        <v/>
      </c>
    </row>
    <row r="2100">
      <c r="A2100" s="1" t="n">
        <v>45506</v>
      </c>
      <c r="B2100" s="5" t="n">
        <v>-0.0173679678551047</v>
      </c>
      <c r="C2100" s="5" t="n">
        <v>-0.005103130883502911</v>
      </c>
      <c r="D2100" s="5" t="n">
        <v>0.00893583906701685</v>
      </c>
      <c r="E2100" s="5" t="n">
        <v>-0.001044654697644026</v>
      </c>
      <c r="F2100" s="5" t="n">
        <v>0.003359511685593303</v>
      </c>
      <c r="G2100" s="5" t="n">
        <v>-0.02791681139999025</v>
      </c>
      <c r="H2100" s="5" t="n">
        <v>-0.003522343541975365</v>
      </c>
      <c r="I2100" s="5" t="n">
        <v>-0.0007041339967146616</v>
      </c>
      <c r="J2100" s="5" t="n">
        <v>-0.002463655341856665</v>
      </c>
      <c r="K2100" s="5" t="n">
        <v>0.0005975532123486185</v>
      </c>
      <c r="L2100" s="5" t="n">
        <v>-0.001773422504663778</v>
      </c>
      <c r="M2100" s="5">
        <f>SUMPRODUCT(Exposures!$B$6:$K$6,B2100:K2100)</f>
        <v/>
      </c>
      <c r="N2100" s="5">
        <f>IF(AND($A2100&gt;=DATE(2020,2,1),$A2100&lt;=DATE(2020,5,31)),$M2100,"")</f>
        <v/>
      </c>
      <c r="O2100" s="5">
        <f>IF(AND($A2100&gt;=DATE(2022,1,1),$A2100&lt;=DATE(2022,10,31)),$M2100,"")</f>
        <v/>
      </c>
      <c r="P2100" s="5">
        <f>IF(AND($A2100&gt;=DATE(2018,10,1),$A2100&lt;=DATE(2018,12,31)),$M2100,"")</f>
        <v/>
      </c>
      <c r="Q2100" s="5">
        <f>SUMPRODUCT(Exposures!$B$8:$K$8,B2100:K2100)</f>
        <v/>
      </c>
      <c r="R2100" s="5">
        <f>SUMPRODUCT(Exposures!$B$9:$K$9,B2100:K2100)</f>
        <v/>
      </c>
      <c r="S2100" s="5">
        <f>SUMPRODUCT(Exposures!$B$10:$K$10,B2100:K2100)</f>
        <v/>
      </c>
    </row>
    <row r="2101">
      <c r="A2101" s="1" t="n">
        <v>45509</v>
      </c>
      <c r="B2101" s="5" t="n">
        <v>-0.00509492399379236</v>
      </c>
      <c r="C2101" s="5" t="n">
        <v>0.0006235996607299976</v>
      </c>
      <c r="D2101" s="5" t="n">
        <v>0.002898458243502182</v>
      </c>
      <c r="E2101" s="5" t="n">
        <v>-0.002429152318080697</v>
      </c>
      <c r="F2101" s="5" t="n">
        <v>0.005008515382840698</v>
      </c>
      <c r="G2101" s="5" t="n">
        <v>-0.02698006003050775</v>
      </c>
      <c r="H2101" s="5" t="n">
        <v>0.002937753150879443</v>
      </c>
      <c r="I2101" s="5" t="n">
        <v>0.002506951271145759</v>
      </c>
      <c r="J2101" s="5" t="n">
        <v>0.002407514876741739</v>
      </c>
      <c r="K2101" s="5" t="n">
        <v>-0.004315645885736357</v>
      </c>
      <c r="L2101" s="5" t="n">
        <v>-0.0001517447401379297</v>
      </c>
      <c r="M2101" s="5">
        <f>SUMPRODUCT(Exposures!$B$6:$K$6,B2101:K2101)</f>
        <v/>
      </c>
      <c r="N2101" s="5">
        <f>IF(AND($A2101&gt;=DATE(2020,2,1),$A2101&lt;=DATE(2020,5,31)),$M2101,"")</f>
        <v/>
      </c>
      <c r="O2101" s="5">
        <f>IF(AND($A2101&gt;=DATE(2022,1,1),$A2101&lt;=DATE(2022,10,31)),$M2101,"")</f>
        <v/>
      </c>
      <c r="P2101" s="5">
        <f>IF(AND($A2101&gt;=DATE(2018,10,1),$A2101&lt;=DATE(2018,12,31)),$M2101,"")</f>
        <v/>
      </c>
      <c r="Q2101" s="5">
        <f>SUMPRODUCT(Exposures!$B$8:$K$8,B2101:K2101)</f>
        <v/>
      </c>
      <c r="R2101" s="5">
        <f>SUMPRODUCT(Exposures!$B$9:$K$9,B2101:K2101)</f>
        <v/>
      </c>
      <c r="S2101" s="5">
        <f>SUMPRODUCT(Exposures!$B$10:$K$10,B2101:K2101)</f>
        <v/>
      </c>
    </row>
    <row r="2102">
      <c r="A2102" s="1" t="n">
        <v>45510</v>
      </c>
      <c r="B2102" s="5" t="n">
        <v>0.001661707132078485</v>
      </c>
      <c r="C2102" s="5" t="n">
        <v>0.002659906475983569</v>
      </c>
      <c r="D2102" s="5" t="n">
        <v>-0.001960467255142264</v>
      </c>
      <c r="E2102" s="5" t="n">
        <v>0.0003367913230828961</v>
      </c>
      <c r="F2102" s="5" t="n">
        <v>-0.001714449491521076</v>
      </c>
      <c r="G2102" s="5" t="n">
        <v>0.01126682308932777</v>
      </c>
      <c r="H2102" s="5" t="n">
        <v>0.003725328228152082</v>
      </c>
      <c r="I2102" s="5" t="n">
        <v>0.00130645826336948</v>
      </c>
      <c r="J2102" s="5" t="n">
        <v>-0.003534877817498529</v>
      </c>
      <c r="K2102" s="5" t="n">
        <v>-0.005058529203700085</v>
      </c>
      <c r="L2102" s="5" t="n">
        <v>-0.002926442063897039</v>
      </c>
      <c r="M2102" s="5">
        <f>SUMPRODUCT(Exposures!$B$6:$K$6,B2102:K2102)</f>
        <v/>
      </c>
      <c r="N2102" s="5">
        <f>IF(AND($A2102&gt;=DATE(2020,2,1),$A2102&lt;=DATE(2020,5,31)),$M2102,"")</f>
        <v/>
      </c>
      <c r="O2102" s="5">
        <f>IF(AND($A2102&gt;=DATE(2022,1,1),$A2102&lt;=DATE(2022,10,31)),$M2102,"")</f>
        <v/>
      </c>
      <c r="P2102" s="5">
        <f>IF(AND($A2102&gt;=DATE(2018,10,1),$A2102&lt;=DATE(2018,12,31)),$M2102,"")</f>
        <v/>
      </c>
      <c r="Q2102" s="5">
        <f>SUMPRODUCT(Exposures!$B$8:$K$8,B2102:K2102)</f>
        <v/>
      </c>
      <c r="R2102" s="5">
        <f>SUMPRODUCT(Exposures!$B$9:$K$9,B2102:K2102)</f>
        <v/>
      </c>
      <c r="S2102" s="5">
        <f>SUMPRODUCT(Exposures!$B$10:$K$10,B2102:K2102)</f>
        <v/>
      </c>
    </row>
    <row r="2103">
      <c r="A2103" s="1" t="n">
        <v>45511</v>
      </c>
      <c r="B2103" s="5" t="n">
        <v>-0.00230460666207517</v>
      </c>
      <c r="C2103" s="5" t="n">
        <v>-0.002376102424025442</v>
      </c>
      <c r="D2103" s="5" t="n">
        <v>0.004586157120794924</v>
      </c>
      <c r="E2103" s="5" t="n">
        <v>0.0001357173853089731</v>
      </c>
      <c r="F2103" s="5" t="n">
        <v>-4.654784486784504e-05</v>
      </c>
      <c r="G2103" s="5" t="n">
        <v>-0.01193886480727842</v>
      </c>
      <c r="H2103" s="5" t="n">
        <v>0.0002357597881842645</v>
      </c>
      <c r="I2103" s="5" t="n">
        <v>-0.001216781744410951</v>
      </c>
      <c r="J2103" s="5" t="n">
        <v>-0.008670457669817461</v>
      </c>
      <c r="K2103" s="5" t="n">
        <v>0.001067859199984784</v>
      </c>
      <c r="L2103" s="5" t="n">
        <v>0.001115701507303833</v>
      </c>
      <c r="M2103" s="5">
        <f>SUMPRODUCT(Exposures!$B$6:$K$6,B2103:K2103)</f>
        <v/>
      </c>
      <c r="N2103" s="5">
        <f>IF(AND($A2103&gt;=DATE(2020,2,1),$A2103&lt;=DATE(2020,5,31)),$M2103,"")</f>
        <v/>
      </c>
      <c r="O2103" s="5">
        <f>IF(AND($A2103&gt;=DATE(2022,1,1),$A2103&lt;=DATE(2022,10,31)),$M2103,"")</f>
        <v/>
      </c>
      <c r="P2103" s="5">
        <f>IF(AND($A2103&gt;=DATE(2018,10,1),$A2103&lt;=DATE(2018,12,31)),$M2103,"")</f>
        <v/>
      </c>
      <c r="Q2103" s="5">
        <f>SUMPRODUCT(Exposures!$B$8:$K$8,B2103:K2103)</f>
        <v/>
      </c>
      <c r="R2103" s="5">
        <f>SUMPRODUCT(Exposures!$B$9:$K$9,B2103:K2103)</f>
        <v/>
      </c>
      <c r="S2103" s="5">
        <f>SUMPRODUCT(Exposures!$B$10:$K$10,B2103:K2103)</f>
        <v/>
      </c>
    </row>
    <row r="2104">
      <c r="A2104" s="1" t="n">
        <v>45512</v>
      </c>
      <c r="B2104" s="5" t="n">
        <v>0.01012120214216933</v>
      </c>
      <c r="C2104" s="5" t="n">
        <v>0.002906549651959617</v>
      </c>
      <c r="D2104" s="5" t="n">
        <v>-0.003133486664371151</v>
      </c>
      <c r="E2104" s="5" t="n">
        <v>-0.003848604446336971</v>
      </c>
      <c r="F2104" s="5" t="n">
        <v>0.002152376543187752</v>
      </c>
      <c r="G2104" s="5" t="n">
        <v>0.02564422649343098</v>
      </c>
      <c r="H2104" s="5" t="n">
        <v>0.003766255989397862</v>
      </c>
      <c r="I2104" s="5" t="n">
        <v>0.003067188774310491</v>
      </c>
      <c r="J2104" s="5" t="n">
        <v>0.007978577457806564</v>
      </c>
      <c r="K2104" s="5" t="n">
        <v>-0.001176630741603896</v>
      </c>
      <c r="L2104" s="5" t="n">
        <v>-0.0003976278917822216</v>
      </c>
      <c r="M2104" s="5">
        <f>SUMPRODUCT(Exposures!$B$6:$K$6,B2104:K2104)</f>
        <v/>
      </c>
      <c r="N2104" s="5">
        <f>IF(AND($A2104&gt;=DATE(2020,2,1),$A2104&lt;=DATE(2020,5,31)),$M2104,"")</f>
        <v/>
      </c>
      <c r="O2104" s="5">
        <f>IF(AND($A2104&gt;=DATE(2022,1,1),$A2104&lt;=DATE(2022,10,31)),$M2104,"")</f>
        <v/>
      </c>
      <c r="P2104" s="5">
        <f>IF(AND($A2104&gt;=DATE(2018,10,1),$A2104&lt;=DATE(2018,12,31)),$M2104,"")</f>
        <v/>
      </c>
      <c r="Q2104" s="5">
        <f>SUMPRODUCT(Exposures!$B$8:$K$8,B2104:K2104)</f>
        <v/>
      </c>
      <c r="R2104" s="5">
        <f>SUMPRODUCT(Exposures!$B$9:$K$9,B2104:K2104)</f>
        <v/>
      </c>
      <c r="S2104" s="5">
        <f>SUMPRODUCT(Exposures!$B$10:$K$10,B2104:K2104)</f>
        <v/>
      </c>
    </row>
    <row r="2105">
      <c r="A2105" s="1" t="n">
        <v>45513</v>
      </c>
      <c r="B2105" s="5" t="n">
        <v>-0.003048770495195501</v>
      </c>
      <c r="C2105" s="5" t="n">
        <v>1.512983627854133e-05</v>
      </c>
      <c r="D2105" s="5" t="n">
        <v>0.0044096466304159</v>
      </c>
      <c r="E2105" s="5" t="n">
        <v>-0.0006976714717327837</v>
      </c>
      <c r="F2105" s="5" t="n">
        <v>0.007201809632828836</v>
      </c>
      <c r="G2105" s="5" t="n">
        <v>-0.003114848823419959</v>
      </c>
      <c r="H2105" s="5" t="n">
        <v>0.003473163509071667</v>
      </c>
      <c r="I2105" s="5" t="n">
        <v>-0.002279611102086725</v>
      </c>
      <c r="J2105" s="5" t="n">
        <v>-0.004695129711888272</v>
      </c>
      <c r="K2105" s="5" t="n">
        <v>-0.004523979851330327</v>
      </c>
      <c r="L2105" s="5" t="n">
        <v>0.001365733312033021</v>
      </c>
      <c r="M2105" s="5">
        <f>SUMPRODUCT(Exposures!$B$6:$K$6,B2105:K2105)</f>
        <v/>
      </c>
      <c r="N2105" s="5">
        <f>IF(AND($A2105&gt;=DATE(2020,2,1),$A2105&lt;=DATE(2020,5,31)),$M2105,"")</f>
        <v/>
      </c>
      <c r="O2105" s="5">
        <f>IF(AND($A2105&gt;=DATE(2022,1,1),$A2105&lt;=DATE(2022,10,31)),$M2105,"")</f>
        <v/>
      </c>
      <c r="P2105" s="5">
        <f>IF(AND($A2105&gt;=DATE(2018,10,1),$A2105&lt;=DATE(2018,12,31)),$M2105,"")</f>
        <v/>
      </c>
      <c r="Q2105" s="5">
        <f>SUMPRODUCT(Exposures!$B$8:$K$8,B2105:K2105)</f>
        <v/>
      </c>
      <c r="R2105" s="5">
        <f>SUMPRODUCT(Exposures!$B$9:$K$9,B2105:K2105)</f>
        <v/>
      </c>
      <c r="S2105" s="5">
        <f>SUMPRODUCT(Exposures!$B$10:$K$10,B2105:K2105)</f>
        <v/>
      </c>
    </row>
    <row r="2106">
      <c r="A2106" s="1" t="n">
        <v>45516</v>
      </c>
      <c r="B2106" s="5" t="n">
        <v>-0.00290568331199058</v>
      </c>
      <c r="C2106" s="5" t="n">
        <v>0.0001432521326654039</v>
      </c>
      <c r="D2106" s="5" t="n">
        <v>0.0008763043426476819</v>
      </c>
      <c r="E2106" s="5" t="n">
        <v>-8.553154918378779e-05</v>
      </c>
      <c r="F2106" s="5" t="n">
        <v>0.001646701527833989</v>
      </c>
      <c r="G2106" s="5" t="n">
        <v>-0.006402204081036637</v>
      </c>
      <c r="H2106" s="5" t="n">
        <v>0.00497307008424478</v>
      </c>
      <c r="I2106" s="5" t="n">
        <v>-2.98197833535115e-05</v>
      </c>
      <c r="J2106" s="5" t="n">
        <v>0.002495904727885771</v>
      </c>
      <c r="K2106" s="5" t="n">
        <v>7.115105549075542e-05</v>
      </c>
      <c r="L2106" s="5" t="n">
        <v>-0.001247835702821989</v>
      </c>
      <c r="M2106" s="5">
        <f>SUMPRODUCT(Exposures!$B$6:$K$6,B2106:K2106)</f>
        <v/>
      </c>
      <c r="N2106" s="5">
        <f>IF(AND($A2106&gt;=DATE(2020,2,1),$A2106&lt;=DATE(2020,5,31)),$M2106,"")</f>
        <v/>
      </c>
      <c r="O2106" s="5">
        <f>IF(AND($A2106&gt;=DATE(2022,1,1),$A2106&lt;=DATE(2022,10,31)),$M2106,"")</f>
        <v/>
      </c>
      <c r="P2106" s="5">
        <f>IF(AND($A2106&gt;=DATE(2018,10,1),$A2106&lt;=DATE(2018,12,31)),$M2106,"")</f>
        <v/>
      </c>
      <c r="Q2106" s="5">
        <f>SUMPRODUCT(Exposures!$B$8:$K$8,B2106:K2106)</f>
        <v/>
      </c>
      <c r="R2106" s="5">
        <f>SUMPRODUCT(Exposures!$B$9:$K$9,B2106:K2106)</f>
        <v/>
      </c>
      <c r="S2106" s="5">
        <f>SUMPRODUCT(Exposures!$B$10:$K$10,B2106:K2106)</f>
        <v/>
      </c>
    </row>
    <row r="2107">
      <c r="A2107" s="1" t="n">
        <v>45517</v>
      </c>
      <c r="B2107" s="5" t="n">
        <v>0.008750429929365144</v>
      </c>
      <c r="C2107" s="5" t="n">
        <v>0.0003723885665809605</v>
      </c>
      <c r="D2107" s="5" t="n">
        <v>0.001022643577636431</v>
      </c>
      <c r="E2107" s="5" t="n">
        <v>-0.00158504591292186</v>
      </c>
      <c r="F2107" s="5" t="n">
        <v>0.001643517314307674</v>
      </c>
      <c r="G2107" s="5" t="n">
        <v>0.01192703894303056</v>
      </c>
      <c r="H2107" s="5" t="n">
        <v>-0.001511631691958171</v>
      </c>
      <c r="I2107" s="5" t="n">
        <v>8.162592068903114e-05</v>
      </c>
      <c r="J2107" s="5" t="n">
        <v>-0.001461672935123985</v>
      </c>
      <c r="K2107" s="5" t="n">
        <v>-0.001066497422130532</v>
      </c>
      <c r="L2107" s="5" t="n">
        <v>-0.0001613770108039629</v>
      </c>
      <c r="M2107" s="5">
        <f>SUMPRODUCT(Exposures!$B$6:$K$6,B2107:K2107)</f>
        <v/>
      </c>
      <c r="N2107" s="5">
        <f>IF(AND($A2107&gt;=DATE(2020,2,1),$A2107&lt;=DATE(2020,5,31)),$M2107,"")</f>
        <v/>
      </c>
      <c r="O2107" s="5">
        <f>IF(AND($A2107&gt;=DATE(2022,1,1),$A2107&lt;=DATE(2022,10,31)),$M2107,"")</f>
        <v/>
      </c>
      <c r="P2107" s="5">
        <f>IF(AND($A2107&gt;=DATE(2018,10,1),$A2107&lt;=DATE(2018,12,31)),$M2107,"")</f>
        <v/>
      </c>
      <c r="Q2107" s="5">
        <f>SUMPRODUCT(Exposures!$B$8:$K$8,B2107:K2107)</f>
        <v/>
      </c>
      <c r="R2107" s="5">
        <f>SUMPRODUCT(Exposures!$B$9:$K$9,B2107:K2107)</f>
        <v/>
      </c>
      <c r="S2107" s="5">
        <f>SUMPRODUCT(Exposures!$B$10:$K$10,B2107:K2107)</f>
        <v/>
      </c>
    </row>
    <row r="2108">
      <c r="A2108" s="1" t="n">
        <v>45518</v>
      </c>
      <c r="B2108" s="5" t="n">
        <v>-0.002435914100912201</v>
      </c>
      <c r="C2108" s="5" t="n">
        <v>0.000614837761696759</v>
      </c>
      <c r="D2108" s="5" t="n">
        <v>0.004413524400566701</v>
      </c>
      <c r="E2108" s="5" t="n">
        <v>0.00359298360213756</v>
      </c>
      <c r="F2108" s="5" t="n">
        <v>0.0007956234842242671</v>
      </c>
      <c r="G2108" s="5" t="n">
        <v>-0.002084040796248371</v>
      </c>
      <c r="H2108" s="5" t="n">
        <v>0.003408697617264511</v>
      </c>
      <c r="I2108" s="5" t="n">
        <v>0.003049001279007545</v>
      </c>
      <c r="J2108" s="5" t="n">
        <v>-0.004989662277054219</v>
      </c>
      <c r="K2108" s="5" t="n">
        <v>-0.002791752225422109</v>
      </c>
      <c r="L2108" s="5" t="n">
        <v>-0.000677083408402537</v>
      </c>
      <c r="M2108" s="5">
        <f>SUMPRODUCT(Exposures!$B$6:$K$6,B2108:K2108)</f>
        <v/>
      </c>
      <c r="N2108" s="5">
        <f>IF(AND($A2108&gt;=DATE(2020,2,1),$A2108&lt;=DATE(2020,5,31)),$M2108,"")</f>
        <v/>
      </c>
      <c r="O2108" s="5">
        <f>IF(AND($A2108&gt;=DATE(2022,1,1),$A2108&lt;=DATE(2022,10,31)),$M2108,"")</f>
        <v/>
      </c>
      <c r="P2108" s="5">
        <f>IF(AND($A2108&gt;=DATE(2018,10,1),$A2108&lt;=DATE(2018,12,31)),$M2108,"")</f>
        <v/>
      </c>
      <c r="Q2108" s="5">
        <f>SUMPRODUCT(Exposures!$B$8:$K$8,B2108:K2108)</f>
        <v/>
      </c>
      <c r="R2108" s="5">
        <f>SUMPRODUCT(Exposures!$B$9:$K$9,B2108:K2108)</f>
        <v/>
      </c>
      <c r="S2108" s="5">
        <f>SUMPRODUCT(Exposures!$B$10:$K$10,B2108:K2108)</f>
        <v/>
      </c>
    </row>
    <row r="2109">
      <c r="A2109" s="1" t="n">
        <v>45519</v>
      </c>
      <c r="B2109" s="5" t="n">
        <v>0.01301726486206097</v>
      </c>
      <c r="C2109" s="5" t="n">
        <v>0.001108413583389524</v>
      </c>
      <c r="D2109" s="5" t="n">
        <v>-0.001024558358647459</v>
      </c>
      <c r="E2109" s="5" t="n">
        <v>-0.003253622665518075</v>
      </c>
      <c r="F2109" s="5" t="n">
        <v>0.0001543475920825575</v>
      </c>
      <c r="G2109" s="5" t="n">
        <v>0.01756643642796197</v>
      </c>
      <c r="H2109" s="5" t="n">
        <v>0.001021298420064279</v>
      </c>
      <c r="I2109" s="5" t="n">
        <v>0.0008591152857360467</v>
      </c>
      <c r="J2109" s="5" t="n">
        <v>-0.004473403594671186</v>
      </c>
      <c r="K2109" s="5" t="n">
        <v>-0.001825471804763414</v>
      </c>
      <c r="L2109" s="5" t="n">
        <v>0.0005659766229470509</v>
      </c>
      <c r="M2109" s="5">
        <f>SUMPRODUCT(Exposures!$B$6:$K$6,B2109:K2109)</f>
        <v/>
      </c>
      <c r="N2109" s="5">
        <f>IF(AND($A2109&gt;=DATE(2020,2,1),$A2109&lt;=DATE(2020,5,31)),$M2109,"")</f>
        <v/>
      </c>
      <c r="O2109" s="5">
        <f>IF(AND($A2109&gt;=DATE(2022,1,1),$A2109&lt;=DATE(2022,10,31)),$M2109,"")</f>
        <v/>
      </c>
      <c r="P2109" s="5">
        <f>IF(AND($A2109&gt;=DATE(2018,10,1),$A2109&lt;=DATE(2018,12,31)),$M2109,"")</f>
        <v/>
      </c>
      <c r="Q2109" s="5">
        <f>SUMPRODUCT(Exposures!$B$8:$K$8,B2109:K2109)</f>
        <v/>
      </c>
      <c r="R2109" s="5">
        <f>SUMPRODUCT(Exposures!$B$9:$K$9,B2109:K2109)</f>
        <v/>
      </c>
      <c r="S2109" s="5">
        <f>SUMPRODUCT(Exposures!$B$10:$K$10,B2109:K2109)</f>
        <v/>
      </c>
    </row>
    <row r="2110">
      <c r="A2110" s="1" t="n">
        <v>45520</v>
      </c>
      <c r="B2110" s="5" t="n">
        <v>-0.005905125229297058</v>
      </c>
      <c r="C2110" s="5" t="n">
        <v>0.0001539568829867381</v>
      </c>
      <c r="D2110" s="5" t="n">
        <v>0.0004879647078219855</v>
      </c>
      <c r="E2110" s="5" t="n">
        <v>-0.000813180667604502</v>
      </c>
      <c r="F2110" s="5" t="n">
        <v>0.002008227167161414</v>
      </c>
      <c r="G2110" s="5" t="n">
        <v>0.004079269369331017</v>
      </c>
      <c r="H2110" s="5" t="n">
        <v>-0.0003334428601004624</v>
      </c>
      <c r="I2110" s="5" t="n">
        <v>-0.0003194061058309036</v>
      </c>
      <c r="J2110" s="5" t="n">
        <v>0.006436911949507962</v>
      </c>
      <c r="K2110" s="5" t="n">
        <v>0.002399273559236338</v>
      </c>
      <c r="L2110" s="5" t="n">
        <v>0.003304848477015558</v>
      </c>
      <c r="M2110" s="5">
        <f>SUMPRODUCT(Exposures!$B$6:$K$6,B2110:K2110)</f>
        <v/>
      </c>
      <c r="N2110" s="5">
        <f>IF(AND($A2110&gt;=DATE(2020,2,1),$A2110&lt;=DATE(2020,5,31)),$M2110,"")</f>
        <v/>
      </c>
      <c r="O2110" s="5">
        <f>IF(AND($A2110&gt;=DATE(2022,1,1),$A2110&lt;=DATE(2022,10,31)),$M2110,"")</f>
        <v/>
      </c>
      <c r="P2110" s="5">
        <f>IF(AND($A2110&gt;=DATE(2018,10,1),$A2110&lt;=DATE(2018,12,31)),$M2110,"")</f>
        <v/>
      </c>
      <c r="Q2110" s="5">
        <f>SUMPRODUCT(Exposures!$B$8:$K$8,B2110:K2110)</f>
        <v/>
      </c>
      <c r="R2110" s="5">
        <f>SUMPRODUCT(Exposures!$B$9:$K$9,B2110:K2110)</f>
        <v/>
      </c>
      <c r="S2110" s="5">
        <f>SUMPRODUCT(Exposures!$B$10:$K$10,B2110:K2110)</f>
        <v/>
      </c>
    </row>
    <row r="2111">
      <c r="A2111" s="1" t="n">
        <v>45523</v>
      </c>
      <c r="B2111" s="5" t="n">
        <v>0.001263060415385825</v>
      </c>
      <c r="C2111" s="5" t="n">
        <v>-0.002240344342159223</v>
      </c>
      <c r="D2111" s="5" t="n">
        <v>0.001026546415520442</v>
      </c>
      <c r="E2111" s="5" t="n">
        <v>-0.001212276582034054</v>
      </c>
      <c r="F2111" s="5" t="n">
        <v>0.001988012594738449</v>
      </c>
      <c r="G2111" s="5" t="n">
        <v>0.01074050674082266</v>
      </c>
      <c r="H2111" s="5" t="n">
        <v>0.001925275290746169</v>
      </c>
      <c r="I2111" s="5" t="n">
        <v>-0.0005679718955019659</v>
      </c>
      <c r="J2111" s="5" t="n">
        <v>0.004223358656657802</v>
      </c>
      <c r="K2111" s="5" t="n">
        <v>-0.0002295031332068505</v>
      </c>
      <c r="L2111" s="5" t="n">
        <v>0.001894438021084209</v>
      </c>
      <c r="M2111" s="5">
        <f>SUMPRODUCT(Exposures!$B$6:$K$6,B2111:K2111)</f>
        <v/>
      </c>
      <c r="N2111" s="5">
        <f>IF(AND($A2111&gt;=DATE(2020,2,1),$A2111&lt;=DATE(2020,5,31)),$M2111,"")</f>
        <v/>
      </c>
      <c r="O2111" s="5">
        <f>IF(AND($A2111&gt;=DATE(2022,1,1),$A2111&lt;=DATE(2022,10,31)),$M2111,"")</f>
        <v/>
      </c>
      <c r="P2111" s="5">
        <f>IF(AND($A2111&gt;=DATE(2018,10,1),$A2111&lt;=DATE(2018,12,31)),$M2111,"")</f>
        <v/>
      </c>
      <c r="Q2111" s="5">
        <f>SUMPRODUCT(Exposures!$B$8:$K$8,B2111:K2111)</f>
        <v/>
      </c>
      <c r="R2111" s="5">
        <f>SUMPRODUCT(Exposures!$B$9:$K$9,B2111:K2111)</f>
        <v/>
      </c>
      <c r="S2111" s="5">
        <f>SUMPRODUCT(Exposures!$B$10:$K$10,B2111:K2111)</f>
        <v/>
      </c>
    </row>
    <row r="2112">
      <c r="A2112" s="1" t="n">
        <v>45524</v>
      </c>
      <c r="B2112" s="5" t="n">
        <v>-0.001832449986958468</v>
      </c>
      <c r="C2112" s="5" t="n">
        <v>-0.0032420160975739</v>
      </c>
      <c r="D2112" s="5" t="n">
        <v>0.00152002289619079</v>
      </c>
      <c r="E2112" s="5" t="n">
        <v>-0.00127686045089029</v>
      </c>
      <c r="F2112" s="5" t="n">
        <v>0.003410716070868292</v>
      </c>
      <c r="G2112" s="5" t="n">
        <v>-0.00708380858796367</v>
      </c>
      <c r="H2112" s="5" t="n">
        <v>0.0003041582557717302</v>
      </c>
      <c r="I2112" s="5" t="n">
        <v>-0.002127561134500263</v>
      </c>
      <c r="J2112" s="5" t="n">
        <v>-0.004826151165481522</v>
      </c>
      <c r="K2112" s="5" t="n">
        <v>-0.003289697321174814</v>
      </c>
      <c r="L2112" s="5" t="n">
        <v>-0.001657566990852869</v>
      </c>
      <c r="M2112" s="5">
        <f>SUMPRODUCT(Exposures!$B$6:$K$6,B2112:K2112)</f>
        <v/>
      </c>
      <c r="N2112" s="5">
        <f>IF(AND($A2112&gt;=DATE(2020,2,1),$A2112&lt;=DATE(2020,5,31)),$M2112,"")</f>
        <v/>
      </c>
      <c r="O2112" s="5">
        <f>IF(AND($A2112&gt;=DATE(2022,1,1),$A2112&lt;=DATE(2022,10,31)),$M2112,"")</f>
        <v/>
      </c>
      <c r="P2112" s="5">
        <f>IF(AND($A2112&gt;=DATE(2018,10,1),$A2112&lt;=DATE(2018,12,31)),$M2112,"")</f>
        <v/>
      </c>
      <c r="Q2112" s="5">
        <f>SUMPRODUCT(Exposures!$B$8:$K$8,B2112:K2112)</f>
        <v/>
      </c>
      <c r="R2112" s="5">
        <f>SUMPRODUCT(Exposures!$B$9:$K$9,B2112:K2112)</f>
        <v/>
      </c>
      <c r="S2112" s="5">
        <f>SUMPRODUCT(Exposures!$B$10:$K$10,B2112:K2112)</f>
        <v/>
      </c>
    </row>
    <row r="2113">
      <c r="A2113" s="1" t="n">
        <v>45525</v>
      </c>
      <c r="B2113" s="5" t="n">
        <v>0.001866187422699995</v>
      </c>
      <c r="C2113" s="5" t="n">
        <v>0.0004136005002356785</v>
      </c>
      <c r="D2113" s="5" t="n">
        <v>-0.0009816867858473707</v>
      </c>
      <c r="E2113" s="5" t="n">
        <v>0.0004968824735241755</v>
      </c>
      <c r="F2113" s="5" t="n">
        <v>-0.001446650648458878</v>
      </c>
      <c r="G2113" s="5" t="n">
        <v>0.01183907961526677</v>
      </c>
      <c r="H2113" s="5" t="n">
        <v>-0.003335856485257402</v>
      </c>
      <c r="I2113" s="5" t="n">
        <v>0.001565183059381085</v>
      </c>
      <c r="J2113" s="5" t="n">
        <v>0.00759253156170153</v>
      </c>
      <c r="K2113" s="5" t="n">
        <v>-0.001462595697021656</v>
      </c>
      <c r="L2113" s="5" t="n">
        <v>-0.001847071457567932</v>
      </c>
      <c r="M2113" s="5">
        <f>SUMPRODUCT(Exposures!$B$6:$K$6,B2113:K2113)</f>
        <v/>
      </c>
      <c r="N2113" s="5">
        <f>IF(AND($A2113&gt;=DATE(2020,2,1),$A2113&lt;=DATE(2020,5,31)),$M2113,"")</f>
        <v/>
      </c>
      <c r="O2113" s="5">
        <f>IF(AND($A2113&gt;=DATE(2022,1,1),$A2113&lt;=DATE(2022,10,31)),$M2113,"")</f>
        <v/>
      </c>
      <c r="P2113" s="5">
        <f>IF(AND($A2113&gt;=DATE(2018,10,1),$A2113&lt;=DATE(2018,12,31)),$M2113,"")</f>
        <v/>
      </c>
      <c r="Q2113" s="5">
        <f>SUMPRODUCT(Exposures!$B$8:$K$8,B2113:K2113)</f>
        <v/>
      </c>
      <c r="R2113" s="5">
        <f>SUMPRODUCT(Exposures!$B$9:$K$9,B2113:K2113)</f>
        <v/>
      </c>
      <c r="S2113" s="5">
        <f>SUMPRODUCT(Exposures!$B$10:$K$10,B2113:K2113)</f>
        <v/>
      </c>
    </row>
    <row r="2114">
      <c r="A2114" s="1" t="n">
        <v>45526</v>
      </c>
      <c r="B2114" s="5" t="n">
        <v>-0.003451762790759711</v>
      </c>
      <c r="C2114" s="5" t="n">
        <v>0.001223948015892619</v>
      </c>
      <c r="D2114" s="5" t="n">
        <v>-0.001016509325846693</v>
      </c>
      <c r="E2114" s="5" t="n">
        <v>0.0009665634189394169</v>
      </c>
      <c r="F2114" s="5" t="n">
        <v>-0.004987409407298774</v>
      </c>
      <c r="G2114" s="5" t="n">
        <v>-0.009126031979811294</v>
      </c>
      <c r="H2114" s="5" t="n">
        <v>0.001928417766753482</v>
      </c>
      <c r="I2114" s="5" t="n">
        <v>0.0007973908415295633</v>
      </c>
      <c r="J2114" s="5" t="n">
        <v>-0.006069579789096721</v>
      </c>
      <c r="K2114" s="5" t="n">
        <v>0.003095693938809573</v>
      </c>
      <c r="L2114" s="5" t="n">
        <v>0.002310999087165291</v>
      </c>
      <c r="M2114" s="5">
        <f>SUMPRODUCT(Exposures!$B$6:$K$6,B2114:K2114)</f>
        <v/>
      </c>
      <c r="N2114" s="5">
        <f>IF(AND($A2114&gt;=DATE(2020,2,1),$A2114&lt;=DATE(2020,5,31)),$M2114,"")</f>
        <v/>
      </c>
      <c r="O2114" s="5">
        <f>IF(AND($A2114&gt;=DATE(2022,1,1),$A2114&lt;=DATE(2022,10,31)),$M2114,"")</f>
        <v/>
      </c>
      <c r="P2114" s="5">
        <f>IF(AND($A2114&gt;=DATE(2018,10,1),$A2114&lt;=DATE(2018,12,31)),$M2114,"")</f>
        <v/>
      </c>
      <c r="Q2114" s="5">
        <f>SUMPRODUCT(Exposures!$B$8:$K$8,B2114:K2114)</f>
        <v/>
      </c>
      <c r="R2114" s="5">
        <f>SUMPRODUCT(Exposures!$B$9:$K$9,B2114:K2114)</f>
        <v/>
      </c>
      <c r="S2114" s="5">
        <f>SUMPRODUCT(Exposures!$B$10:$K$10,B2114:K2114)</f>
        <v/>
      </c>
    </row>
    <row r="2115">
      <c r="A2115" s="1" t="n">
        <v>45527</v>
      </c>
      <c r="B2115" s="5" t="n">
        <v>0.01013758124218033</v>
      </c>
      <c r="C2115" s="5" t="n">
        <v>0.0002011045897584024</v>
      </c>
      <c r="D2115" s="5" t="n">
        <v>-0.003168510977310818</v>
      </c>
      <c r="E2115" s="5" t="n">
        <v>0.003249986655391522</v>
      </c>
      <c r="F2115" s="5" t="n">
        <v>-0.007252401807672245</v>
      </c>
      <c r="G2115" s="5" t="n">
        <v>0.02128629814266466</v>
      </c>
      <c r="H2115" s="5" t="n">
        <v>-0.001530420899698856</v>
      </c>
      <c r="I2115" s="5" t="n">
        <v>0.001243871325817797</v>
      </c>
      <c r="J2115" s="5" t="n">
        <v>0.004624490554860245</v>
      </c>
      <c r="K2115" s="5" t="n">
        <v>0.003709989202665692</v>
      </c>
      <c r="L2115" s="5" t="n">
        <v>0.00141441058528924</v>
      </c>
      <c r="M2115" s="5">
        <f>SUMPRODUCT(Exposures!$B$6:$K$6,B2115:K2115)</f>
        <v/>
      </c>
      <c r="N2115" s="5">
        <f>IF(AND($A2115&gt;=DATE(2020,2,1),$A2115&lt;=DATE(2020,5,31)),$M2115,"")</f>
        <v/>
      </c>
      <c r="O2115" s="5">
        <f>IF(AND($A2115&gt;=DATE(2022,1,1),$A2115&lt;=DATE(2022,10,31)),$M2115,"")</f>
        <v/>
      </c>
      <c r="P2115" s="5">
        <f>IF(AND($A2115&gt;=DATE(2018,10,1),$A2115&lt;=DATE(2018,12,31)),$M2115,"")</f>
        <v/>
      </c>
      <c r="Q2115" s="5">
        <f>SUMPRODUCT(Exposures!$B$8:$K$8,B2115:K2115)</f>
        <v/>
      </c>
      <c r="R2115" s="5">
        <f>SUMPRODUCT(Exposures!$B$9:$K$9,B2115:K2115)</f>
        <v/>
      </c>
      <c r="S2115" s="5">
        <f>SUMPRODUCT(Exposures!$B$10:$K$10,B2115:K2115)</f>
        <v/>
      </c>
    </row>
    <row r="2116">
      <c r="A2116" s="1" t="n">
        <v>45530</v>
      </c>
      <c r="B2116" s="5" t="n">
        <v>-0.004327490578072963</v>
      </c>
      <c r="C2116" s="5" t="n">
        <v>-0.003686970413088628</v>
      </c>
      <c r="D2116" s="5" t="n">
        <v>-0.0006911072641727766</v>
      </c>
      <c r="E2116" s="5" t="n">
        <v>0.00209297085594458</v>
      </c>
      <c r="F2116" s="5" t="n">
        <v>-0.002609797437699952</v>
      </c>
      <c r="G2116" s="5" t="n">
        <v>0.0004180191188177902</v>
      </c>
      <c r="H2116" s="5" t="n">
        <v>4.072454725132597e-05</v>
      </c>
      <c r="I2116" s="5" t="n">
        <v>-0.001435344153961801</v>
      </c>
      <c r="J2116" s="5" t="n">
        <v>-0.0009876707399148893</v>
      </c>
      <c r="K2116" s="5" t="n">
        <v>-0.0004966068792212454</v>
      </c>
      <c r="L2116" s="5" t="n">
        <v>-0.0002199921914266344</v>
      </c>
      <c r="M2116" s="5">
        <f>SUMPRODUCT(Exposures!$B$6:$K$6,B2116:K2116)</f>
        <v/>
      </c>
      <c r="N2116" s="5">
        <f>IF(AND($A2116&gt;=DATE(2020,2,1),$A2116&lt;=DATE(2020,5,31)),$M2116,"")</f>
        <v/>
      </c>
      <c r="O2116" s="5">
        <f>IF(AND($A2116&gt;=DATE(2022,1,1),$A2116&lt;=DATE(2022,10,31)),$M2116,"")</f>
        <v/>
      </c>
      <c r="P2116" s="5">
        <f>IF(AND($A2116&gt;=DATE(2018,10,1),$A2116&lt;=DATE(2018,12,31)),$M2116,"")</f>
        <v/>
      </c>
      <c r="Q2116" s="5">
        <f>SUMPRODUCT(Exposures!$B$8:$K$8,B2116:K2116)</f>
        <v/>
      </c>
      <c r="R2116" s="5">
        <f>SUMPRODUCT(Exposures!$B$9:$K$9,B2116:K2116)</f>
        <v/>
      </c>
      <c r="S2116" s="5">
        <f>SUMPRODUCT(Exposures!$B$10:$K$10,B2116:K2116)</f>
        <v/>
      </c>
    </row>
    <row r="2117">
      <c r="A2117" s="1" t="n">
        <v>45531</v>
      </c>
      <c r="B2117" s="5" t="n">
        <v>-0.002075880072203785</v>
      </c>
      <c r="C2117" s="5" t="n">
        <v>-0.0006673062524262889</v>
      </c>
      <c r="D2117" s="5" t="n">
        <v>0.001242596087182686</v>
      </c>
      <c r="E2117" s="5" t="n">
        <v>-0.001288124975276541</v>
      </c>
      <c r="F2117" s="5" t="n">
        <v>0.003796333617406629</v>
      </c>
      <c r="G2117" s="5" t="n">
        <v>-0.0006360165399847756</v>
      </c>
      <c r="H2117" s="5" t="n">
        <v>0.001484023934807801</v>
      </c>
      <c r="I2117" s="5" t="n">
        <v>0.001262789839306965</v>
      </c>
      <c r="J2117" s="5" t="n">
        <v>-0.0004844319651905753</v>
      </c>
      <c r="K2117" s="5" t="n">
        <v>-0.003199890377205728</v>
      </c>
      <c r="L2117" s="5" t="n">
        <v>5.843843155168248e-06</v>
      </c>
      <c r="M2117" s="5">
        <f>SUMPRODUCT(Exposures!$B$6:$K$6,B2117:K2117)</f>
        <v/>
      </c>
      <c r="N2117" s="5">
        <f>IF(AND($A2117&gt;=DATE(2020,2,1),$A2117&lt;=DATE(2020,5,31)),$M2117,"")</f>
        <v/>
      </c>
      <c r="O2117" s="5">
        <f>IF(AND($A2117&gt;=DATE(2022,1,1),$A2117&lt;=DATE(2022,10,31)),$M2117,"")</f>
        <v/>
      </c>
      <c r="P2117" s="5">
        <f>IF(AND($A2117&gt;=DATE(2018,10,1),$A2117&lt;=DATE(2018,12,31)),$M2117,"")</f>
        <v/>
      </c>
      <c r="Q2117" s="5">
        <f>SUMPRODUCT(Exposures!$B$8:$K$8,B2117:K2117)</f>
        <v/>
      </c>
      <c r="R2117" s="5">
        <f>SUMPRODUCT(Exposures!$B$9:$K$9,B2117:K2117)</f>
        <v/>
      </c>
      <c r="S2117" s="5">
        <f>SUMPRODUCT(Exposures!$B$10:$K$10,B2117:K2117)</f>
        <v/>
      </c>
    </row>
    <row r="2118">
      <c r="A2118" s="1" t="n">
        <v>45532</v>
      </c>
      <c r="B2118" s="5" t="n">
        <v>-0.003594945653339736</v>
      </c>
      <c r="C2118" s="5" t="n">
        <v>-0.0009321414686918734</v>
      </c>
      <c r="D2118" s="5" t="n">
        <v>-0.0002542555716948673</v>
      </c>
      <c r="E2118" s="5" t="n">
        <v>0.001072135127476099</v>
      </c>
      <c r="F2118" s="5" t="n">
        <v>-0.00257788368636375</v>
      </c>
      <c r="G2118" s="5" t="n">
        <v>-0.00800337116545451</v>
      </c>
      <c r="H2118" s="5" t="n">
        <v>-0.002393389384608814</v>
      </c>
      <c r="I2118" s="5" t="n">
        <v>0.000451905581288468</v>
      </c>
      <c r="J2118" s="5" t="n">
        <v>-0.008923902670842195</v>
      </c>
      <c r="K2118" s="5" t="n">
        <v>-0.0001241186631644625</v>
      </c>
      <c r="L2118" s="5" t="n">
        <v>0.0009255229996147635</v>
      </c>
      <c r="M2118" s="5">
        <f>SUMPRODUCT(Exposures!$B$6:$K$6,B2118:K2118)</f>
        <v/>
      </c>
      <c r="N2118" s="5">
        <f>IF(AND($A2118&gt;=DATE(2020,2,1),$A2118&lt;=DATE(2020,5,31)),$M2118,"")</f>
        <v/>
      </c>
      <c r="O2118" s="5">
        <f>IF(AND($A2118&gt;=DATE(2022,1,1),$A2118&lt;=DATE(2022,10,31)),$M2118,"")</f>
        <v/>
      </c>
      <c r="P2118" s="5">
        <f>IF(AND($A2118&gt;=DATE(2018,10,1),$A2118&lt;=DATE(2018,12,31)),$M2118,"")</f>
        <v/>
      </c>
      <c r="Q2118" s="5">
        <f>SUMPRODUCT(Exposures!$B$8:$K$8,B2118:K2118)</f>
        <v/>
      </c>
      <c r="R2118" s="5">
        <f>SUMPRODUCT(Exposures!$B$9:$K$9,B2118:K2118)</f>
        <v/>
      </c>
      <c r="S2118" s="5">
        <f>SUMPRODUCT(Exposures!$B$10:$K$10,B2118:K2118)</f>
        <v/>
      </c>
    </row>
    <row r="2119">
      <c r="A2119" s="1" t="n">
        <v>45533</v>
      </c>
      <c r="B2119" s="5" t="n">
        <v>0.002632332329185503</v>
      </c>
      <c r="C2119" s="5" t="n">
        <v>-0.002374167107392692</v>
      </c>
      <c r="D2119" s="5" t="n">
        <v>-0.0001986270564814769</v>
      </c>
      <c r="E2119" s="5" t="n">
        <v>-0.002080080631452272</v>
      </c>
      <c r="F2119" s="5" t="n">
        <v>0.0006462009825121671</v>
      </c>
      <c r="G2119" s="5" t="n">
        <v>0.01064294597411062</v>
      </c>
      <c r="H2119" s="5" t="n">
        <v>-0.001291303807113684</v>
      </c>
      <c r="I2119" s="5" t="n">
        <v>0.0002929945505422666</v>
      </c>
      <c r="J2119" s="5" t="n">
        <v>0.006176003303926148</v>
      </c>
      <c r="K2119" s="5" t="n">
        <v>0.0002650801381838754</v>
      </c>
      <c r="L2119" s="5" t="n">
        <v>0.003091638853314599</v>
      </c>
      <c r="M2119" s="5">
        <f>SUMPRODUCT(Exposures!$B$6:$K$6,B2119:K2119)</f>
        <v/>
      </c>
      <c r="N2119" s="5">
        <f>IF(AND($A2119&gt;=DATE(2020,2,1),$A2119&lt;=DATE(2020,5,31)),$M2119,"")</f>
        <v/>
      </c>
      <c r="O2119" s="5">
        <f>IF(AND($A2119&gt;=DATE(2022,1,1),$A2119&lt;=DATE(2022,10,31)),$M2119,"")</f>
        <v/>
      </c>
      <c r="P2119" s="5">
        <f>IF(AND($A2119&gt;=DATE(2018,10,1),$A2119&lt;=DATE(2018,12,31)),$M2119,"")</f>
        <v/>
      </c>
      <c r="Q2119" s="5">
        <f>SUMPRODUCT(Exposures!$B$8:$K$8,B2119:K2119)</f>
        <v/>
      </c>
      <c r="R2119" s="5">
        <f>SUMPRODUCT(Exposures!$B$9:$K$9,B2119:K2119)</f>
        <v/>
      </c>
      <c r="S2119" s="5">
        <f>SUMPRODUCT(Exposures!$B$10:$K$10,B2119:K2119)</f>
        <v/>
      </c>
    </row>
    <row r="2120">
      <c r="A2120" s="1" t="n">
        <v>45534</v>
      </c>
      <c r="B2120" s="5" t="n">
        <v>0.004546689551313966</v>
      </c>
      <c r="C2120" s="5" t="n">
        <v>0.0003370448156352589</v>
      </c>
      <c r="D2120" s="5" t="n">
        <v>0.001012824558917427</v>
      </c>
      <c r="E2120" s="5" t="n">
        <v>-0.001112198524430132</v>
      </c>
      <c r="F2120" s="5" t="n">
        <v>-0.0008207023373540821</v>
      </c>
      <c r="G2120" s="5" t="n">
        <v>0.004849829872815512</v>
      </c>
      <c r="H2120" s="5" t="n">
        <v>0.003815309370537436</v>
      </c>
      <c r="I2120" s="5" t="n">
        <v>0.001594260568732627</v>
      </c>
      <c r="J2120" s="5" t="n">
        <v>-0.003717971614119798</v>
      </c>
      <c r="K2120" s="5" t="n">
        <v>0.002587836751564565</v>
      </c>
      <c r="L2120" s="5" t="n">
        <v>0.002732989893799784</v>
      </c>
      <c r="M2120" s="5">
        <f>SUMPRODUCT(Exposures!$B$6:$K$6,B2120:K2120)</f>
        <v/>
      </c>
      <c r="N2120" s="5">
        <f>IF(AND($A2120&gt;=DATE(2020,2,1),$A2120&lt;=DATE(2020,5,31)),$M2120,"")</f>
        <v/>
      </c>
      <c r="O2120" s="5">
        <f>IF(AND($A2120&gt;=DATE(2022,1,1),$A2120&lt;=DATE(2022,10,31)),$M2120,"")</f>
        <v/>
      </c>
      <c r="P2120" s="5">
        <f>IF(AND($A2120&gt;=DATE(2018,10,1),$A2120&lt;=DATE(2018,12,31)),$M2120,"")</f>
        <v/>
      </c>
      <c r="Q2120" s="5">
        <f>SUMPRODUCT(Exposures!$B$8:$K$8,B2120:K2120)</f>
        <v/>
      </c>
      <c r="R2120" s="5">
        <f>SUMPRODUCT(Exposures!$B$9:$K$9,B2120:K2120)</f>
        <v/>
      </c>
      <c r="S2120" s="5">
        <f>SUMPRODUCT(Exposures!$B$10:$K$10,B2120:K2120)</f>
        <v/>
      </c>
    </row>
    <row r="2121">
      <c r="A2121" s="1" t="n">
        <v>45538</v>
      </c>
      <c r="B2121" s="5" t="n">
        <v>-0.01861982609960297</v>
      </c>
      <c r="C2121" s="5" t="n">
        <v>-0.002610728180159495</v>
      </c>
      <c r="D2121" s="5" t="n">
        <v>0.004094208674815774</v>
      </c>
      <c r="E2121" s="5" t="n">
        <v>0.00373385654759115</v>
      </c>
      <c r="F2121" s="5" t="n">
        <v>-0.001425592364038291</v>
      </c>
      <c r="G2121" s="5" t="n">
        <v>-0.0201669787084591</v>
      </c>
      <c r="H2121" s="5" t="n">
        <v>-0.003270970526457599</v>
      </c>
      <c r="I2121" s="5" t="n">
        <v>0.0006972035008318313</v>
      </c>
      <c r="J2121" s="5" t="n">
        <v>-0.0006167832952580637</v>
      </c>
      <c r="K2121" s="5" t="n">
        <v>0.001034178824897581</v>
      </c>
      <c r="L2121" s="5" t="n">
        <v>0.002246062844782305</v>
      </c>
      <c r="M2121" s="5">
        <f>SUMPRODUCT(Exposures!$B$6:$K$6,B2121:K2121)</f>
        <v/>
      </c>
      <c r="N2121" s="5">
        <f>IF(AND($A2121&gt;=DATE(2020,2,1),$A2121&lt;=DATE(2020,5,31)),$M2121,"")</f>
        <v/>
      </c>
      <c r="O2121" s="5">
        <f>IF(AND($A2121&gt;=DATE(2022,1,1),$A2121&lt;=DATE(2022,10,31)),$M2121,"")</f>
        <v/>
      </c>
      <c r="P2121" s="5">
        <f>IF(AND($A2121&gt;=DATE(2018,10,1),$A2121&lt;=DATE(2018,12,31)),$M2121,"")</f>
        <v/>
      </c>
      <c r="Q2121" s="5">
        <f>SUMPRODUCT(Exposures!$B$8:$K$8,B2121:K2121)</f>
        <v/>
      </c>
      <c r="R2121" s="5">
        <f>SUMPRODUCT(Exposures!$B$9:$K$9,B2121:K2121)</f>
        <v/>
      </c>
      <c r="S2121" s="5">
        <f>SUMPRODUCT(Exposures!$B$10:$K$10,B2121:K2121)</f>
        <v/>
      </c>
    </row>
    <row r="2122">
      <c r="A2122" s="1" t="n">
        <v>45539</v>
      </c>
      <c r="B2122" s="5" t="n">
        <v>-0.001084142913507553</v>
      </c>
      <c r="C2122" s="5" t="n">
        <v>0.002025407233968116</v>
      </c>
      <c r="D2122" s="5" t="n">
        <v>-0.002432092965943327</v>
      </c>
      <c r="E2122" s="5" t="n">
        <v>-0.002549833592920414</v>
      </c>
      <c r="F2122" s="5" t="n">
        <v>-0.00477331274853827</v>
      </c>
      <c r="G2122" s="5" t="n">
        <v>0.001192134019885809</v>
      </c>
      <c r="H2122" s="5" t="n">
        <v>-0.001321705787739475</v>
      </c>
      <c r="I2122" s="5" t="n">
        <v>0.0006977799185254481</v>
      </c>
      <c r="J2122" s="5" t="n">
        <v>0.001457741628955119</v>
      </c>
      <c r="K2122" s="5" t="n">
        <v>0.0009314124684287314</v>
      </c>
      <c r="L2122" s="5" t="n">
        <v>-0.001996014956958949</v>
      </c>
      <c r="M2122" s="5">
        <f>SUMPRODUCT(Exposures!$B$6:$K$6,B2122:K2122)</f>
        <v/>
      </c>
      <c r="N2122" s="5">
        <f>IF(AND($A2122&gt;=DATE(2020,2,1),$A2122&lt;=DATE(2020,5,31)),$M2122,"")</f>
        <v/>
      </c>
      <c r="O2122" s="5">
        <f>IF(AND($A2122&gt;=DATE(2022,1,1),$A2122&lt;=DATE(2022,10,31)),$M2122,"")</f>
        <v/>
      </c>
      <c r="P2122" s="5">
        <f>IF(AND($A2122&gt;=DATE(2018,10,1),$A2122&lt;=DATE(2018,12,31)),$M2122,"")</f>
        <v/>
      </c>
      <c r="Q2122" s="5">
        <f>SUMPRODUCT(Exposures!$B$8:$K$8,B2122:K2122)</f>
        <v/>
      </c>
      <c r="R2122" s="5">
        <f>SUMPRODUCT(Exposures!$B$9:$K$9,B2122:K2122)</f>
        <v/>
      </c>
      <c r="S2122" s="5">
        <f>SUMPRODUCT(Exposures!$B$10:$K$10,B2122:K2122)</f>
        <v/>
      </c>
    </row>
    <row r="2123">
      <c r="A2123" s="1" t="n">
        <v>45540</v>
      </c>
      <c r="B2123" s="5" t="n">
        <v>0.0021728492298787</v>
      </c>
      <c r="C2123" s="5" t="n">
        <v>-0.0004403183792265777</v>
      </c>
      <c r="D2123" s="5" t="n">
        <v>-0.001395266177376459</v>
      </c>
      <c r="E2123" s="5" t="n">
        <v>-0.001063105126098388</v>
      </c>
      <c r="F2123" s="5" t="n">
        <v>-0.001954007759951616</v>
      </c>
      <c r="G2123" s="5" t="n">
        <v>-0.005577025232221285</v>
      </c>
      <c r="H2123" s="5" t="n">
        <v>0.0004325880551799072</v>
      </c>
      <c r="I2123" s="5" t="n">
        <v>-0.002750537786551649</v>
      </c>
      <c r="J2123" s="5" t="n">
        <v>-0.002303960957602925</v>
      </c>
      <c r="K2123" s="5" t="n">
        <v>0.003190302665763683</v>
      </c>
      <c r="L2123" s="5" t="n">
        <v>-0.0007647701498600585</v>
      </c>
      <c r="M2123" s="5">
        <f>SUMPRODUCT(Exposures!$B$6:$K$6,B2123:K2123)</f>
        <v/>
      </c>
      <c r="N2123" s="5">
        <f>IF(AND($A2123&gt;=DATE(2020,2,1),$A2123&lt;=DATE(2020,5,31)),$M2123,"")</f>
        <v/>
      </c>
      <c r="O2123" s="5">
        <f>IF(AND($A2123&gt;=DATE(2022,1,1),$A2123&lt;=DATE(2022,10,31)),$M2123,"")</f>
        <v/>
      </c>
      <c r="P2123" s="5">
        <f>IF(AND($A2123&gt;=DATE(2018,10,1),$A2123&lt;=DATE(2018,12,31)),$M2123,"")</f>
        <v/>
      </c>
      <c r="Q2123" s="5">
        <f>SUMPRODUCT(Exposures!$B$8:$K$8,B2123:K2123)</f>
        <v/>
      </c>
      <c r="R2123" s="5">
        <f>SUMPRODUCT(Exposures!$B$9:$K$9,B2123:K2123)</f>
        <v/>
      </c>
      <c r="S2123" s="5">
        <f>SUMPRODUCT(Exposures!$B$10:$K$10,B2123:K2123)</f>
        <v/>
      </c>
    </row>
    <row r="2124">
      <c r="A2124" s="1" t="n">
        <v>45541</v>
      </c>
      <c r="B2124" s="5" t="n">
        <v>-0.009697969038639556</v>
      </c>
      <c r="C2124" s="5" t="n">
        <v>0.00209690815285962</v>
      </c>
      <c r="D2124" s="5" t="n">
        <v>0.0001765313063278109</v>
      </c>
      <c r="E2124" s="5" t="n">
        <v>2.435029584738687e-05</v>
      </c>
      <c r="F2124" s="5" t="n">
        <v>-0.001251273509430663</v>
      </c>
      <c r="G2124" s="5" t="n">
        <v>-0.01742997303660828</v>
      </c>
      <c r="H2124" s="5" t="n">
        <v>-0.004380748306216709</v>
      </c>
      <c r="I2124" s="5" t="n">
        <v>0.0002607566868540665</v>
      </c>
      <c r="J2124" s="5" t="n">
        <v>-0.001197669398738469</v>
      </c>
      <c r="K2124" s="5" t="n">
        <v>-0.001046844671018368</v>
      </c>
      <c r="L2124" s="5" t="n">
        <v>-0.001948638412677117</v>
      </c>
      <c r="M2124" s="5">
        <f>SUMPRODUCT(Exposures!$B$6:$K$6,B2124:K2124)</f>
        <v/>
      </c>
      <c r="N2124" s="5">
        <f>IF(AND($A2124&gt;=DATE(2020,2,1),$A2124&lt;=DATE(2020,5,31)),$M2124,"")</f>
        <v/>
      </c>
      <c r="O2124" s="5">
        <f>IF(AND($A2124&gt;=DATE(2022,1,1),$A2124&lt;=DATE(2022,10,31)),$M2124,"")</f>
        <v/>
      </c>
      <c r="P2124" s="5">
        <f>IF(AND($A2124&gt;=DATE(2018,10,1),$A2124&lt;=DATE(2018,12,31)),$M2124,"")</f>
        <v/>
      </c>
      <c r="Q2124" s="5">
        <f>SUMPRODUCT(Exposures!$B$8:$K$8,B2124:K2124)</f>
        <v/>
      </c>
      <c r="R2124" s="5">
        <f>SUMPRODUCT(Exposures!$B$9:$K$9,B2124:K2124)</f>
        <v/>
      </c>
      <c r="S2124" s="5">
        <f>SUMPRODUCT(Exposures!$B$10:$K$10,B2124:K2124)</f>
        <v/>
      </c>
    </row>
    <row r="2125">
      <c r="A2125" s="1" t="n">
        <v>45544</v>
      </c>
      <c r="B2125" s="5" t="n">
        <v>0.005367423552998003</v>
      </c>
      <c r="C2125" s="5" t="n">
        <v>-0.005536175887671383</v>
      </c>
      <c r="D2125" s="5" t="n">
        <v>0.002290120620799866</v>
      </c>
      <c r="E2125" s="5" t="n">
        <v>0.001257037170548628</v>
      </c>
      <c r="F2125" s="5" t="n">
        <v>0.005790129844720158</v>
      </c>
      <c r="G2125" s="5" t="n">
        <v>0.008237730632684983</v>
      </c>
      <c r="H2125" s="5" t="n">
        <v>0.002545514746380052</v>
      </c>
      <c r="I2125" s="5" t="n">
        <v>0.005704931801362998</v>
      </c>
      <c r="J2125" s="5" t="n">
        <v>-0.005732932119746313</v>
      </c>
      <c r="K2125" s="5" t="n">
        <v>-0.008127928052476082</v>
      </c>
      <c r="L2125" s="5" t="n">
        <v>-0.001537742166262698</v>
      </c>
      <c r="M2125" s="5">
        <f>SUMPRODUCT(Exposures!$B$6:$K$6,B2125:K2125)</f>
        <v/>
      </c>
      <c r="N2125" s="5">
        <f>IF(AND($A2125&gt;=DATE(2020,2,1),$A2125&lt;=DATE(2020,5,31)),$M2125,"")</f>
        <v/>
      </c>
      <c r="O2125" s="5">
        <f>IF(AND($A2125&gt;=DATE(2022,1,1),$A2125&lt;=DATE(2022,10,31)),$M2125,"")</f>
        <v/>
      </c>
      <c r="P2125" s="5">
        <f>IF(AND($A2125&gt;=DATE(2018,10,1),$A2125&lt;=DATE(2018,12,31)),$M2125,"")</f>
        <v/>
      </c>
      <c r="Q2125" s="5">
        <f>SUMPRODUCT(Exposures!$B$8:$K$8,B2125:K2125)</f>
        <v/>
      </c>
      <c r="R2125" s="5">
        <f>SUMPRODUCT(Exposures!$B$9:$K$9,B2125:K2125)</f>
        <v/>
      </c>
      <c r="S2125" s="5">
        <f>SUMPRODUCT(Exposures!$B$10:$K$10,B2125:K2125)</f>
        <v/>
      </c>
    </row>
    <row r="2126">
      <c r="A2126" s="1" t="n">
        <v>45545</v>
      </c>
      <c r="B2126" s="5" t="n">
        <v>-0.0003389511916073061</v>
      </c>
      <c r="C2126" s="5" t="n">
        <v>-0.004711425877327004</v>
      </c>
      <c r="D2126" s="5" t="n">
        <v>0.007455916255545332</v>
      </c>
      <c r="E2126" s="5" t="n">
        <v>-0.003166964932576212</v>
      </c>
      <c r="F2126" s="5" t="n">
        <v>0.0009056741481709202</v>
      </c>
      <c r="G2126" s="5" t="n">
        <v>-0.001487993517224219</v>
      </c>
      <c r="H2126" s="5" t="n">
        <v>-0.001687303435339006</v>
      </c>
      <c r="I2126" s="5" t="n">
        <v>0.0004750129257557679</v>
      </c>
      <c r="J2126" s="5" t="n">
        <v>0.0002335179060720255</v>
      </c>
      <c r="K2126" s="5" t="n">
        <v>0.00403319445010485</v>
      </c>
      <c r="L2126" s="5" t="n">
        <v>-0.002389963160487612</v>
      </c>
      <c r="M2126" s="5">
        <f>SUMPRODUCT(Exposures!$B$6:$K$6,B2126:K2126)</f>
        <v/>
      </c>
      <c r="N2126" s="5">
        <f>IF(AND($A2126&gt;=DATE(2020,2,1),$A2126&lt;=DATE(2020,5,31)),$M2126,"")</f>
        <v/>
      </c>
      <c r="O2126" s="5">
        <f>IF(AND($A2126&gt;=DATE(2022,1,1),$A2126&lt;=DATE(2022,10,31)),$M2126,"")</f>
        <v/>
      </c>
      <c r="P2126" s="5">
        <f>IF(AND($A2126&gt;=DATE(2018,10,1),$A2126&lt;=DATE(2018,12,31)),$M2126,"")</f>
        <v/>
      </c>
      <c r="Q2126" s="5">
        <f>SUMPRODUCT(Exposures!$B$8:$K$8,B2126:K2126)</f>
        <v/>
      </c>
      <c r="R2126" s="5">
        <f>SUMPRODUCT(Exposures!$B$9:$K$9,B2126:K2126)</f>
        <v/>
      </c>
      <c r="S2126" s="5">
        <f>SUMPRODUCT(Exposures!$B$10:$K$10,B2126:K2126)</f>
        <v/>
      </c>
    </row>
    <row r="2127">
      <c r="A2127" s="1" t="n">
        <v>45546</v>
      </c>
      <c r="B2127" s="5" t="n">
        <v>0.006995255981028011</v>
      </c>
      <c r="C2127" s="5" t="n">
        <v>-0.0002046135124608908</v>
      </c>
      <c r="D2127" s="5" t="n">
        <v>0.003449687699101156</v>
      </c>
      <c r="E2127" s="5" t="n">
        <v>-5.650582364322891e-06</v>
      </c>
      <c r="F2127" s="5" t="n">
        <v>0.006931122224789896</v>
      </c>
      <c r="G2127" s="5" t="n">
        <v>0.008713189482669918</v>
      </c>
      <c r="H2127" s="5" t="n">
        <v>0.0001497018949728691</v>
      </c>
      <c r="I2127" s="5" t="n">
        <v>-0.000244200282644132</v>
      </c>
      <c r="J2127" s="5" t="n">
        <v>0.01088737065423394</v>
      </c>
      <c r="K2127" s="5" t="n">
        <v>0.0002870989500479842</v>
      </c>
      <c r="L2127" s="5" t="n">
        <v>-0.0003105902945493011</v>
      </c>
      <c r="M2127" s="5">
        <f>SUMPRODUCT(Exposures!$B$6:$K$6,B2127:K2127)</f>
        <v/>
      </c>
      <c r="N2127" s="5">
        <f>IF(AND($A2127&gt;=DATE(2020,2,1),$A2127&lt;=DATE(2020,5,31)),$M2127,"")</f>
        <v/>
      </c>
      <c r="O2127" s="5">
        <f>IF(AND($A2127&gt;=DATE(2022,1,1),$A2127&lt;=DATE(2022,10,31)),$M2127,"")</f>
        <v/>
      </c>
      <c r="P2127" s="5">
        <f>IF(AND($A2127&gt;=DATE(2018,10,1),$A2127&lt;=DATE(2018,12,31)),$M2127,"")</f>
        <v/>
      </c>
      <c r="Q2127" s="5">
        <f>SUMPRODUCT(Exposures!$B$8:$K$8,B2127:K2127)</f>
        <v/>
      </c>
      <c r="R2127" s="5">
        <f>SUMPRODUCT(Exposures!$B$9:$K$9,B2127:K2127)</f>
        <v/>
      </c>
      <c r="S2127" s="5">
        <f>SUMPRODUCT(Exposures!$B$10:$K$10,B2127:K2127)</f>
        <v/>
      </c>
    </row>
    <row r="2128">
      <c r="A2128" s="1" t="n">
        <v>45547</v>
      </c>
      <c r="B2128" s="5" t="n">
        <v>0.002100380604394405</v>
      </c>
      <c r="C2128" s="5" t="n">
        <v>-0.001063148762583156</v>
      </c>
      <c r="D2128" s="5" t="n">
        <v>-0.0002741014151318768</v>
      </c>
      <c r="E2128" s="5" t="n">
        <v>-0.0003147320165885278</v>
      </c>
      <c r="F2128" s="5" t="n">
        <v>-0.003019532315677117</v>
      </c>
      <c r="G2128" s="5" t="n">
        <v>0.01151376552963622</v>
      </c>
      <c r="H2128" s="5" t="n">
        <v>0.001598299555062601</v>
      </c>
      <c r="I2128" s="5" t="n">
        <v>0.0001350445552848388</v>
      </c>
      <c r="J2128" s="5" t="n">
        <v>0.005320748024644531</v>
      </c>
      <c r="K2128" s="5" t="n">
        <v>0.002458156665702279</v>
      </c>
      <c r="L2128" s="5" t="n">
        <v>0.0006953551604699749</v>
      </c>
      <c r="M2128" s="5">
        <f>SUMPRODUCT(Exposures!$B$6:$K$6,B2128:K2128)</f>
        <v/>
      </c>
      <c r="N2128" s="5">
        <f>IF(AND($A2128&gt;=DATE(2020,2,1),$A2128&lt;=DATE(2020,5,31)),$M2128,"")</f>
        <v/>
      </c>
      <c r="O2128" s="5">
        <f>IF(AND($A2128&gt;=DATE(2022,1,1),$A2128&lt;=DATE(2022,10,31)),$M2128,"")</f>
        <v/>
      </c>
      <c r="P2128" s="5">
        <f>IF(AND($A2128&gt;=DATE(2018,10,1),$A2128&lt;=DATE(2018,12,31)),$M2128,"")</f>
        <v/>
      </c>
      <c r="Q2128" s="5">
        <f>SUMPRODUCT(Exposures!$B$8:$K$8,B2128:K2128)</f>
        <v/>
      </c>
      <c r="R2128" s="5">
        <f>SUMPRODUCT(Exposures!$B$9:$K$9,B2128:K2128)</f>
        <v/>
      </c>
      <c r="S2128" s="5">
        <f>SUMPRODUCT(Exposures!$B$10:$K$10,B2128:K2128)</f>
        <v/>
      </c>
    </row>
    <row r="2129">
      <c r="A2129" s="1" t="n">
        <v>45548</v>
      </c>
      <c r="B2129" s="5" t="n">
        <v>0.005426553063187385</v>
      </c>
      <c r="C2129" s="5" t="n">
        <v>0.002785500194688792</v>
      </c>
      <c r="D2129" s="5" t="n">
        <v>-0.001077707682546274</v>
      </c>
      <c r="E2129" s="5" t="n">
        <v>0.001717662588846175</v>
      </c>
      <c r="F2129" s="5" t="n">
        <v>-0.003408863707380423</v>
      </c>
      <c r="G2129" s="5" t="n">
        <v>0.01511031843341717</v>
      </c>
      <c r="H2129" s="5" t="n">
        <v>0.00166053348642937</v>
      </c>
      <c r="I2129" s="5" t="n">
        <v>-0.002758406454831486</v>
      </c>
      <c r="J2129" s="5" t="n">
        <v>0.004745845048366394</v>
      </c>
      <c r="K2129" s="5" t="n">
        <v>0.0001041742045133839</v>
      </c>
      <c r="L2129" s="5" t="n">
        <v>-0.0007985276651108005</v>
      </c>
      <c r="M2129" s="5">
        <f>SUMPRODUCT(Exposures!$B$6:$K$6,B2129:K2129)</f>
        <v/>
      </c>
      <c r="N2129" s="5">
        <f>IF(AND($A2129&gt;=DATE(2020,2,1),$A2129&lt;=DATE(2020,5,31)),$M2129,"")</f>
        <v/>
      </c>
      <c r="O2129" s="5">
        <f>IF(AND($A2129&gt;=DATE(2022,1,1),$A2129&lt;=DATE(2022,10,31)),$M2129,"")</f>
        <v/>
      </c>
      <c r="P2129" s="5">
        <f>IF(AND($A2129&gt;=DATE(2018,10,1),$A2129&lt;=DATE(2018,12,31)),$M2129,"")</f>
        <v/>
      </c>
      <c r="Q2129" s="5">
        <f>SUMPRODUCT(Exposures!$B$8:$K$8,B2129:K2129)</f>
        <v/>
      </c>
      <c r="R2129" s="5">
        <f>SUMPRODUCT(Exposures!$B$9:$K$9,B2129:K2129)</f>
        <v/>
      </c>
      <c r="S2129" s="5">
        <f>SUMPRODUCT(Exposures!$B$10:$K$10,B2129:K2129)</f>
        <v/>
      </c>
    </row>
    <row r="2130">
      <c r="A2130" s="1" t="n">
        <v>45551</v>
      </c>
      <c r="B2130" s="5" t="n">
        <v>-0.0001147033154667818</v>
      </c>
      <c r="C2130" s="5" t="n">
        <v>0.003258051952529544</v>
      </c>
      <c r="D2130" s="5" t="n">
        <v>0.0009060552712813081</v>
      </c>
      <c r="E2130" s="5" t="n">
        <v>0.002141512150269711</v>
      </c>
      <c r="F2130" s="5" t="n">
        <v>-0.003735730452217089</v>
      </c>
      <c r="G2130" s="5" t="n">
        <v>0.002545444117486911</v>
      </c>
      <c r="H2130" s="5" t="n">
        <v>-0.001112048779926132</v>
      </c>
      <c r="I2130" s="5" t="n">
        <v>0.001130896247596039</v>
      </c>
      <c r="J2130" s="5" t="n">
        <v>-0.005635269937014543</v>
      </c>
      <c r="K2130" s="5" t="n">
        <v>0.0001390913173034376</v>
      </c>
      <c r="L2130" s="5" t="n">
        <v>0.0004014868802081014</v>
      </c>
      <c r="M2130" s="5">
        <f>SUMPRODUCT(Exposures!$B$6:$K$6,B2130:K2130)</f>
        <v/>
      </c>
      <c r="N2130" s="5">
        <f>IF(AND($A2130&gt;=DATE(2020,2,1),$A2130&lt;=DATE(2020,5,31)),$M2130,"")</f>
        <v/>
      </c>
      <c r="O2130" s="5">
        <f>IF(AND($A2130&gt;=DATE(2022,1,1),$A2130&lt;=DATE(2022,10,31)),$M2130,"")</f>
        <v/>
      </c>
      <c r="P2130" s="5">
        <f>IF(AND($A2130&gt;=DATE(2018,10,1),$A2130&lt;=DATE(2018,12,31)),$M2130,"")</f>
        <v/>
      </c>
      <c r="Q2130" s="5">
        <f>SUMPRODUCT(Exposures!$B$8:$K$8,B2130:K2130)</f>
        <v/>
      </c>
      <c r="R2130" s="5">
        <f>SUMPRODUCT(Exposures!$B$9:$K$9,B2130:K2130)</f>
        <v/>
      </c>
      <c r="S2130" s="5">
        <f>SUMPRODUCT(Exposures!$B$10:$K$10,B2130:K2130)</f>
        <v/>
      </c>
    </row>
    <row r="2131">
      <c r="A2131" s="1" t="n">
        <v>45552</v>
      </c>
      <c r="B2131" s="5" t="n">
        <v>0.005375361554103085</v>
      </c>
      <c r="C2131" s="5" t="n">
        <v>0.0034364552547024</v>
      </c>
      <c r="D2131" s="5" t="n">
        <v>-0.003185814431710986</v>
      </c>
      <c r="E2131" s="5" t="n">
        <v>0.000850190379393133</v>
      </c>
      <c r="F2131" s="5" t="n">
        <v>-0.00228522573175006</v>
      </c>
      <c r="G2131" s="5" t="n">
        <v>0.003743497569281269</v>
      </c>
      <c r="H2131" s="5" t="n">
        <v>-0.001368396367935902</v>
      </c>
      <c r="I2131" s="5" t="n">
        <v>-0.0007277251992900606</v>
      </c>
      <c r="J2131" s="5" t="n">
        <v>1.847568478746545e-05</v>
      </c>
      <c r="K2131" s="5" t="n">
        <v>0.0006437653248707407</v>
      </c>
      <c r="L2131" s="5" t="n">
        <v>0.0001399944073504323</v>
      </c>
      <c r="M2131" s="5">
        <f>SUMPRODUCT(Exposures!$B$6:$K$6,B2131:K2131)</f>
        <v/>
      </c>
      <c r="N2131" s="5">
        <f>IF(AND($A2131&gt;=DATE(2020,2,1),$A2131&lt;=DATE(2020,5,31)),$M2131,"")</f>
        <v/>
      </c>
      <c r="O2131" s="5">
        <f>IF(AND($A2131&gt;=DATE(2022,1,1),$A2131&lt;=DATE(2022,10,31)),$M2131,"")</f>
        <v/>
      </c>
      <c r="P2131" s="5">
        <f>IF(AND($A2131&gt;=DATE(2018,10,1),$A2131&lt;=DATE(2018,12,31)),$M2131,"")</f>
        <v/>
      </c>
      <c r="Q2131" s="5">
        <f>SUMPRODUCT(Exposures!$B$8:$K$8,B2131:K2131)</f>
        <v/>
      </c>
      <c r="R2131" s="5">
        <f>SUMPRODUCT(Exposures!$B$9:$K$9,B2131:K2131)</f>
        <v/>
      </c>
      <c r="S2131" s="5">
        <f>SUMPRODUCT(Exposures!$B$10:$K$10,B2131:K2131)</f>
        <v/>
      </c>
    </row>
    <row r="2132">
      <c r="A2132" s="1" t="n">
        <v>45553</v>
      </c>
      <c r="B2132" s="5" t="n">
        <v>0.0009936703744937952</v>
      </c>
      <c r="C2132" s="5" t="n">
        <v>0.0012045765356837</v>
      </c>
      <c r="D2132" s="5" t="n">
        <v>-0.004354476625650219</v>
      </c>
      <c r="E2132" s="5" t="n">
        <v>0.0008755399093439836</v>
      </c>
      <c r="F2132" s="5" t="n">
        <v>0.0009715848973833786</v>
      </c>
      <c r="G2132" s="5" t="n">
        <v>-0.001168161860034298</v>
      </c>
      <c r="H2132" s="5" t="n">
        <v>-0.0001949120953099996</v>
      </c>
      <c r="I2132" s="5" t="n">
        <v>-0.002408663995159742</v>
      </c>
      <c r="J2132" s="5" t="n">
        <v>0.001619225678694201</v>
      </c>
      <c r="K2132" s="5" t="n">
        <v>1.795554313367459e-05</v>
      </c>
      <c r="L2132" s="5" t="n">
        <v>0.00202260083699944</v>
      </c>
      <c r="M2132" s="5">
        <f>SUMPRODUCT(Exposures!$B$6:$K$6,B2132:K2132)</f>
        <v/>
      </c>
      <c r="N2132" s="5">
        <f>IF(AND($A2132&gt;=DATE(2020,2,1),$A2132&lt;=DATE(2020,5,31)),$M2132,"")</f>
        <v/>
      </c>
      <c r="O2132" s="5">
        <f>IF(AND($A2132&gt;=DATE(2022,1,1),$A2132&lt;=DATE(2022,10,31)),$M2132,"")</f>
        <v/>
      </c>
      <c r="P2132" s="5">
        <f>IF(AND($A2132&gt;=DATE(2018,10,1),$A2132&lt;=DATE(2018,12,31)),$M2132,"")</f>
        <v/>
      </c>
      <c r="Q2132" s="5">
        <f>SUMPRODUCT(Exposures!$B$8:$K$8,B2132:K2132)</f>
        <v/>
      </c>
      <c r="R2132" s="5">
        <f>SUMPRODUCT(Exposures!$B$9:$K$9,B2132:K2132)</f>
        <v/>
      </c>
      <c r="S2132" s="5">
        <f>SUMPRODUCT(Exposures!$B$10:$K$10,B2132:K2132)</f>
        <v/>
      </c>
    </row>
    <row r="2133">
      <c r="A2133" s="1" t="n">
        <v>45554</v>
      </c>
      <c r="B2133" s="5" t="n">
        <v>0.01343874051771681</v>
      </c>
      <c r="C2133" s="5" t="n">
        <v>0.001792671916764196</v>
      </c>
      <c r="D2133" s="5" t="n">
        <v>-0.002347762120667308</v>
      </c>
      <c r="E2133" s="5" t="n">
        <v>-0.000267270464069565</v>
      </c>
      <c r="F2133" s="5" t="n">
        <v>0.0005621749810083331</v>
      </c>
      <c r="G2133" s="5" t="n">
        <v>0.01523642122097389</v>
      </c>
      <c r="H2133" s="5" t="n">
        <v>0.003222827642914319</v>
      </c>
      <c r="I2133" s="5" t="n">
        <v>-0.0003010502641883918</v>
      </c>
      <c r="J2133" s="5" t="n">
        <v>-0.00260877323892259</v>
      </c>
      <c r="K2133" s="5" t="n">
        <v>0.001394189069230495</v>
      </c>
      <c r="L2133" s="5" t="n">
        <v>0.003612679595268076</v>
      </c>
      <c r="M2133" s="5">
        <f>SUMPRODUCT(Exposures!$B$6:$K$6,B2133:K2133)</f>
        <v/>
      </c>
      <c r="N2133" s="5">
        <f>IF(AND($A2133&gt;=DATE(2020,2,1),$A2133&lt;=DATE(2020,5,31)),$M2133,"")</f>
        <v/>
      </c>
      <c r="O2133" s="5">
        <f>IF(AND($A2133&gt;=DATE(2022,1,1),$A2133&lt;=DATE(2022,10,31)),$M2133,"")</f>
        <v/>
      </c>
      <c r="P2133" s="5">
        <f>IF(AND($A2133&gt;=DATE(2018,10,1),$A2133&lt;=DATE(2018,12,31)),$M2133,"")</f>
        <v/>
      </c>
      <c r="Q2133" s="5">
        <f>SUMPRODUCT(Exposures!$B$8:$K$8,B2133:K2133)</f>
        <v/>
      </c>
      <c r="R2133" s="5">
        <f>SUMPRODUCT(Exposures!$B$9:$K$9,B2133:K2133)</f>
        <v/>
      </c>
      <c r="S2133" s="5">
        <f>SUMPRODUCT(Exposures!$B$10:$K$10,B2133:K2133)</f>
        <v/>
      </c>
    </row>
    <row r="2134">
      <c r="A2134" s="1" t="n">
        <v>45555</v>
      </c>
      <c r="B2134" s="5" t="n">
        <v>-0.004708112650497615</v>
      </c>
      <c r="C2134" s="5" t="n">
        <v>-0.001750136786821221</v>
      </c>
      <c r="D2134" s="5" t="n">
        <v>-0.0015020616718273</v>
      </c>
      <c r="E2134" s="5" t="n">
        <v>0.0004727042999974632</v>
      </c>
      <c r="F2134" s="5" t="n">
        <v>0.003352462140724217</v>
      </c>
      <c r="G2134" s="5" t="n">
        <v>-0.005133160752402235</v>
      </c>
      <c r="H2134" s="5" t="n">
        <v>0.001746038330941675</v>
      </c>
      <c r="I2134" s="5" t="n">
        <v>0.001563420072226549</v>
      </c>
      <c r="J2134" s="5" t="n">
        <v>0.0003331972732342407</v>
      </c>
      <c r="K2134" s="5" t="n">
        <v>-0.002733204363446227</v>
      </c>
      <c r="L2134" s="5" t="n">
        <v>-0.002879296401196115</v>
      </c>
      <c r="M2134" s="5">
        <f>SUMPRODUCT(Exposures!$B$6:$K$6,B2134:K2134)</f>
        <v/>
      </c>
      <c r="N2134" s="5">
        <f>IF(AND($A2134&gt;=DATE(2020,2,1),$A2134&lt;=DATE(2020,5,31)),$M2134,"")</f>
        <v/>
      </c>
      <c r="O2134" s="5">
        <f>IF(AND($A2134&gt;=DATE(2022,1,1),$A2134&lt;=DATE(2022,10,31)),$M2134,"")</f>
        <v/>
      </c>
      <c r="P2134" s="5">
        <f>IF(AND($A2134&gt;=DATE(2018,10,1),$A2134&lt;=DATE(2018,12,31)),$M2134,"")</f>
        <v/>
      </c>
      <c r="Q2134" s="5">
        <f>SUMPRODUCT(Exposures!$B$8:$K$8,B2134:K2134)</f>
        <v/>
      </c>
      <c r="R2134" s="5">
        <f>SUMPRODUCT(Exposures!$B$9:$K$9,B2134:K2134)</f>
        <v/>
      </c>
      <c r="S2134" s="5">
        <f>SUMPRODUCT(Exposures!$B$10:$K$10,B2134:K2134)</f>
        <v/>
      </c>
    </row>
    <row r="2135">
      <c r="A2135" s="1" t="n">
        <v>45558</v>
      </c>
      <c r="B2135" s="5" t="n">
        <v>0.0003674065480775315</v>
      </c>
      <c r="C2135" s="5" t="n">
        <v>0.002154900295716558</v>
      </c>
      <c r="D2135" s="5" t="n">
        <v>0.002395245477931097</v>
      </c>
      <c r="E2135" s="5" t="n">
        <v>-0.0005997406322816866</v>
      </c>
      <c r="F2135" s="5" t="n">
        <v>-0.001203184515468282</v>
      </c>
      <c r="G2135" s="5" t="n">
        <v>0.002695367885232815</v>
      </c>
      <c r="H2135" s="5" t="n">
        <v>-0.002387611369822398</v>
      </c>
      <c r="I2135" s="5" t="n">
        <v>0.0008690518080084513</v>
      </c>
      <c r="J2135" s="5" t="n">
        <v>-0.0001092421454067369</v>
      </c>
      <c r="K2135" s="5" t="n">
        <v>0.001348522540934178</v>
      </c>
      <c r="L2135" s="5" t="n">
        <v>-0.0008668179571298998</v>
      </c>
      <c r="M2135" s="5">
        <f>SUMPRODUCT(Exposures!$B$6:$K$6,B2135:K2135)</f>
        <v/>
      </c>
      <c r="N2135" s="5">
        <f>IF(AND($A2135&gt;=DATE(2020,2,1),$A2135&lt;=DATE(2020,5,31)),$M2135,"")</f>
        <v/>
      </c>
      <c r="O2135" s="5">
        <f>IF(AND($A2135&gt;=DATE(2022,1,1),$A2135&lt;=DATE(2022,10,31)),$M2135,"")</f>
        <v/>
      </c>
      <c r="P2135" s="5">
        <f>IF(AND($A2135&gt;=DATE(2018,10,1),$A2135&lt;=DATE(2018,12,31)),$M2135,"")</f>
        <v/>
      </c>
      <c r="Q2135" s="5">
        <f>SUMPRODUCT(Exposures!$B$8:$K$8,B2135:K2135)</f>
        <v/>
      </c>
      <c r="R2135" s="5">
        <f>SUMPRODUCT(Exposures!$B$9:$K$9,B2135:K2135)</f>
        <v/>
      </c>
      <c r="S2135" s="5">
        <f>SUMPRODUCT(Exposures!$B$10:$K$10,B2135:K2135)</f>
        <v/>
      </c>
    </row>
    <row r="2136">
      <c r="A2136" s="1" t="n">
        <v>45559</v>
      </c>
      <c r="B2136" s="5" t="n">
        <v>0.002962232502557602</v>
      </c>
      <c r="C2136" s="5" t="n">
        <v>-0.0001573889444777513</v>
      </c>
      <c r="D2136" s="5" t="n">
        <v>0.003084281547094938</v>
      </c>
      <c r="E2136" s="5" t="n">
        <v>-0.004521014971960974</v>
      </c>
      <c r="F2136" s="5" t="n">
        <v>0.0002168313029207126</v>
      </c>
      <c r="G2136" s="5" t="n">
        <v>0.00434344874783785</v>
      </c>
      <c r="H2136" s="5" t="n">
        <v>-0.002894363057638596</v>
      </c>
      <c r="I2136" s="5" t="n">
        <v>0.001316214554800326</v>
      </c>
      <c r="J2136" s="5" t="n">
        <v>0.00495440848062037</v>
      </c>
      <c r="K2136" s="5" t="n">
        <v>0.001198065531335278</v>
      </c>
      <c r="L2136" s="5" t="n">
        <v>0.002209356387831228</v>
      </c>
      <c r="M2136" s="5">
        <f>SUMPRODUCT(Exposures!$B$6:$K$6,B2136:K2136)</f>
        <v/>
      </c>
      <c r="N2136" s="5">
        <f>IF(AND($A2136&gt;=DATE(2020,2,1),$A2136&lt;=DATE(2020,5,31)),$M2136,"")</f>
        <v/>
      </c>
      <c r="O2136" s="5">
        <f>IF(AND($A2136&gt;=DATE(2022,1,1),$A2136&lt;=DATE(2022,10,31)),$M2136,"")</f>
        <v/>
      </c>
      <c r="P2136" s="5">
        <f>IF(AND($A2136&gt;=DATE(2018,10,1),$A2136&lt;=DATE(2018,12,31)),$M2136,"")</f>
        <v/>
      </c>
      <c r="Q2136" s="5">
        <f>SUMPRODUCT(Exposures!$B$8:$K$8,B2136:K2136)</f>
        <v/>
      </c>
      <c r="R2136" s="5">
        <f>SUMPRODUCT(Exposures!$B$9:$K$9,B2136:K2136)</f>
        <v/>
      </c>
      <c r="S2136" s="5">
        <f>SUMPRODUCT(Exposures!$B$10:$K$10,B2136:K2136)</f>
        <v/>
      </c>
    </row>
    <row r="2137">
      <c r="A2137" s="1" t="n">
        <v>45560</v>
      </c>
      <c r="B2137" s="5" t="n">
        <v>0.001192790421736916</v>
      </c>
      <c r="C2137" s="5" t="n">
        <v>0.0009787268130949545</v>
      </c>
      <c r="D2137" s="5" t="n">
        <v>0.001624250497198094</v>
      </c>
      <c r="E2137" s="5" t="n">
        <v>-0.001931762990262246</v>
      </c>
      <c r="F2137" s="5" t="n">
        <v>0.0004829544036401979</v>
      </c>
      <c r="G2137" s="5" t="n">
        <v>-0.008924647100344543</v>
      </c>
      <c r="H2137" s="5" t="n">
        <v>0.004936220506592062</v>
      </c>
      <c r="I2137" s="5" t="n">
        <v>-0.0002894303591958478</v>
      </c>
      <c r="J2137" s="5" t="n">
        <v>0.0002949929138196741</v>
      </c>
      <c r="K2137" s="5" t="n">
        <v>0.001241463252958685</v>
      </c>
      <c r="L2137" s="5" t="n">
        <v>-0.0001960134715504213</v>
      </c>
      <c r="M2137" s="5">
        <f>SUMPRODUCT(Exposures!$B$6:$K$6,B2137:K2137)</f>
        <v/>
      </c>
      <c r="N2137" s="5">
        <f>IF(AND($A2137&gt;=DATE(2020,2,1),$A2137&lt;=DATE(2020,5,31)),$M2137,"")</f>
        <v/>
      </c>
      <c r="O2137" s="5">
        <f>IF(AND($A2137&gt;=DATE(2022,1,1),$A2137&lt;=DATE(2022,10,31)),$M2137,"")</f>
        <v/>
      </c>
      <c r="P2137" s="5">
        <f>IF(AND($A2137&gt;=DATE(2018,10,1),$A2137&lt;=DATE(2018,12,31)),$M2137,"")</f>
        <v/>
      </c>
      <c r="Q2137" s="5">
        <f>SUMPRODUCT(Exposures!$B$8:$K$8,B2137:K2137)</f>
        <v/>
      </c>
      <c r="R2137" s="5">
        <f>SUMPRODUCT(Exposures!$B$9:$K$9,B2137:K2137)</f>
        <v/>
      </c>
      <c r="S2137" s="5">
        <f>SUMPRODUCT(Exposures!$B$10:$K$10,B2137:K2137)</f>
        <v/>
      </c>
    </row>
    <row r="2138">
      <c r="A2138" s="1" t="n">
        <v>45561</v>
      </c>
      <c r="B2138" s="5" t="n">
        <v>0.002867513429245189</v>
      </c>
      <c r="C2138" s="5" t="n">
        <v>0.002499954648431648</v>
      </c>
      <c r="D2138" s="5" t="n">
        <v>0.005272310423693002</v>
      </c>
      <c r="E2138" s="5" t="n">
        <v>-0.001139169197708573</v>
      </c>
      <c r="F2138" s="5" t="n">
        <v>0.0001677208359982746</v>
      </c>
      <c r="G2138" s="5" t="n">
        <v>0.01172378461478759</v>
      </c>
      <c r="H2138" s="5" t="n">
        <v>-0.008218828083402897</v>
      </c>
      <c r="I2138" s="5" t="n">
        <v>0.0001878862915050881</v>
      </c>
      <c r="J2138" s="5" t="n">
        <v>0.006132207425745035</v>
      </c>
      <c r="K2138" s="5" t="n">
        <v>0.003278661858295616</v>
      </c>
      <c r="L2138" s="5" t="n">
        <v>0.002035023240779198</v>
      </c>
      <c r="M2138" s="5">
        <f>SUMPRODUCT(Exposures!$B$6:$K$6,B2138:K2138)</f>
        <v/>
      </c>
      <c r="N2138" s="5">
        <f>IF(AND($A2138&gt;=DATE(2020,2,1),$A2138&lt;=DATE(2020,5,31)),$M2138,"")</f>
        <v/>
      </c>
      <c r="O2138" s="5">
        <f>IF(AND($A2138&gt;=DATE(2022,1,1),$A2138&lt;=DATE(2022,10,31)),$M2138,"")</f>
        <v/>
      </c>
      <c r="P2138" s="5">
        <f>IF(AND($A2138&gt;=DATE(2018,10,1),$A2138&lt;=DATE(2018,12,31)),$M2138,"")</f>
        <v/>
      </c>
      <c r="Q2138" s="5">
        <f>SUMPRODUCT(Exposures!$B$8:$K$8,B2138:K2138)</f>
        <v/>
      </c>
      <c r="R2138" s="5">
        <f>SUMPRODUCT(Exposures!$B$9:$K$9,B2138:K2138)</f>
        <v/>
      </c>
      <c r="S2138" s="5">
        <f>SUMPRODUCT(Exposures!$B$10:$K$10,B2138:K2138)</f>
        <v/>
      </c>
    </row>
    <row r="2139">
      <c r="A2139" s="1" t="n">
        <v>45562</v>
      </c>
      <c r="B2139" s="5" t="n">
        <v>-0.003718656005947756</v>
      </c>
      <c r="C2139" s="5" t="n">
        <v>0.003627060126751266</v>
      </c>
      <c r="D2139" s="5" t="n">
        <v>-0.001485452956586845</v>
      </c>
      <c r="E2139" s="5" t="n">
        <v>0.002167438553311399</v>
      </c>
      <c r="F2139" s="5" t="n">
        <v>-0.003298163732833464</v>
      </c>
      <c r="G2139" s="5" t="n">
        <v>0.004447523268410661</v>
      </c>
      <c r="H2139" s="5" t="n">
        <v>-0.003352789823550788</v>
      </c>
      <c r="I2139" s="5" t="n">
        <v>0.0001629603609629415</v>
      </c>
      <c r="J2139" s="5" t="n">
        <v>0.004347312907822093</v>
      </c>
      <c r="K2139" s="5" t="n">
        <v>0.003303361809496135</v>
      </c>
      <c r="L2139" s="5" t="n">
        <v>0.0008948465730535724</v>
      </c>
      <c r="M2139" s="5">
        <f>SUMPRODUCT(Exposures!$B$6:$K$6,B2139:K2139)</f>
        <v/>
      </c>
      <c r="N2139" s="5">
        <f>IF(AND($A2139&gt;=DATE(2020,2,1),$A2139&lt;=DATE(2020,5,31)),$M2139,"")</f>
        <v/>
      </c>
      <c r="O2139" s="5">
        <f>IF(AND($A2139&gt;=DATE(2022,1,1),$A2139&lt;=DATE(2022,10,31)),$M2139,"")</f>
        <v/>
      </c>
      <c r="P2139" s="5">
        <f>IF(AND($A2139&gt;=DATE(2018,10,1),$A2139&lt;=DATE(2018,12,31)),$M2139,"")</f>
        <v/>
      </c>
      <c r="Q2139" s="5">
        <f>SUMPRODUCT(Exposures!$B$8:$K$8,B2139:K2139)</f>
        <v/>
      </c>
      <c r="R2139" s="5">
        <f>SUMPRODUCT(Exposures!$B$9:$K$9,B2139:K2139)</f>
        <v/>
      </c>
      <c r="S2139" s="5">
        <f>SUMPRODUCT(Exposures!$B$10:$K$10,B2139:K2139)</f>
        <v/>
      </c>
    </row>
    <row r="2140">
      <c r="A2140" s="1" t="n">
        <v>45565</v>
      </c>
      <c r="B2140" s="5" t="n">
        <v>-0.001305503130797602</v>
      </c>
      <c r="C2140" s="5" t="n">
        <v>4.952405444397928e-05</v>
      </c>
      <c r="D2140" s="5" t="n">
        <v>-0.002819051433732587</v>
      </c>
      <c r="E2140" s="5" t="n">
        <v>0.002098108347208545</v>
      </c>
      <c r="F2140" s="5" t="n">
        <v>-0.001946231705862035</v>
      </c>
      <c r="G2140" s="5" t="n">
        <v>-0.0002926049664263146</v>
      </c>
      <c r="H2140" s="5" t="n">
        <v>0.003298083803366573</v>
      </c>
      <c r="I2140" s="5" t="n">
        <v>-0.001753219262724672</v>
      </c>
      <c r="J2140" s="5" t="n">
        <v>-0.0004138156805572581</v>
      </c>
      <c r="K2140" s="5" t="n">
        <v>0.003609988395453334</v>
      </c>
      <c r="L2140" s="5" t="n">
        <v>0.0009072278290707695</v>
      </c>
      <c r="M2140" s="5">
        <f>SUMPRODUCT(Exposures!$B$6:$K$6,B2140:K2140)</f>
        <v/>
      </c>
      <c r="N2140" s="5">
        <f>IF(AND($A2140&gt;=DATE(2020,2,1),$A2140&lt;=DATE(2020,5,31)),$M2140,"")</f>
        <v/>
      </c>
      <c r="O2140" s="5">
        <f>IF(AND($A2140&gt;=DATE(2022,1,1),$A2140&lt;=DATE(2022,10,31)),$M2140,"")</f>
        <v/>
      </c>
      <c r="P2140" s="5">
        <f>IF(AND($A2140&gt;=DATE(2018,10,1),$A2140&lt;=DATE(2018,12,31)),$M2140,"")</f>
        <v/>
      </c>
      <c r="Q2140" s="5">
        <f>SUMPRODUCT(Exposures!$B$8:$K$8,B2140:K2140)</f>
        <v/>
      </c>
      <c r="R2140" s="5">
        <f>SUMPRODUCT(Exposures!$B$9:$K$9,B2140:K2140)</f>
        <v/>
      </c>
      <c r="S2140" s="5">
        <f>SUMPRODUCT(Exposures!$B$10:$K$10,B2140:K2140)</f>
        <v/>
      </c>
    </row>
    <row r="2141">
      <c r="A2141" s="1" t="n">
        <v>45566</v>
      </c>
      <c r="B2141" s="5" t="n">
        <v>-0.007617175481794615</v>
      </c>
      <c r="C2141" s="5" t="n">
        <v>0.004309453727578697</v>
      </c>
      <c r="D2141" s="5" t="n">
        <v>-0.003533933907297699</v>
      </c>
      <c r="E2141" s="5" t="n">
        <v>-0.0009714287364356387</v>
      </c>
      <c r="F2141" s="5" t="n">
        <v>-0.001888183249947595</v>
      </c>
      <c r="G2141" s="5" t="n">
        <v>-0.009548284111339277</v>
      </c>
      <c r="H2141" s="5" t="n">
        <v>-0.003342266156285182</v>
      </c>
      <c r="I2141" s="5" t="n">
        <v>0.001929548341314836</v>
      </c>
      <c r="J2141" s="5" t="n">
        <v>0.0003357353163751086</v>
      </c>
      <c r="K2141" s="5" t="n">
        <v>0.003580126997764111</v>
      </c>
      <c r="L2141" s="5" t="n">
        <v>-0.001336860828791855</v>
      </c>
      <c r="M2141" s="5">
        <f>SUMPRODUCT(Exposures!$B$6:$K$6,B2141:K2141)</f>
        <v/>
      </c>
      <c r="N2141" s="5">
        <f>IF(AND($A2141&gt;=DATE(2020,2,1),$A2141&lt;=DATE(2020,5,31)),$M2141,"")</f>
        <v/>
      </c>
      <c r="O2141" s="5">
        <f>IF(AND($A2141&gt;=DATE(2022,1,1),$A2141&lt;=DATE(2022,10,31)),$M2141,"")</f>
        <v/>
      </c>
      <c r="P2141" s="5">
        <f>IF(AND($A2141&gt;=DATE(2018,10,1),$A2141&lt;=DATE(2018,12,31)),$M2141,"")</f>
        <v/>
      </c>
      <c r="Q2141" s="5">
        <f>SUMPRODUCT(Exposures!$B$8:$K$8,B2141:K2141)</f>
        <v/>
      </c>
      <c r="R2141" s="5">
        <f>SUMPRODUCT(Exposures!$B$9:$K$9,B2141:K2141)</f>
        <v/>
      </c>
      <c r="S2141" s="5">
        <f>SUMPRODUCT(Exposures!$B$10:$K$10,B2141:K2141)</f>
        <v/>
      </c>
    </row>
    <row r="2142">
      <c r="A2142" s="1" t="n">
        <v>45567</v>
      </c>
      <c r="B2142" s="5" t="n">
        <v>0.002647321136953207</v>
      </c>
      <c r="C2142" s="5" t="n">
        <v>0.0001946298206610387</v>
      </c>
      <c r="D2142" s="5" t="n">
        <v>0.001912575410160956</v>
      </c>
      <c r="E2142" s="5" t="n">
        <v>0.001783846148710146</v>
      </c>
      <c r="F2142" s="5" t="n">
        <v>-0.001504577317870111</v>
      </c>
      <c r="G2142" s="5" t="n">
        <v>0.00171195046877972</v>
      </c>
      <c r="H2142" s="5" t="n">
        <v>-0.0004585396153650935</v>
      </c>
      <c r="I2142" s="5" t="n">
        <v>0.002387987713005136</v>
      </c>
      <c r="J2142" s="5" t="n">
        <v>0.0019832021998858</v>
      </c>
      <c r="K2142" s="5" t="n">
        <v>0.0007469917747245829</v>
      </c>
      <c r="L2142" s="5" t="n">
        <v>-0.0005293199897459983</v>
      </c>
      <c r="M2142" s="5">
        <f>SUMPRODUCT(Exposures!$B$6:$K$6,B2142:K2142)</f>
        <v/>
      </c>
      <c r="N2142" s="5">
        <f>IF(AND($A2142&gt;=DATE(2020,2,1),$A2142&lt;=DATE(2020,5,31)),$M2142,"")</f>
        <v/>
      </c>
      <c r="O2142" s="5">
        <f>IF(AND($A2142&gt;=DATE(2022,1,1),$A2142&lt;=DATE(2022,10,31)),$M2142,"")</f>
        <v/>
      </c>
      <c r="P2142" s="5">
        <f>IF(AND($A2142&gt;=DATE(2018,10,1),$A2142&lt;=DATE(2018,12,31)),$M2142,"")</f>
        <v/>
      </c>
      <c r="Q2142" s="5">
        <f>SUMPRODUCT(Exposures!$B$8:$K$8,B2142:K2142)</f>
        <v/>
      </c>
      <c r="R2142" s="5">
        <f>SUMPRODUCT(Exposures!$B$9:$K$9,B2142:K2142)</f>
        <v/>
      </c>
      <c r="S2142" s="5">
        <f>SUMPRODUCT(Exposures!$B$10:$K$10,B2142:K2142)</f>
        <v/>
      </c>
    </row>
    <row r="2143">
      <c r="A2143" s="1" t="n">
        <v>45568</v>
      </c>
      <c r="B2143" s="5" t="n">
        <v>0.001047179236698764</v>
      </c>
      <c r="C2143" s="5" t="n">
        <v>-0.0006388696871010987</v>
      </c>
      <c r="D2143" s="5" t="n">
        <v>0.004245563092017276</v>
      </c>
      <c r="E2143" s="5" t="n">
        <v>6.722612874664369e-05</v>
      </c>
      <c r="F2143" s="5" t="n">
        <v>0.002420149248389252</v>
      </c>
      <c r="G2143" s="5" t="n">
        <v>-0.008050047922167283</v>
      </c>
      <c r="H2143" s="5" t="n">
        <v>0.0005733725545276152</v>
      </c>
      <c r="I2143" s="5" t="n">
        <v>0.0007495601398592943</v>
      </c>
      <c r="J2143" s="5" t="n">
        <v>-0.002533968088960716</v>
      </c>
      <c r="K2143" s="5" t="n">
        <v>-0.00146611697628161</v>
      </c>
      <c r="L2143" s="5" t="n">
        <v>0.00201828769697412</v>
      </c>
      <c r="M2143" s="5">
        <f>SUMPRODUCT(Exposures!$B$6:$K$6,B2143:K2143)</f>
        <v/>
      </c>
      <c r="N2143" s="5">
        <f>IF(AND($A2143&gt;=DATE(2020,2,1),$A2143&lt;=DATE(2020,5,31)),$M2143,"")</f>
        <v/>
      </c>
      <c r="O2143" s="5">
        <f>IF(AND($A2143&gt;=DATE(2022,1,1),$A2143&lt;=DATE(2022,10,31)),$M2143,"")</f>
        <v/>
      </c>
      <c r="P2143" s="5">
        <f>IF(AND($A2143&gt;=DATE(2018,10,1),$A2143&lt;=DATE(2018,12,31)),$M2143,"")</f>
        <v/>
      </c>
      <c r="Q2143" s="5">
        <f>SUMPRODUCT(Exposures!$B$8:$K$8,B2143:K2143)</f>
        <v/>
      </c>
      <c r="R2143" s="5">
        <f>SUMPRODUCT(Exposures!$B$9:$K$9,B2143:K2143)</f>
        <v/>
      </c>
      <c r="S2143" s="5">
        <f>SUMPRODUCT(Exposures!$B$10:$K$10,B2143:K2143)</f>
        <v/>
      </c>
    </row>
    <row r="2144">
      <c r="A2144" s="1" t="n">
        <v>45569</v>
      </c>
      <c r="B2144" s="5" t="n">
        <v>0.006513744572057502</v>
      </c>
      <c r="C2144" s="5" t="n">
        <v>-0.001715256551789805</v>
      </c>
      <c r="D2144" s="5" t="n">
        <v>0.00206723132331212</v>
      </c>
      <c r="E2144" s="5" t="n">
        <v>-0.00115899522261855</v>
      </c>
      <c r="F2144" s="5" t="n">
        <v>0.001086396131230699</v>
      </c>
      <c r="G2144" s="5" t="n">
        <v>0.0149062980418928</v>
      </c>
      <c r="H2144" s="5" t="n">
        <v>0.0008089678674115789</v>
      </c>
      <c r="I2144" s="5" t="n">
        <v>-0.0008959428372476467</v>
      </c>
      <c r="J2144" s="5" t="n">
        <v>0.003526286182443</v>
      </c>
      <c r="K2144" s="5" t="n">
        <v>-0.0003230810746102635</v>
      </c>
      <c r="L2144" s="5" t="n">
        <v>0.002820150695626967</v>
      </c>
      <c r="M2144" s="5">
        <f>SUMPRODUCT(Exposures!$B$6:$K$6,B2144:K2144)</f>
        <v/>
      </c>
      <c r="N2144" s="5">
        <f>IF(AND($A2144&gt;=DATE(2020,2,1),$A2144&lt;=DATE(2020,5,31)),$M2144,"")</f>
        <v/>
      </c>
      <c r="O2144" s="5">
        <f>IF(AND($A2144&gt;=DATE(2022,1,1),$A2144&lt;=DATE(2022,10,31)),$M2144,"")</f>
        <v/>
      </c>
      <c r="P2144" s="5">
        <f>IF(AND($A2144&gt;=DATE(2018,10,1),$A2144&lt;=DATE(2018,12,31)),$M2144,"")</f>
        <v/>
      </c>
      <c r="Q2144" s="5">
        <f>SUMPRODUCT(Exposures!$B$8:$K$8,B2144:K2144)</f>
        <v/>
      </c>
      <c r="R2144" s="5">
        <f>SUMPRODUCT(Exposures!$B$9:$K$9,B2144:K2144)</f>
        <v/>
      </c>
      <c r="S2144" s="5">
        <f>SUMPRODUCT(Exposures!$B$10:$K$10,B2144:K2144)</f>
        <v/>
      </c>
    </row>
    <row r="2145">
      <c r="A2145" s="1" t="n">
        <v>45572</v>
      </c>
      <c r="B2145" s="5" t="n">
        <v>-0.001912515332288969</v>
      </c>
      <c r="C2145" s="5" t="n">
        <v>0.004202659044892551</v>
      </c>
      <c r="D2145" s="5" t="n">
        <v>0.005846807729153121</v>
      </c>
      <c r="E2145" s="5" t="n">
        <v>-0.001424416919920052</v>
      </c>
      <c r="F2145" s="5" t="n">
        <v>0.001271202498442419</v>
      </c>
      <c r="G2145" s="5" t="n">
        <v>-0.01072376026203643</v>
      </c>
      <c r="H2145" s="5" t="n">
        <v>-0.001414422098449435</v>
      </c>
      <c r="I2145" s="5" t="n">
        <v>0.002509767973067601</v>
      </c>
      <c r="J2145" s="5" t="n">
        <v>0.003623649839278056</v>
      </c>
      <c r="K2145" s="5" t="n">
        <v>1.41898018499243e-05</v>
      </c>
      <c r="L2145" s="5" t="n">
        <v>0.001358094246933058</v>
      </c>
      <c r="M2145" s="5">
        <f>SUMPRODUCT(Exposures!$B$6:$K$6,B2145:K2145)</f>
        <v/>
      </c>
      <c r="N2145" s="5">
        <f>IF(AND($A2145&gt;=DATE(2020,2,1),$A2145&lt;=DATE(2020,5,31)),$M2145,"")</f>
        <v/>
      </c>
      <c r="O2145" s="5">
        <f>IF(AND($A2145&gt;=DATE(2022,1,1),$A2145&lt;=DATE(2022,10,31)),$M2145,"")</f>
        <v/>
      </c>
      <c r="P2145" s="5">
        <f>IF(AND($A2145&gt;=DATE(2018,10,1),$A2145&lt;=DATE(2018,12,31)),$M2145,"")</f>
        <v/>
      </c>
      <c r="Q2145" s="5">
        <f>SUMPRODUCT(Exposures!$B$8:$K$8,B2145:K2145)</f>
        <v/>
      </c>
      <c r="R2145" s="5">
        <f>SUMPRODUCT(Exposures!$B$9:$K$9,B2145:K2145)</f>
        <v/>
      </c>
      <c r="S2145" s="5">
        <f>SUMPRODUCT(Exposures!$B$10:$K$10,B2145:K2145)</f>
        <v/>
      </c>
    </row>
    <row r="2146">
      <c r="A2146" s="1" t="n">
        <v>45573</v>
      </c>
      <c r="B2146" s="5" t="n">
        <v>0.001276754096184667</v>
      </c>
      <c r="C2146" s="5" t="n">
        <v>-0.004599504382589424</v>
      </c>
      <c r="D2146" s="5" t="n">
        <v>-0.002061756014787412</v>
      </c>
      <c r="E2146" s="5" t="n">
        <v>0.0006448766810449256</v>
      </c>
      <c r="F2146" s="5" t="n">
        <v>0.006283317298443442</v>
      </c>
      <c r="G2146" s="5" t="n">
        <v>0.002288697410338822</v>
      </c>
      <c r="H2146" s="5" t="n">
        <v>0.004272122716138236</v>
      </c>
      <c r="I2146" s="5" t="n">
        <v>-7.220288719804192e-05</v>
      </c>
      <c r="J2146" s="5" t="n">
        <v>-0.003973034137323285</v>
      </c>
      <c r="K2146" s="5" t="n">
        <v>-0.007956430046833095</v>
      </c>
      <c r="L2146" s="5" t="n">
        <v>-0.004286117198036613</v>
      </c>
      <c r="M2146" s="5">
        <f>SUMPRODUCT(Exposures!$B$6:$K$6,B2146:K2146)</f>
        <v/>
      </c>
      <c r="N2146" s="5">
        <f>IF(AND($A2146&gt;=DATE(2020,2,1),$A2146&lt;=DATE(2020,5,31)),$M2146,"")</f>
        <v/>
      </c>
      <c r="O2146" s="5">
        <f>IF(AND($A2146&gt;=DATE(2022,1,1),$A2146&lt;=DATE(2022,10,31)),$M2146,"")</f>
        <v/>
      </c>
      <c r="P2146" s="5">
        <f>IF(AND($A2146&gt;=DATE(2018,10,1),$A2146&lt;=DATE(2018,12,31)),$M2146,"")</f>
        <v/>
      </c>
      <c r="Q2146" s="5">
        <f>SUMPRODUCT(Exposures!$B$8:$K$8,B2146:K2146)</f>
        <v/>
      </c>
      <c r="R2146" s="5">
        <f>SUMPRODUCT(Exposures!$B$9:$K$9,B2146:K2146)</f>
        <v/>
      </c>
      <c r="S2146" s="5">
        <f>SUMPRODUCT(Exposures!$B$10:$K$10,B2146:K2146)</f>
        <v/>
      </c>
    </row>
    <row r="2147">
      <c r="A2147" s="1" t="n">
        <v>45574</v>
      </c>
      <c r="B2147" s="5" t="n">
        <v>0.004456364387801654</v>
      </c>
      <c r="C2147" s="5" t="n">
        <v>0.001265331117066984</v>
      </c>
      <c r="D2147" s="5" t="n">
        <v>0.0007872731265789497</v>
      </c>
      <c r="E2147" s="5" t="n">
        <v>0.000924788214467089</v>
      </c>
      <c r="F2147" s="5" t="n">
        <v>0.004059941563226655</v>
      </c>
      <c r="G2147" s="5" t="n">
        <v>0.005201195288494258</v>
      </c>
      <c r="H2147" s="5" t="n">
        <v>0.001279897946779858</v>
      </c>
      <c r="I2147" s="5" t="n">
        <v>-0.001295706249257761</v>
      </c>
      <c r="J2147" s="5" t="n">
        <v>-0.003662837524868492</v>
      </c>
      <c r="K2147" s="5" t="n">
        <v>-0.004337774192449052</v>
      </c>
      <c r="L2147" s="5" t="n">
        <v>-0.0005526743189950241</v>
      </c>
      <c r="M2147" s="5">
        <f>SUMPRODUCT(Exposures!$B$6:$K$6,B2147:K2147)</f>
        <v/>
      </c>
      <c r="N2147" s="5">
        <f>IF(AND($A2147&gt;=DATE(2020,2,1),$A2147&lt;=DATE(2020,5,31)),$M2147,"")</f>
        <v/>
      </c>
      <c r="O2147" s="5">
        <f>IF(AND($A2147&gt;=DATE(2022,1,1),$A2147&lt;=DATE(2022,10,31)),$M2147,"")</f>
        <v/>
      </c>
      <c r="P2147" s="5">
        <f>IF(AND($A2147&gt;=DATE(2018,10,1),$A2147&lt;=DATE(2018,12,31)),$M2147,"")</f>
        <v/>
      </c>
      <c r="Q2147" s="5">
        <f>SUMPRODUCT(Exposures!$B$8:$K$8,B2147:K2147)</f>
        <v/>
      </c>
      <c r="R2147" s="5">
        <f>SUMPRODUCT(Exposures!$B$9:$K$9,B2147:K2147)</f>
        <v/>
      </c>
      <c r="S2147" s="5">
        <f>SUMPRODUCT(Exposures!$B$10:$K$10,B2147:K2147)</f>
        <v/>
      </c>
    </row>
    <row r="2148">
      <c r="A2148" s="1" t="n">
        <v>45575</v>
      </c>
      <c r="B2148" s="5" t="n">
        <v>-0.003337789454274624</v>
      </c>
      <c r="C2148" s="5" t="n">
        <v>-0.002667984470344069</v>
      </c>
      <c r="D2148" s="5" t="n">
        <v>-0.0002663374155336525</v>
      </c>
      <c r="E2148" s="5" t="n">
        <v>-0.001950345949572181</v>
      </c>
      <c r="F2148" s="5" t="n">
        <v>0.002697300322188616</v>
      </c>
      <c r="G2148" s="5" t="n">
        <v>-0.003823793548295607</v>
      </c>
      <c r="H2148" s="5" t="n">
        <v>0.0008590293731459222</v>
      </c>
      <c r="I2148" s="5" t="n">
        <v>-0.00152297728561463</v>
      </c>
      <c r="J2148" s="5" t="n">
        <v>0.003098950485388309</v>
      </c>
      <c r="K2148" s="5" t="n">
        <v>0.001731642994262819</v>
      </c>
      <c r="L2148" s="5" t="n">
        <v>0.003292319582543499</v>
      </c>
      <c r="M2148" s="5">
        <f>SUMPRODUCT(Exposures!$B$6:$K$6,B2148:K2148)</f>
        <v/>
      </c>
      <c r="N2148" s="5">
        <f>IF(AND($A2148&gt;=DATE(2020,2,1),$A2148&lt;=DATE(2020,5,31)),$M2148,"")</f>
        <v/>
      </c>
      <c r="O2148" s="5">
        <f>IF(AND($A2148&gt;=DATE(2022,1,1),$A2148&lt;=DATE(2022,10,31)),$M2148,"")</f>
        <v/>
      </c>
      <c r="P2148" s="5">
        <f>IF(AND($A2148&gt;=DATE(2018,10,1),$A2148&lt;=DATE(2018,12,31)),$M2148,"")</f>
        <v/>
      </c>
      <c r="Q2148" s="5">
        <f>SUMPRODUCT(Exposures!$B$8:$K$8,B2148:K2148)</f>
        <v/>
      </c>
      <c r="R2148" s="5">
        <f>SUMPRODUCT(Exposures!$B$9:$K$9,B2148:K2148)</f>
        <v/>
      </c>
      <c r="S2148" s="5">
        <f>SUMPRODUCT(Exposures!$B$10:$K$10,B2148:K2148)</f>
        <v/>
      </c>
    </row>
    <row r="2149">
      <c r="A2149" s="1" t="n">
        <v>45576</v>
      </c>
      <c r="B2149" s="5" t="n">
        <v>0.003774404932968008</v>
      </c>
      <c r="C2149" s="5" t="n">
        <v>-0.0005921368630500291</v>
      </c>
      <c r="D2149" s="5" t="n">
        <v>0.002664931679708762</v>
      </c>
      <c r="E2149" s="5" t="n">
        <v>0.002294938615005689</v>
      </c>
      <c r="F2149" s="5" t="n">
        <v>-0.00367235414850241</v>
      </c>
      <c r="G2149" s="5" t="n">
        <v>0.01380164596067209</v>
      </c>
      <c r="H2149" s="5" t="n">
        <v>0.004159005377231004</v>
      </c>
      <c r="I2149" s="5" t="n">
        <v>0.002586427422089115</v>
      </c>
      <c r="J2149" s="5" t="n">
        <v>0.001901410178152326</v>
      </c>
      <c r="K2149" s="5" t="n">
        <v>0.0002342309854709403</v>
      </c>
      <c r="L2149" s="5" t="n">
        <v>0.001792098319316198</v>
      </c>
      <c r="M2149" s="5">
        <f>SUMPRODUCT(Exposures!$B$6:$K$6,B2149:K2149)</f>
        <v/>
      </c>
      <c r="N2149" s="5">
        <f>IF(AND($A2149&gt;=DATE(2020,2,1),$A2149&lt;=DATE(2020,5,31)),$M2149,"")</f>
        <v/>
      </c>
      <c r="O2149" s="5">
        <f>IF(AND($A2149&gt;=DATE(2022,1,1),$A2149&lt;=DATE(2022,10,31)),$M2149,"")</f>
        <v/>
      </c>
      <c r="P2149" s="5">
        <f>IF(AND($A2149&gt;=DATE(2018,10,1),$A2149&lt;=DATE(2018,12,31)),$M2149,"")</f>
        <v/>
      </c>
      <c r="Q2149" s="5">
        <f>SUMPRODUCT(Exposures!$B$8:$K$8,B2149:K2149)</f>
        <v/>
      </c>
      <c r="R2149" s="5">
        <f>SUMPRODUCT(Exposures!$B$9:$K$9,B2149:K2149)</f>
        <v/>
      </c>
      <c r="S2149" s="5">
        <f>SUMPRODUCT(Exposures!$B$10:$K$10,B2149:K2149)</f>
        <v/>
      </c>
    </row>
    <row r="2150">
      <c r="A2150" s="1" t="n">
        <v>45579</v>
      </c>
      <c r="B2150" s="5" t="n">
        <v>-0.0001946171069121006</v>
      </c>
      <c r="C2150" s="5" t="n">
        <v>-0.002932438797676277</v>
      </c>
      <c r="D2150" s="5" t="n">
        <v>0.001433997268391656</v>
      </c>
      <c r="E2150" s="5" t="n">
        <v>0.001380673291752038</v>
      </c>
      <c r="F2150" s="5" t="n">
        <v>0.001537911709713754</v>
      </c>
      <c r="G2150" s="5" t="n">
        <v>0.008054464457826586</v>
      </c>
      <c r="H2150" s="5" t="n">
        <v>0.003372292317139203</v>
      </c>
      <c r="I2150" s="5" t="n">
        <v>0.0004897081534536912</v>
      </c>
      <c r="J2150" s="5" t="n">
        <v>0.001795517416343161</v>
      </c>
      <c r="K2150" s="5" t="n">
        <v>-0.001162857711330011</v>
      </c>
      <c r="L2150" s="5" t="n">
        <v>0.001432229585459885</v>
      </c>
      <c r="M2150" s="5">
        <f>SUMPRODUCT(Exposures!$B$6:$K$6,B2150:K2150)</f>
        <v/>
      </c>
      <c r="N2150" s="5">
        <f>IF(AND($A2150&gt;=DATE(2020,2,1),$A2150&lt;=DATE(2020,5,31)),$M2150,"")</f>
        <v/>
      </c>
      <c r="O2150" s="5">
        <f>IF(AND($A2150&gt;=DATE(2022,1,1),$A2150&lt;=DATE(2022,10,31)),$M2150,"")</f>
        <v/>
      </c>
      <c r="P2150" s="5">
        <f>IF(AND($A2150&gt;=DATE(2018,10,1),$A2150&lt;=DATE(2018,12,31)),$M2150,"")</f>
        <v/>
      </c>
      <c r="Q2150" s="5">
        <f>SUMPRODUCT(Exposures!$B$8:$K$8,B2150:K2150)</f>
        <v/>
      </c>
      <c r="R2150" s="5">
        <f>SUMPRODUCT(Exposures!$B$9:$K$9,B2150:K2150)</f>
        <v/>
      </c>
      <c r="S2150" s="5">
        <f>SUMPRODUCT(Exposures!$B$10:$K$10,B2150:K2150)</f>
        <v/>
      </c>
    </row>
    <row r="2151">
      <c r="A2151" s="1" t="n">
        <v>45580</v>
      </c>
      <c r="B2151" s="5" t="n">
        <v>-0.008480271038946201</v>
      </c>
      <c r="C2151" s="5" t="n">
        <v>-0.004004924232003491</v>
      </c>
      <c r="D2151" s="5" t="n">
        <v>-0.005439603270375842</v>
      </c>
      <c r="E2151" s="5" t="n">
        <v>0.003615132241344477</v>
      </c>
      <c r="F2151" s="5" t="n">
        <v>0.00163501186457846</v>
      </c>
      <c r="G2151" s="5" t="n">
        <v>-0.003141083871114878</v>
      </c>
      <c r="H2151" s="5" t="n">
        <v>0.0008480692609529296</v>
      </c>
      <c r="I2151" s="5" t="n">
        <v>-0.005605030329093514</v>
      </c>
      <c r="J2151" s="5" t="n">
        <v>-0.002082670691919406</v>
      </c>
      <c r="K2151" s="5" t="n">
        <v>-0.006530673175470051</v>
      </c>
      <c r="L2151" s="5" t="n">
        <v>-0.005024162966455543</v>
      </c>
      <c r="M2151" s="5">
        <f>SUMPRODUCT(Exposures!$B$6:$K$6,B2151:K2151)</f>
        <v/>
      </c>
      <c r="N2151" s="5">
        <f>IF(AND($A2151&gt;=DATE(2020,2,1),$A2151&lt;=DATE(2020,5,31)),$M2151,"")</f>
        <v/>
      </c>
      <c r="O2151" s="5">
        <f>IF(AND($A2151&gt;=DATE(2022,1,1),$A2151&lt;=DATE(2022,10,31)),$M2151,"")</f>
        <v/>
      </c>
      <c r="P2151" s="5">
        <f>IF(AND($A2151&gt;=DATE(2018,10,1),$A2151&lt;=DATE(2018,12,31)),$M2151,"")</f>
        <v/>
      </c>
      <c r="Q2151" s="5">
        <f>SUMPRODUCT(Exposures!$B$8:$K$8,B2151:K2151)</f>
        <v/>
      </c>
      <c r="R2151" s="5">
        <f>SUMPRODUCT(Exposures!$B$9:$K$9,B2151:K2151)</f>
        <v/>
      </c>
      <c r="S2151" s="5">
        <f>SUMPRODUCT(Exposures!$B$10:$K$10,B2151:K2151)</f>
        <v/>
      </c>
    </row>
    <row r="2152">
      <c r="A2152" s="1" t="n">
        <v>45581</v>
      </c>
      <c r="B2152" s="5" t="n">
        <v>-0.003603051002038427</v>
      </c>
      <c r="C2152" s="5" t="n">
        <v>-0.002214917710659387</v>
      </c>
      <c r="D2152" s="5" t="n">
        <v>0.003761598616132098</v>
      </c>
      <c r="E2152" s="5" t="n">
        <v>0.0009628239658735607</v>
      </c>
      <c r="F2152" s="5" t="n">
        <v>-0.004752688913796047</v>
      </c>
      <c r="G2152" s="5" t="n">
        <v>0.01564041421180237</v>
      </c>
      <c r="H2152" s="5" t="n">
        <v>-0.001402815581070943</v>
      </c>
      <c r="I2152" s="5" t="n">
        <v>0.003618327732136581</v>
      </c>
      <c r="J2152" s="5" t="n">
        <v>0.01274690607483935</v>
      </c>
      <c r="K2152" s="5" t="n">
        <v>-0.0009324439555025059</v>
      </c>
      <c r="L2152" s="5" t="n">
        <v>-0.000768277687589394</v>
      </c>
      <c r="M2152" s="5">
        <f>SUMPRODUCT(Exposures!$B$6:$K$6,B2152:K2152)</f>
        <v/>
      </c>
      <c r="N2152" s="5">
        <f>IF(AND($A2152&gt;=DATE(2020,2,1),$A2152&lt;=DATE(2020,5,31)),$M2152,"")</f>
        <v/>
      </c>
      <c r="O2152" s="5">
        <f>IF(AND($A2152&gt;=DATE(2022,1,1),$A2152&lt;=DATE(2022,10,31)),$M2152,"")</f>
        <v/>
      </c>
      <c r="P2152" s="5">
        <f>IF(AND($A2152&gt;=DATE(2018,10,1),$A2152&lt;=DATE(2018,12,31)),$M2152,"")</f>
        <v/>
      </c>
      <c r="Q2152" s="5">
        <f>SUMPRODUCT(Exposures!$B$8:$K$8,B2152:K2152)</f>
        <v/>
      </c>
      <c r="R2152" s="5">
        <f>SUMPRODUCT(Exposures!$B$9:$K$9,B2152:K2152)</f>
        <v/>
      </c>
      <c r="S2152" s="5">
        <f>SUMPRODUCT(Exposures!$B$10:$K$10,B2152:K2152)</f>
        <v/>
      </c>
    </row>
    <row r="2153">
      <c r="A2153" s="1" t="n">
        <v>45582</v>
      </c>
      <c r="B2153" s="5" t="n">
        <v>0.004361753054606397</v>
      </c>
      <c r="C2153" s="5" t="n">
        <v>-0.0005689226495775964</v>
      </c>
      <c r="D2153" s="5" t="n">
        <v>-0.003292433815050618</v>
      </c>
      <c r="E2153" s="5" t="n">
        <v>0.003269731547047782</v>
      </c>
      <c r="F2153" s="5" t="n">
        <v>-0.001348514405230711</v>
      </c>
      <c r="G2153" s="5" t="n">
        <v>-0.001061073274270151</v>
      </c>
      <c r="H2153" s="5" t="n">
        <v>-7.841756658790312e-05</v>
      </c>
      <c r="I2153" s="5" t="n">
        <v>0.0006945887735684438</v>
      </c>
      <c r="J2153" s="5" t="n">
        <v>-0.005652879248819261</v>
      </c>
      <c r="K2153" s="5" t="n">
        <v>-0.00374384184181998</v>
      </c>
      <c r="L2153" s="5" t="n">
        <v>-0.003107743432006338</v>
      </c>
      <c r="M2153" s="5">
        <f>SUMPRODUCT(Exposures!$B$6:$K$6,B2153:K2153)</f>
        <v/>
      </c>
      <c r="N2153" s="5">
        <f>IF(AND($A2153&gt;=DATE(2020,2,1),$A2153&lt;=DATE(2020,5,31)),$M2153,"")</f>
        <v/>
      </c>
      <c r="O2153" s="5">
        <f>IF(AND($A2153&gt;=DATE(2022,1,1),$A2153&lt;=DATE(2022,10,31)),$M2153,"")</f>
        <v/>
      </c>
      <c r="P2153" s="5">
        <f>IF(AND($A2153&gt;=DATE(2018,10,1),$A2153&lt;=DATE(2018,12,31)),$M2153,"")</f>
        <v/>
      </c>
      <c r="Q2153" s="5">
        <f>SUMPRODUCT(Exposures!$B$8:$K$8,B2153:K2153)</f>
        <v/>
      </c>
      <c r="R2153" s="5">
        <f>SUMPRODUCT(Exposures!$B$9:$K$9,B2153:K2153)</f>
        <v/>
      </c>
      <c r="S2153" s="5">
        <f>SUMPRODUCT(Exposures!$B$10:$K$10,B2153:K2153)</f>
        <v/>
      </c>
    </row>
    <row r="2154">
      <c r="A2154" s="1" t="n">
        <v>45583</v>
      </c>
      <c r="B2154" s="5" t="n">
        <v>0.0002589302830113339</v>
      </c>
      <c r="C2154" s="5" t="n">
        <v>-0.001347245880078642</v>
      </c>
      <c r="D2154" s="5" t="n">
        <v>0.000278832085086756</v>
      </c>
      <c r="E2154" s="5" t="n">
        <v>0.0003508439013284089</v>
      </c>
      <c r="F2154" s="5" t="n">
        <v>0.001227961328655409</v>
      </c>
      <c r="G2154" s="5" t="n">
        <v>0.002202488776112823</v>
      </c>
      <c r="H2154" s="5" t="n">
        <v>-0.003420647742420441</v>
      </c>
      <c r="I2154" s="5" t="n">
        <v>-0.001805245016928644</v>
      </c>
      <c r="J2154" s="5" t="n">
        <v>0.002262845756823174</v>
      </c>
      <c r="K2154" s="5" t="n">
        <v>-0.0005700022065060113</v>
      </c>
      <c r="L2154" s="5" t="n">
        <v>-0.00317178232869743</v>
      </c>
      <c r="M2154" s="5">
        <f>SUMPRODUCT(Exposures!$B$6:$K$6,B2154:K2154)</f>
        <v/>
      </c>
      <c r="N2154" s="5">
        <f>IF(AND($A2154&gt;=DATE(2020,2,1),$A2154&lt;=DATE(2020,5,31)),$M2154,"")</f>
        <v/>
      </c>
      <c r="O2154" s="5">
        <f>IF(AND($A2154&gt;=DATE(2022,1,1),$A2154&lt;=DATE(2022,10,31)),$M2154,"")</f>
        <v/>
      </c>
      <c r="P2154" s="5">
        <f>IF(AND($A2154&gt;=DATE(2018,10,1),$A2154&lt;=DATE(2018,12,31)),$M2154,"")</f>
        <v/>
      </c>
      <c r="Q2154" s="5">
        <f>SUMPRODUCT(Exposures!$B$8:$K$8,B2154:K2154)</f>
        <v/>
      </c>
      <c r="R2154" s="5">
        <f>SUMPRODUCT(Exposures!$B$9:$K$9,B2154:K2154)</f>
        <v/>
      </c>
      <c r="S2154" s="5">
        <f>SUMPRODUCT(Exposures!$B$10:$K$10,B2154:K2154)</f>
        <v/>
      </c>
    </row>
    <row r="2155">
      <c r="A2155" s="1" t="n">
        <v>45586</v>
      </c>
      <c r="B2155" s="5" t="n">
        <v>0.001227801643610289</v>
      </c>
      <c r="C2155" s="5" t="n">
        <v>-0.003095226365787662</v>
      </c>
      <c r="D2155" s="5" t="n">
        <v>0.005179653341596526</v>
      </c>
      <c r="E2155" s="5" t="n">
        <v>-0.004250122588807121</v>
      </c>
      <c r="F2155" s="5" t="n">
        <v>0.005332878891048515</v>
      </c>
      <c r="G2155" s="5" t="n">
        <v>-0.009714696628808398</v>
      </c>
      <c r="H2155" s="5" t="n">
        <v>-0.00055440536441194</v>
      </c>
      <c r="I2155" s="5" t="n">
        <v>-0.0008447536216123282</v>
      </c>
      <c r="J2155" s="5" t="n">
        <v>-0.002295827037850386</v>
      </c>
      <c r="K2155" s="5" t="n">
        <v>-0.003288330448832653</v>
      </c>
      <c r="L2155" s="5" t="n">
        <v>-0.001693411819758404</v>
      </c>
      <c r="M2155" s="5">
        <f>SUMPRODUCT(Exposures!$B$6:$K$6,B2155:K2155)</f>
        <v/>
      </c>
      <c r="N2155" s="5">
        <f>IF(AND($A2155&gt;=DATE(2020,2,1),$A2155&lt;=DATE(2020,5,31)),$M2155,"")</f>
        <v/>
      </c>
      <c r="O2155" s="5">
        <f>IF(AND($A2155&gt;=DATE(2022,1,1),$A2155&lt;=DATE(2022,10,31)),$M2155,"")</f>
        <v/>
      </c>
      <c r="P2155" s="5">
        <f>IF(AND($A2155&gt;=DATE(2018,10,1),$A2155&lt;=DATE(2018,12,31)),$M2155,"")</f>
        <v/>
      </c>
      <c r="Q2155" s="5">
        <f>SUMPRODUCT(Exposures!$B$8:$K$8,B2155:K2155)</f>
        <v/>
      </c>
      <c r="R2155" s="5">
        <f>SUMPRODUCT(Exposures!$B$9:$K$9,B2155:K2155)</f>
        <v/>
      </c>
      <c r="S2155" s="5">
        <f>SUMPRODUCT(Exposures!$B$10:$K$10,B2155:K2155)</f>
        <v/>
      </c>
    </row>
    <row r="2156">
      <c r="A2156" s="1" t="n">
        <v>45587</v>
      </c>
      <c r="B2156" s="5" t="n">
        <v>-0.002979817553718277</v>
      </c>
      <c r="C2156" s="5" t="n">
        <v>-0.0003792849172903556</v>
      </c>
      <c r="D2156" s="5" t="n">
        <v>-0.005709343099016605</v>
      </c>
      <c r="E2156" s="5" t="n">
        <v>0.001813017625159709</v>
      </c>
      <c r="F2156" s="5" t="n">
        <v>-0.001556051145576412</v>
      </c>
      <c r="G2156" s="5" t="n">
        <v>-0.003369981850580035</v>
      </c>
      <c r="H2156" s="5" t="n">
        <v>0.0008241063050307616</v>
      </c>
      <c r="I2156" s="5" t="n">
        <v>0.001377185715989856</v>
      </c>
      <c r="J2156" s="5" t="n">
        <v>0.004024247481455308</v>
      </c>
      <c r="K2156" s="5" t="n">
        <v>0.003769138069561548</v>
      </c>
      <c r="L2156" s="5" t="n">
        <v>5.011310156350735e-05</v>
      </c>
      <c r="M2156" s="5">
        <f>SUMPRODUCT(Exposures!$B$6:$K$6,B2156:K2156)</f>
        <v/>
      </c>
      <c r="N2156" s="5">
        <f>IF(AND($A2156&gt;=DATE(2020,2,1),$A2156&lt;=DATE(2020,5,31)),$M2156,"")</f>
        <v/>
      </c>
      <c r="O2156" s="5">
        <f>IF(AND($A2156&gt;=DATE(2022,1,1),$A2156&lt;=DATE(2022,10,31)),$M2156,"")</f>
        <v/>
      </c>
      <c r="P2156" s="5">
        <f>IF(AND($A2156&gt;=DATE(2018,10,1),$A2156&lt;=DATE(2018,12,31)),$M2156,"")</f>
        <v/>
      </c>
      <c r="Q2156" s="5">
        <f>SUMPRODUCT(Exposures!$B$8:$K$8,B2156:K2156)</f>
        <v/>
      </c>
      <c r="R2156" s="5">
        <f>SUMPRODUCT(Exposures!$B$9:$K$9,B2156:K2156)</f>
        <v/>
      </c>
      <c r="S2156" s="5">
        <f>SUMPRODUCT(Exposures!$B$10:$K$10,B2156:K2156)</f>
        <v/>
      </c>
    </row>
    <row r="2157">
      <c r="A2157" s="1" t="n">
        <v>45588</v>
      </c>
      <c r="B2157" s="5" t="n">
        <v>-0.003313085918635686</v>
      </c>
      <c r="C2157" s="5" t="n">
        <v>0.0001244882847766995</v>
      </c>
      <c r="D2157" s="5" t="n">
        <v>0.0001223649459777619</v>
      </c>
      <c r="E2157" s="5" t="n">
        <v>0.0003758049810991438</v>
      </c>
      <c r="F2157" s="5" t="n">
        <v>-0.003522648939652159</v>
      </c>
      <c r="G2157" s="5" t="n">
        <v>-0.007256980807456237</v>
      </c>
      <c r="H2157" s="5" t="n">
        <v>0.0009900287916187402</v>
      </c>
      <c r="I2157" s="5" t="n">
        <v>0.0001906314288011467</v>
      </c>
      <c r="J2157" s="5" t="n">
        <v>-0.006393194765412631</v>
      </c>
      <c r="K2157" s="5" t="n">
        <v>-0.001173063275903294</v>
      </c>
      <c r="L2157" s="5" t="n">
        <v>-0.0002462486384214298</v>
      </c>
      <c r="M2157" s="5">
        <f>SUMPRODUCT(Exposures!$B$6:$K$6,B2157:K2157)</f>
        <v/>
      </c>
      <c r="N2157" s="5">
        <f>IF(AND($A2157&gt;=DATE(2020,2,1),$A2157&lt;=DATE(2020,5,31)),$M2157,"")</f>
        <v/>
      </c>
      <c r="O2157" s="5">
        <f>IF(AND($A2157&gt;=DATE(2022,1,1),$A2157&lt;=DATE(2022,10,31)),$M2157,"")</f>
        <v/>
      </c>
      <c r="P2157" s="5">
        <f>IF(AND($A2157&gt;=DATE(2018,10,1),$A2157&lt;=DATE(2018,12,31)),$M2157,"")</f>
        <v/>
      </c>
      <c r="Q2157" s="5">
        <f>SUMPRODUCT(Exposures!$B$8:$K$8,B2157:K2157)</f>
        <v/>
      </c>
      <c r="R2157" s="5">
        <f>SUMPRODUCT(Exposures!$B$9:$K$9,B2157:K2157)</f>
        <v/>
      </c>
      <c r="S2157" s="5">
        <f>SUMPRODUCT(Exposures!$B$10:$K$10,B2157:K2157)</f>
        <v/>
      </c>
    </row>
    <row r="2158">
      <c r="A2158" s="1" t="n">
        <v>45589</v>
      </c>
      <c r="B2158" s="5" t="n">
        <v>0.004180954044972875</v>
      </c>
      <c r="C2158" s="5" t="n">
        <v>0.001896185403515078</v>
      </c>
      <c r="D2158" s="5" t="n">
        <v>-0.0008949241184577513</v>
      </c>
      <c r="E2158" s="5" t="n">
        <v>0.0004256678512315126</v>
      </c>
      <c r="F2158" s="5" t="n">
        <v>-0.0008867093330863322</v>
      </c>
      <c r="G2158" s="5" t="n">
        <v>0.002424368645448277</v>
      </c>
      <c r="H2158" s="5" t="n">
        <v>-0.001069406900286337</v>
      </c>
      <c r="I2158" s="5" t="n">
        <v>-0.001175116241135055</v>
      </c>
      <c r="J2158" s="5" t="n">
        <v>-0.0002987384773719107</v>
      </c>
      <c r="K2158" s="5" t="n">
        <v>-0.001303062710988967</v>
      </c>
      <c r="L2158" s="5" t="n">
        <v>-0.0008954007837646252</v>
      </c>
      <c r="M2158" s="5">
        <f>SUMPRODUCT(Exposures!$B$6:$K$6,B2158:K2158)</f>
        <v/>
      </c>
      <c r="N2158" s="5">
        <f>IF(AND($A2158&gt;=DATE(2020,2,1),$A2158&lt;=DATE(2020,5,31)),$M2158,"")</f>
        <v/>
      </c>
      <c r="O2158" s="5">
        <f>IF(AND($A2158&gt;=DATE(2022,1,1),$A2158&lt;=DATE(2022,10,31)),$M2158,"")</f>
        <v/>
      </c>
      <c r="P2158" s="5">
        <f>IF(AND($A2158&gt;=DATE(2018,10,1),$A2158&lt;=DATE(2018,12,31)),$M2158,"")</f>
        <v/>
      </c>
      <c r="Q2158" s="5">
        <f>SUMPRODUCT(Exposures!$B$8:$K$8,B2158:K2158)</f>
        <v/>
      </c>
      <c r="R2158" s="5">
        <f>SUMPRODUCT(Exposures!$B$9:$K$9,B2158:K2158)</f>
        <v/>
      </c>
      <c r="S2158" s="5">
        <f>SUMPRODUCT(Exposures!$B$10:$K$10,B2158:K2158)</f>
        <v/>
      </c>
    </row>
    <row r="2159">
      <c r="A2159" s="1" t="n">
        <v>45590</v>
      </c>
      <c r="B2159" s="5" t="n">
        <v>0.002592108957595306</v>
      </c>
      <c r="C2159" s="5" t="n">
        <v>6.28662222506506e-05</v>
      </c>
      <c r="D2159" s="5" t="n">
        <v>0.001133401650256646</v>
      </c>
      <c r="E2159" s="5" t="n">
        <v>-0.0004434623631605745</v>
      </c>
      <c r="F2159" s="5" t="n">
        <v>-0.0007032036664661572</v>
      </c>
      <c r="G2159" s="5" t="n">
        <v>-0.003890626845379519</v>
      </c>
      <c r="H2159" s="5" t="n">
        <v>-0.0001179855876552036</v>
      </c>
      <c r="I2159" s="5" t="n">
        <v>2.058862661147252e-05</v>
      </c>
      <c r="J2159" s="5" t="n">
        <v>0.002769637573050219</v>
      </c>
      <c r="K2159" s="5" t="n">
        <v>0.004565082177368522</v>
      </c>
      <c r="L2159" s="5" t="n">
        <v>-0.002217192580479811</v>
      </c>
      <c r="M2159" s="5">
        <f>SUMPRODUCT(Exposures!$B$6:$K$6,B2159:K2159)</f>
        <v/>
      </c>
      <c r="N2159" s="5">
        <f>IF(AND($A2159&gt;=DATE(2020,2,1),$A2159&lt;=DATE(2020,5,31)),$M2159,"")</f>
        <v/>
      </c>
      <c r="O2159" s="5">
        <f>IF(AND($A2159&gt;=DATE(2022,1,1),$A2159&lt;=DATE(2022,10,31)),$M2159,"")</f>
        <v/>
      </c>
      <c r="P2159" s="5">
        <f>IF(AND($A2159&gt;=DATE(2018,10,1),$A2159&lt;=DATE(2018,12,31)),$M2159,"")</f>
        <v/>
      </c>
      <c r="Q2159" s="5">
        <f>SUMPRODUCT(Exposures!$B$8:$K$8,B2159:K2159)</f>
        <v/>
      </c>
      <c r="R2159" s="5">
        <f>SUMPRODUCT(Exposures!$B$9:$K$9,B2159:K2159)</f>
        <v/>
      </c>
      <c r="S2159" s="5">
        <f>SUMPRODUCT(Exposures!$B$10:$K$10,B2159:K2159)</f>
        <v/>
      </c>
    </row>
    <row r="2160">
      <c r="A2160" s="1" t="n">
        <v>45593</v>
      </c>
      <c r="B2160" s="5" t="n">
        <v>0.001596876831864305</v>
      </c>
      <c r="C2160" s="5" t="n">
        <v>-0.0001225344796556911</v>
      </c>
      <c r="D2160" s="5" t="n">
        <v>0.00141275512039759</v>
      </c>
      <c r="E2160" s="5" t="n">
        <v>0.001630548403204353</v>
      </c>
      <c r="F2160" s="5" t="n">
        <v>-0.002723579176548093</v>
      </c>
      <c r="G2160" s="5" t="n">
        <v>0.01243784409088849</v>
      </c>
      <c r="H2160" s="5" t="n">
        <v>0.0008084243525410662</v>
      </c>
      <c r="I2160" s="5" t="n">
        <v>-0.0008310006029000641</v>
      </c>
      <c r="J2160" s="5" t="n">
        <v>0.008637728532430122</v>
      </c>
      <c r="K2160" s="5" t="n">
        <v>0.002794854209148426</v>
      </c>
      <c r="L2160" s="5" t="n">
        <v>0.002835942700287922</v>
      </c>
      <c r="M2160" s="5">
        <f>SUMPRODUCT(Exposures!$B$6:$K$6,B2160:K2160)</f>
        <v/>
      </c>
      <c r="N2160" s="5">
        <f>IF(AND($A2160&gt;=DATE(2020,2,1),$A2160&lt;=DATE(2020,5,31)),$M2160,"")</f>
        <v/>
      </c>
      <c r="O2160" s="5">
        <f>IF(AND($A2160&gt;=DATE(2022,1,1),$A2160&lt;=DATE(2022,10,31)),$M2160,"")</f>
        <v/>
      </c>
      <c r="P2160" s="5">
        <f>IF(AND($A2160&gt;=DATE(2018,10,1),$A2160&lt;=DATE(2018,12,31)),$M2160,"")</f>
        <v/>
      </c>
      <c r="Q2160" s="5">
        <f>SUMPRODUCT(Exposures!$B$8:$K$8,B2160:K2160)</f>
        <v/>
      </c>
      <c r="R2160" s="5">
        <f>SUMPRODUCT(Exposures!$B$9:$K$9,B2160:K2160)</f>
        <v/>
      </c>
      <c r="S2160" s="5">
        <f>SUMPRODUCT(Exposures!$B$10:$K$10,B2160:K2160)</f>
        <v/>
      </c>
    </row>
    <row r="2161">
      <c r="A2161" s="1" t="n">
        <v>45594</v>
      </c>
      <c r="B2161" s="5" t="n">
        <v>0.008650962655497923</v>
      </c>
      <c r="C2161" s="5" t="n">
        <v>6.570813302044973e-06</v>
      </c>
      <c r="D2161" s="5" t="n">
        <v>0.0006065688675490518</v>
      </c>
      <c r="E2161" s="5" t="n">
        <v>-0.002293517531120759</v>
      </c>
      <c r="F2161" s="5" t="n">
        <v>0.001764882102202635</v>
      </c>
      <c r="G2161" s="5" t="n">
        <v>-0.002869069967812957</v>
      </c>
      <c r="H2161" s="5" t="n">
        <v>-6.906487475899519e-05</v>
      </c>
      <c r="I2161" s="5" t="n">
        <v>0.002541228878210274</v>
      </c>
      <c r="J2161" s="5" t="n">
        <v>-0.004537519807582418</v>
      </c>
      <c r="K2161" s="5" t="n">
        <v>0.0001727358586638304</v>
      </c>
      <c r="L2161" s="5" t="n">
        <v>-0.001589500103786147</v>
      </c>
      <c r="M2161" s="5">
        <f>SUMPRODUCT(Exposures!$B$6:$K$6,B2161:K2161)</f>
        <v/>
      </c>
      <c r="N2161" s="5">
        <f>IF(AND($A2161&gt;=DATE(2020,2,1),$A2161&lt;=DATE(2020,5,31)),$M2161,"")</f>
        <v/>
      </c>
      <c r="O2161" s="5">
        <f>IF(AND($A2161&gt;=DATE(2022,1,1),$A2161&lt;=DATE(2022,10,31)),$M2161,"")</f>
        <v/>
      </c>
      <c r="P2161" s="5">
        <f>IF(AND($A2161&gt;=DATE(2018,10,1),$A2161&lt;=DATE(2018,12,31)),$M2161,"")</f>
        <v/>
      </c>
      <c r="Q2161" s="5">
        <f>SUMPRODUCT(Exposures!$B$8:$K$8,B2161:K2161)</f>
        <v/>
      </c>
      <c r="R2161" s="5">
        <f>SUMPRODUCT(Exposures!$B$9:$K$9,B2161:K2161)</f>
        <v/>
      </c>
      <c r="S2161" s="5">
        <f>SUMPRODUCT(Exposures!$B$10:$K$10,B2161:K2161)</f>
        <v/>
      </c>
    </row>
    <row r="2162">
      <c r="A2162" s="1" t="n">
        <v>45595</v>
      </c>
      <c r="B2162" s="5" t="n">
        <v>-0.004360722467159836</v>
      </c>
      <c r="C2162" s="5" t="n">
        <v>0.003364395179929621</v>
      </c>
      <c r="D2162" s="5" t="n">
        <v>-0.0136456215913994</v>
      </c>
      <c r="E2162" s="5" t="n">
        <v>0.002142649839943158</v>
      </c>
      <c r="F2162" s="5" t="n">
        <v>-0.001145702792964579</v>
      </c>
      <c r="G2162" s="5" t="n">
        <v>-0.0038601151264065</v>
      </c>
      <c r="H2162" s="5" t="n">
        <v>0.001255771498505888</v>
      </c>
      <c r="I2162" s="5" t="n">
        <v>-0.001178035769234077</v>
      </c>
      <c r="J2162" s="5" t="n">
        <v>-0.00325402205189418</v>
      </c>
      <c r="K2162" s="5" t="n">
        <v>0.00140052643634432</v>
      </c>
      <c r="L2162" s="5" t="n">
        <v>-0.00119677631863516</v>
      </c>
      <c r="M2162" s="5">
        <f>SUMPRODUCT(Exposures!$B$6:$K$6,B2162:K2162)</f>
        <v/>
      </c>
      <c r="N2162" s="5">
        <f>IF(AND($A2162&gt;=DATE(2020,2,1),$A2162&lt;=DATE(2020,5,31)),$M2162,"")</f>
        <v/>
      </c>
      <c r="O2162" s="5">
        <f>IF(AND($A2162&gt;=DATE(2022,1,1),$A2162&lt;=DATE(2022,10,31)),$M2162,"")</f>
        <v/>
      </c>
      <c r="P2162" s="5">
        <f>IF(AND($A2162&gt;=DATE(2018,10,1),$A2162&lt;=DATE(2018,12,31)),$M2162,"")</f>
        <v/>
      </c>
      <c r="Q2162" s="5">
        <f>SUMPRODUCT(Exposures!$B$8:$K$8,B2162:K2162)</f>
        <v/>
      </c>
      <c r="R2162" s="5">
        <f>SUMPRODUCT(Exposures!$B$9:$K$9,B2162:K2162)</f>
        <v/>
      </c>
      <c r="S2162" s="5">
        <f>SUMPRODUCT(Exposures!$B$10:$K$10,B2162:K2162)</f>
        <v/>
      </c>
    </row>
    <row r="2163">
      <c r="A2163" s="1" t="n">
        <v>45596</v>
      </c>
      <c r="B2163" s="5" t="n">
        <v>-0.008256884304216037</v>
      </c>
      <c r="C2163" s="5" t="n">
        <v>-0.0007686345550706977</v>
      </c>
      <c r="D2163" s="5" t="n">
        <v>0.0002662353733694552</v>
      </c>
      <c r="E2163" s="5" t="n">
        <v>0.001488550926170428</v>
      </c>
      <c r="F2163" s="5" t="n">
        <v>0.0008682476213457422</v>
      </c>
      <c r="G2163" s="5" t="n">
        <v>-0.01514005992639189</v>
      </c>
      <c r="H2163" s="5" t="n">
        <v>-0.006951705530601779</v>
      </c>
      <c r="I2163" s="5" t="n">
        <v>0.001614246536498897</v>
      </c>
      <c r="J2163" s="5" t="n">
        <v>-0.007114701290880059</v>
      </c>
      <c r="K2163" s="5" t="n">
        <v>-0.00289210805301068</v>
      </c>
      <c r="L2163" s="5" t="n">
        <v>-0.001408717249668595</v>
      </c>
      <c r="M2163" s="5">
        <f>SUMPRODUCT(Exposures!$B$6:$K$6,B2163:K2163)</f>
        <v/>
      </c>
      <c r="N2163" s="5">
        <f>IF(AND($A2163&gt;=DATE(2020,2,1),$A2163&lt;=DATE(2020,5,31)),$M2163,"")</f>
        <v/>
      </c>
      <c r="O2163" s="5">
        <f>IF(AND($A2163&gt;=DATE(2022,1,1),$A2163&lt;=DATE(2022,10,31)),$M2163,"")</f>
        <v/>
      </c>
      <c r="P2163" s="5">
        <f>IF(AND($A2163&gt;=DATE(2018,10,1),$A2163&lt;=DATE(2018,12,31)),$M2163,"")</f>
        <v/>
      </c>
      <c r="Q2163" s="5">
        <f>SUMPRODUCT(Exposures!$B$8:$K$8,B2163:K2163)</f>
        <v/>
      </c>
      <c r="R2163" s="5">
        <f>SUMPRODUCT(Exposures!$B$9:$K$9,B2163:K2163)</f>
        <v/>
      </c>
      <c r="S2163" s="5">
        <f>SUMPRODUCT(Exposures!$B$10:$K$10,B2163:K2163)</f>
        <v/>
      </c>
    </row>
    <row r="2164">
      <c r="A2164" s="1" t="n">
        <v>45597</v>
      </c>
      <c r="B2164" s="5" t="n">
        <v>0.00284256160065578</v>
      </c>
      <c r="C2164" s="5" t="n">
        <v>-0.002393749419138233</v>
      </c>
      <c r="D2164" s="5" t="n">
        <v>0.007903985444393693</v>
      </c>
      <c r="E2164" s="5" t="n">
        <v>-0.00194141706861115</v>
      </c>
      <c r="F2164" s="5" t="n">
        <v>-0.001927815711685772</v>
      </c>
      <c r="G2164" s="5" t="n">
        <v>0.008687791869641965</v>
      </c>
      <c r="H2164" s="5" t="n">
        <v>-0.004180340538331184</v>
      </c>
      <c r="I2164" s="5" t="n">
        <v>0.004469146210482938</v>
      </c>
      <c r="J2164" s="5" t="n">
        <v>0.005321425372263064</v>
      </c>
      <c r="K2164" s="5" t="n">
        <v>-3.217462392840226e-05</v>
      </c>
      <c r="L2164" s="5" t="n">
        <v>-0.004579145633332981</v>
      </c>
      <c r="M2164" s="5">
        <f>SUMPRODUCT(Exposures!$B$6:$K$6,B2164:K2164)</f>
        <v/>
      </c>
      <c r="N2164" s="5">
        <f>IF(AND($A2164&gt;=DATE(2020,2,1),$A2164&lt;=DATE(2020,5,31)),$M2164,"")</f>
        <v/>
      </c>
      <c r="O2164" s="5">
        <f>IF(AND($A2164&gt;=DATE(2022,1,1),$A2164&lt;=DATE(2022,10,31)),$M2164,"")</f>
        <v/>
      </c>
      <c r="P2164" s="5">
        <f>IF(AND($A2164&gt;=DATE(2018,10,1),$A2164&lt;=DATE(2018,12,31)),$M2164,"")</f>
        <v/>
      </c>
      <c r="Q2164" s="5">
        <f>SUMPRODUCT(Exposures!$B$8:$K$8,B2164:K2164)</f>
        <v/>
      </c>
      <c r="R2164" s="5">
        <f>SUMPRODUCT(Exposures!$B$9:$K$9,B2164:K2164)</f>
        <v/>
      </c>
      <c r="S2164" s="5">
        <f>SUMPRODUCT(Exposures!$B$10:$K$10,B2164:K2164)</f>
        <v/>
      </c>
    </row>
    <row r="2165">
      <c r="A2165" s="1" t="n">
        <v>45600</v>
      </c>
      <c r="B2165" s="5" t="n">
        <v>0.001320847356250455</v>
      </c>
      <c r="C2165" s="5" t="n">
        <v>0.001414048654617596</v>
      </c>
      <c r="D2165" s="5" t="n">
        <v>-0.000748725372200273</v>
      </c>
      <c r="E2165" s="5" t="n">
        <v>0.001103419402747082</v>
      </c>
      <c r="F2165" s="5" t="n">
        <v>-0.0001187939568157133</v>
      </c>
      <c r="G2165" s="5" t="n">
        <v>-0.002777914181001371</v>
      </c>
      <c r="H2165" s="5" t="n">
        <v>-0.002956460618398933</v>
      </c>
      <c r="I2165" s="5" t="n">
        <v>-0.001689798037287882</v>
      </c>
      <c r="J2165" s="5" t="n">
        <v>-0.004293170484003845</v>
      </c>
      <c r="K2165" s="5" t="n">
        <v>-0.0004905047357276336</v>
      </c>
      <c r="L2165" s="5" t="n">
        <v>-0.0001328588237556862</v>
      </c>
      <c r="M2165" s="5">
        <f>SUMPRODUCT(Exposures!$B$6:$K$6,B2165:K2165)</f>
        <v/>
      </c>
      <c r="N2165" s="5">
        <f>IF(AND($A2165&gt;=DATE(2020,2,1),$A2165&lt;=DATE(2020,5,31)),$M2165,"")</f>
        <v/>
      </c>
      <c r="O2165" s="5">
        <f>IF(AND($A2165&gt;=DATE(2022,1,1),$A2165&lt;=DATE(2022,10,31)),$M2165,"")</f>
        <v/>
      </c>
      <c r="P2165" s="5">
        <f>IF(AND($A2165&gt;=DATE(2018,10,1),$A2165&lt;=DATE(2018,12,31)),$M2165,"")</f>
        <v/>
      </c>
      <c r="Q2165" s="5">
        <f>SUMPRODUCT(Exposures!$B$8:$K$8,B2165:K2165)</f>
        <v/>
      </c>
      <c r="R2165" s="5">
        <f>SUMPRODUCT(Exposures!$B$9:$K$9,B2165:K2165)</f>
        <v/>
      </c>
      <c r="S2165" s="5">
        <f>SUMPRODUCT(Exposures!$B$10:$K$10,B2165:K2165)</f>
        <v/>
      </c>
    </row>
    <row r="2166">
      <c r="A2166" s="1" t="n">
        <v>45601</v>
      </c>
      <c r="B2166" s="5" t="n">
        <v>0.002342857049001453</v>
      </c>
      <c r="C2166" s="5" t="n">
        <v>0.001480140687635365</v>
      </c>
      <c r="D2166" s="5" t="n">
        <v>-0.001864953431650165</v>
      </c>
      <c r="E2166" s="5" t="n">
        <v>0.0001144148284663485</v>
      </c>
      <c r="F2166" s="5" t="n">
        <v>-0.00174044764490872</v>
      </c>
      <c r="G2166" s="5" t="n">
        <v>0.01333015245306226</v>
      </c>
      <c r="H2166" s="5" t="n">
        <v>0.001587601501102052</v>
      </c>
      <c r="I2166" s="5" t="n">
        <v>-0.0008338839999957484</v>
      </c>
      <c r="J2166" s="5" t="n">
        <v>0.006230785748396516</v>
      </c>
      <c r="K2166" s="5" t="n">
        <v>0.002722587145629198</v>
      </c>
      <c r="L2166" s="5" t="n">
        <v>0.000842470279338836</v>
      </c>
      <c r="M2166" s="5">
        <f>SUMPRODUCT(Exposures!$B$6:$K$6,B2166:K2166)</f>
        <v/>
      </c>
      <c r="N2166" s="5">
        <f>IF(AND($A2166&gt;=DATE(2020,2,1),$A2166&lt;=DATE(2020,5,31)),$M2166,"")</f>
        <v/>
      </c>
      <c r="O2166" s="5">
        <f>IF(AND($A2166&gt;=DATE(2022,1,1),$A2166&lt;=DATE(2022,10,31)),$M2166,"")</f>
        <v/>
      </c>
      <c r="P2166" s="5">
        <f>IF(AND($A2166&gt;=DATE(2018,10,1),$A2166&lt;=DATE(2018,12,31)),$M2166,"")</f>
        <v/>
      </c>
      <c r="Q2166" s="5">
        <f>SUMPRODUCT(Exposures!$B$8:$K$8,B2166:K2166)</f>
        <v/>
      </c>
      <c r="R2166" s="5">
        <f>SUMPRODUCT(Exposures!$B$9:$K$9,B2166:K2166)</f>
        <v/>
      </c>
      <c r="S2166" s="5">
        <f>SUMPRODUCT(Exposures!$B$10:$K$10,B2166:K2166)</f>
        <v/>
      </c>
    </row>
    <row r="2167">
      <c r="A2167" s="1" t="n">
        <v>45602</v>
      </c>
      <c r="B2167" s="5" t="n">
        <v>0.0172824674433663</v>
      </c>
      <c r="C2167" s="5" t="n">
        <v>0.0009676400734278654</v>
      </c>
      <c r="D2167" s="5" t="n">
        <v>0.006766205138587908</v>
      </c>
      <c r="E2167" s="5" t="n">
        <v>0.008894753725255907</v>
      </c>
      <c r="F2167" s="5" t="n">
        <v>-0.01144936348916161</v>
      </c>
      <c r="G2167" s="5" t="n">
        <v>0.03382593588845597</v>
      </c>
      <c r="H2167" s="5" t="n">
        <v>0.0038822019656567</v>
      </c>
      <c r="I2167" s="5" t="n">
        <v>0.003132165313926267</v>
      </c>
      <c r="J2167" s="5" t="n">
        <v>-0.001147343440466001</v>
      </c>
      <c r="K2167" s="5" t="n">
        <v>0.003713734415448299</v>
      </c>
      <c r="L2167" s="5" t="n">
        <v>0.006097946402998456</v>
      </c>
      <c r="M2167" s="5">
        <f>SUMPRODUCT(Exposures!$B$6:$K$6,B2167:K2167)</f>
        <v/>
      </c>
      <c r="N2167" s="5">
        <f>IF(AND($A2167&gt;=DATE(2020,2,1),$A2167&lt;=DATE(2020,5,31)),$M2167,"")</f>
        <v/>
      </c>
      <c r="O2167" s="5">
        <f>IF(AND($A2167&gt;=DATE(2022,1,1),$A2167&lt;=DATE(2022,10,31)),$M2167,"")</f>
        <v/>
      </c>
      <c r="P2167" s="5">
        <f>IF(AND($A2167&gt;=DATE(2018,10,1),$A2167&lt;=DATE(2018,12,31)),$M2167,"")</f>
        <v/>
      </c>
      <c r="Q2167" s="5">
        <f>SUMPRODUCT(Exposures!$B$8:$K$8,B2167:K2167)</f>
        <v/>
      </c>
      <c r="R2167" s="5">
        <f>SUMPRODUCT(Exposures!$B$9:$K$9,B2167:K2167)</f>
        <v/>
      </c>
      <c r="S2167" s="5">
        <f>SUMPRODUCT(Exposures!$B$10:$K$10,B2167:K2167)</f>
        <v/>
      </c>
    </row>
    <row r="2168">
      <c r="A2168" s="1" t="n">
        <v>45603</v>
      </c>
      <c r="B2168" s="5" t="n">
        <v>0.001036715893880684</v>
      </c>
      <c r="C2168" s="5" t="n">
        <v>-0.0002079014787337322</v>
      </c>
      <c r="D2168" s="5" t="n">
        <v>0.003191463950010841</v>
      </c>
      <c r="E2168" s="5" t="n">
        <v>-0.003600697952067205</v>
      </c>
      <c r="F2168" s="5" t="n">
        <v>0.006783168191213692</v>
      </c>
      <c r="G2168" s="5" t="n">
        <v>0.0006408440251091571</v>
      </c>
      <c r="H2168" s="5" t="n">
        <v>-0.00125737900875005</v>
      </c>
      <c r="I2168" s="5" t="n">
        <v>-0.001121533761969998</v>
      </c>
      <c r="J2168" s="5" t="n">
        <v>0.007444006990760564</v>
      </c>
      <c r="K2168" s="5" t="n">
        <v>-0.0007695088050140421</v>
      </c>
      <c r="L2168" s="5" t="n">
        <v>-0.003896889542083932</v>
      </c>
      <c r="M2168" s="5">
        <f>SUMPRODUCT(Exposures!$B$6:$K$6,B2168:K2168)</f>
        <v/>
      </c>
      <c r="N2168" s="5">
        <f>IF(AND($A2168&gt;=DATE(2020,2,1),$A2168&lt;=DATE(2020,5,31)),$M2168,"")</f>
        <v/>
      </c>
      <c r="O2168" s="5">
        <f>IF(AND($A2168&gt;=DATE(2022,1,1),$A2168&lt;=DATE(2022,10,31)),$M2168,"")</f>
        <v/>
      </c>
      <c r="P2168" s="5">
        <f>IF(AND($A2168&gt;=DATE(2018,10,1),$A2168&lt;=DATE(2018,12,31)),$M2168,"")</f>
        <v/>
      </c>
      <c r="Q2168" s="5">
        <f>SUMPRODUCT(Exposures!$B$8:$K$8,B2168:K2168)</f>
        <v/>
      </c>
      <c r="R2168" s="5">
        <f>SUMPRODUCT(Exposures!$B$9:$K$9,B2168:K2168)</f>
        <v/>
      </c>
      <c r="S2168" s="5">
        <f>SUMPRODUCT(Exposures!$B$10:$K$10,B2168:K2168)</f>
        <v/>
      </c>
    </row>
    <row r="2169">
      <c r="A2169" s="1" t="n">
        <v>45604</v>
      </c>
      <c r="B2169" s="5" t="n">
        <v>-0.003436025888972031</v>
      </c>
      <c r="C2169" s="5" t="n">
        <v>-0.003524523479508297</v>
      </c>
      <c r="D2169" s="5" t="n">
        <v>0.0009819522935736714</v>
      </c>
      <c r="E2169" s="5" t="n">
        <v>0.0007736001297472078</v>
      </c>
      <c r="F2169" s="5" t="n">
        <v>-0.00182578081782382</v>
      </c>
      <c r="G2169" s="5" t="n">
        <v>0.0007585088340158161</v>
      </c>
      <c r="H2169" s="5" t="n">
        <v>0.003197345066025317</v>
      </c>
      <c r="I2169" s="5" t="n">
        <v>-0.001309510075438279</v>
      </c>
      <c r="J2169" s="5" t="n">
        <v>-0.003134095515927792</v>
      </c>
      <c r="K2169" s="5" t="n">
        <v>-0.002245558296942042</v>
      </c>
      <c r="L2169" s="5" t="n">
        <v>-0.003175105442928887</v>
      </c>
      <c r="M2169" s="5">
        <f>SUMPRODUCT(Exposures!$B$6:$K$6,B2169:K2169)</f>
        <v/>
      </c>
      <c r="N2169" s="5">
        <f>IF(AND($A2169&gt;=DATE(2020,2,1),$A2169&lt;=DATE(2020,5,31)),$M2169,"")</f>
        <v/>
      </c>
      <c r="O2169" s="5">
        <f>IF(AND($A2169&gt;=DATE(2022,1,1),$A2169&lt;=DATE(2022,10,31)),$M2169,"")</f>
        <v/>
      </c>
      <c r="P2169" s="5">
        <f>IF(AND($A2169&gt;=DATE(2018,10,1),$A2169&lt;=DATE(2018,12,31)),$M2169,"")</f>
        <v/>
      </c>
      <c r="Q2169" s="5">
        <f>SUMPRODUCT(Exposures!$B$8:$K$8,B2169:K2169)</f>
        <v/>
      </c>
      <c r="R2169" s="5">
        <f>SUMPRODUCT(Exposures!$B$9:$K$9,B2169:K2169)</f>
        <v/>
      </c>
      <c r="S2169" s="5">
        <f>SUMPRODUCT(Exposures!$B$10:$K$10,B2169:K2169)</f>
        <v/>
      </c>
    </row>
    <row r="2170">
      <c r="A2170" s="1" t="n">
        <v>45607</v>
      </c>
      <c r="B2170" s="5" t="n">
        <v>-0.0009653288006836879</v>
      </c>
      <c r="C2170" s="5" t="n">
        <v>0.001227424677160421</v>
      </c>
      <c r="D2170" s="5" t="n">
        <v>-0.002497539449396247</v>
      </c>
      <c r="E2170" s="5" t="n">
        <v>0.002239730183472841</v>
      </c>
      <c r="F2170" s="5" t="n">
        <v>-0.001516515433430791</v>
      </c>
      <c r="G2170" s="5" t="n">
        <v>0.009199572872685359</v>
      </c>
      <c r="H2170" s="5" t="n">
        <v>-0.00527378303394604</v>
      </c>
      <c r="I2170" s="5" t="n">
        <v>0.0001984600894465081</v>
      </c>
      <c r="J2170" s="5" t="n">
        <v>0.008203820561573328</v>
      </c>
      <c r="K2170" s="5" t="n">
        <v>0.0003174982540867593</v>
      </c>
      <c r="L2170" s="5" t="n">
        <v>0.004295886669678986</v>
      </c>
      <c r="M2170" s="5">
        <f>SUMPRODUCT(Exposures!$B$6:$K$6,B2170:K2170)</f>
        <v/>
      </c>
      <c r="N2170" s="5">
        <f>IF(AND($A2170&gt;=DATE(2020,2,1),$A2170&lt;=DATE(2020,5,31)),$M2170,"")</f>
        <v/>
      </c>
      <c r="O2170" s="5">
        <f>IF(AND($A2170&gt;=DATE(2022,1,1),$A2170&lt;=DATE(2022,10,31)),$M2170,"")</f>
        <v/>
      </c>
      <c r="P2170" s="5">
        <f>IF(AND($A2170&gt;=DATE(2018,10,1),$A2170&lt;=DATE(2018,12,31)),$M2170,"")</f>
        <v/>
      </c>
      <c r="Q2170" s="5">
        <f>SUMPRODUCT(Exposures!$B$8:$K$8,B2170:K2170)</f>
        <v/>
      </c>
      <c r="R2170" s="5">
        <f>SUMPRODUCT(Exposures!$B$9:$K$9,B2170:K2170)</f>
        <v/>
      </c>
      <c r="S2170" s="5">
        <f>SUMPRODUCT(Exposures!$B$10:$K$10,B2170:K2170)</f>
        <v/>
      </c>
    </row>
    <row r="2171">
      <c r="A2171" s="1" t="n">
        <v>45608</v>
      </c>
      <c r="B2171" s="5" t="n">
        <v>0.001003297426228905</v>
      </c>
      <c r="C2171" s="5" t="n">
        <v>-0.001760094372699693</v>
      </c>
      <c r="D2171" s="5" t="n">
        <v>0.002007870309027225</v>
      </c>
      <c r="E2171" s="5" t="n">
        <v>-0.002195999813855471</v>
      </c>
      <c r="F2171" s="5" t="n">
        <v>0.001396078581354567</v>
      </c>
      <c r="G2171" s="5" t="n">
        <v>-0.0118365510428717</v>
      </c>
      <c r="H2171" s="5" t="n">
        <v>-0.001399758822514329</v>
      </c>
      <c r="I2171" s="5" t="n">
        <v>-0.001289395219685011</v>
      </c>
      <c r="J2171" s="5" t="n">
        <v>-0.007980675299497596</v>
      </c>
      <c r="K2171" s="5" t="n">
        <v>-0.001141956619900482</v>
      </c>
      <c r="L2171" s="5" t="n">
        <v>-0.0020037813835702</v>
      </c>
      <c r="M2171" s="5">
        <f>SUMPRODUCT(Exposures!$B$6:$K$6,B2171:K2171)</f>
        <v/>
      </c>
      <c r="N2171" s="5">
        <f>IF(AND($A2171&gt;=DATE(2020,2,1),$A2171&lt;=DATE(2020,5,31)),$M2171,"")</f>
        <v/>
      </c>
      <c r="O2171" s="5">
        <f>IF(AND($A2171&gt;=DATE(2022,1,1),$A2171&lt;=DATE(2022,10,31)),$M2171,"")</f>
        <v/>
      </c>
      <c r="P2171" s="5">
        <f>IF(AND($A2171&gt;=DATE(2018,10,1),$A2171&lt;=DATE(2018,12,31)),$M2171,"")</f>
        <v/>
      </c>
      <c r="Q2171" s="5">
        <f>SUMPRODUCT(Exposures!$B$8:$K$8,B2171:K2171)</f>
        <v/>
      </c>
      <c r="R2171" s="5">
        <f>SUMPRODUCT(Exposures!$B$9:$K$9,B2171:K2171)</f>
        <v/>
      </c>
      <c r="S2171" s="5">
        <f>SUMPRODUCT(Exposures!$B$10:$K$10,B2171:K2171)</f>
        <v/>
      </c>
    </row>
    <row r="2172">
      <c r="A2172" s="1" t="n">
        <v>45609</v>
      </c>
      <c r="B2172" s="5" t="n">
        <v>0.0006378886308908301</v>
      </c>
      <c r="C2172" s="5" t="n">
        <v>0.003258720705351869</v>
      </c>
      <c r="D2172" s="5" t="n">
        <v>-0.002369233543894127</v>
      </c>
      <c r="E2172" s="5" t="n">
        <v>0.000633673964397732</v>
      </c>
      <c r="F2172" s="5" t="n">
        <v>0.001330578755164168</v>
      </c>
      <c r="G2172" s="5" t="n">
        <v>-0.006698873463687948</v>
      </c>
      <c r="H2172" s="5" t="n">
        <v>-0.00434411045131966</v>
      </c>
      <c r="I2172" s="5" t="n">
        <v>-0.002333587000895217</v>
      </c>
      <c r="J2172" s="5" t="n">
        <v>-0.005180245623550028</v>
      </c>
      <c r="K2172" s="5" t="n">
        <v>0.001233447978424522</v>
      </c>
      <c r="L2172" s="5" t="n">
        <v>0.001086822939490064</v>
      </c>
      <c r="M2172" s="5">
        <f>SUMPRODUCT(Exposures!$B$6:$K$6,B2172:K2172)</f>
        <v/>
      </c>
      <c r="N2172" s="5">
        <f>IF(AND($A2172&gt;=DATE(2020,2,1),$A2172&lt;=DATE(2020,5,31)),$M2172,"")</f>
        <v/>
      </c>
      <c r="O2172" s="5">
        <f>IF(AND($A2172&gt;=DATE(2022,1,1),$A2172&lt;=DATE(2022,10,31)),$M2172,"")</f>
        <v/>
      </c>
      <c r="P2172" s="5">
        <f>IF(AND($A2172&gt;=DATE(2018,10,1),$A2172&lt;=DATE(2018,12,31)),$M2172,"")</f>
        <v/>
      </c>
      <c r="Q2172" s="5">
        <f>SUMPRODUCT(Exposures!$B$8:$K$8,B2172:K2172)</f>
        <v/>
      </c>
      <c r="R2172" s="5">
        <f>SUMPRODUCT(Exposures!$B$9:$K$9,B2172:K2172)</f>
        <v/>
      </c>
      <c r="S2172" s="5">
        <f>SUMPRODUCT(Exposures!$B$10:$K$10,B2172:K2172)</f>
        <v/>
      </c>
    </row>
    <row r="2173">
      <c r="A2173" s="1" t="n">
        <v>45610</v>
      </c>
      <c r="B2173" s="5" t="n">
        <v>0.001438370727616255</v>
      </c>
      <c r="C2173" s="5" t="n">
        <v>0.004343268148694849</v>
      </c>
      <c r="D2173" s="5" t="n">
        <v>-0.004393544737436521</v>
      </c>
      <c r="E2173" s="5" t="n">
        <v>0.001877327697957088</v>
      </c>
      <c r="F2173" s="5" t="n">
        <v>0.00178329333028032</v>
      </c>
      <c r="G2173" s="5" t="n">
        <v>-0.009323460455665351</v>
      </c>
      <c r="H2173" s="5" t="n">
        <v>-0.001832979181515233</v>
      </c>
      <c r="I2173" s="5" t="n">
        <v>-0.0004480813866882003</v>
      </c>
      <c r="J2173" s="5" t="n">
        <v>0.0007761225571052653</v>
      </c>
      <c r="K2173" s="5" t="n">
        <v>-0.0001811058402576827</v>
      </c>
      <c r="L2173" s="5" t="n">
        <v>-0.0008611846917596954</v>
      </c>
      <c r="M2173" s="5">
        <f>SUMPRODUCT(Exposures!$B$6:$K$6,B2173:K2173)</f>
        <v/>
      </c>
      <c r="N2173" s="5">
        <f>IF(AND($A2173&gt;=DATE(2020,2,1),$A2173&lt;=DATE(2020,5,31)),$M2173,"")</f>
        <v/>
      </c>
      <c r="O2173" s="5">
        <f>IF(AND($A2173&gt;=DATE(2022,1,1),$A2173&lt;=DATE(2022,10,31)),$M2173,"")</f>
        <v/>
      </c>
      <c r="P2173" s="5">
        <f>IF(AND($A2173&gt;=DATE(2018,10,1),$A2173&lt;=DATE(2018,12,31)),$M2173,"")</f>
        <v/>
      </c>
      <c r="Q2173" s="5">
        <f>SUMPRODUCT(Exposures!$B$8:$K$8,B2173:K2173)</f>
        <v/>
      </c>
      <c r="R2173" s="5">
        <f>SUMPRODUCT(Exposures!$B$9:$K$9,B2173:K2173)</f>
        <v/>
      </c>
      <c r="S2173" s="5">
        <f>SUMPRODUCT(Exposures!$B$10:$K$10,B2173:K2173)</f>
        <v/>
      </c>
    </row>
    <row r="2174">
      <c r="A2174" s="1" t="n">
        <v>45611</v>
      </c>
      <c r="B2174" s="5" t="n">
        <v>-0.003578425862982423</v>
      </c>
      <c r="C2174" s="5" t="n">
        <v>0.002006267746283616</v>
      </c>
      <c r="D2174" s="5" t="n">
        <v>-0.0009050047488700694</v>
      </c>
      <c r="E2174" s="5" t="n">
        <v>0.001736397805216654</v>
      </c>
      <c r="F2174" s="5" t="n">
        <v>-0.002885523131554543</v>
      </c>
      <c r="G2174" s="5" t="n">
        <v>-0.0139415526984674</v>
      </c>
      <c r="H2174" s="5" t="n">
        <v>0.004858659020170996</v>
      </c>
      <c r="I2174" s="5" t="n">
        <v>-0.00225162872561448</v>
      </c>
      <c r="J2174" s="5" t="n">
        <v>-0.01060726399228021</v>
      </c>
      <c r="K2174" s="5" t="n">
        <v>-0.001461863836440472</v>
      </c>
      <c r="L2174" s="5" t="n">
        <v>0.003766255349408067</v>
      </c>
      <c r="M2174" s="5">
        <f>SUMPRODUCT(Exposures!$B$6:$K$6,B2174:K2174)</f>
        <v/>
      </c>
      <c r="N2174" s="5">
        <f>IF(AND($A2174&gt;=DATE(2020,2,1),$A2174&lt;=DATE(2020,5,31)),$M2174,"")</f>
        <v/>
      </c>
      <c r="O2174" s="5">
        <f>IF(AND($A2174&gt;=DATE(2022,1,1),$A2174&lt;=DATE(2022,10,31)),$M2174,"")</f>
        <v/>
      </c>
      <c r="P2174" s="5">
        <f>IF(AND($A2174&gt;=DATE(2018,10,1),$A2174&lt;=DATE(2018,12,31)),$M2174,"")</f>
        <v/>
      </c>
      <c r="Q2174" s="5">
        <f>SUMPRODUCT(Exposures!$B$8:$K$8,B2174:K2174)</f>
        <v/>
      </c>
      <c r="R2174" s="5">
        <f>SUMPRODUCT(Exposures!$B$9:$K$9,B2174:K2174)</f>
        <v/>
      </c>
      <c r="S2174" s="5">
        <f>SUMPRODUCT(Exposures!$B$10:$K$10,B2174:K2174)</f>
        <v/>
      </c>
    </row>
    <row r="2175">
      <c r="A2175" s="1" t="n">
        <v>45614</v>
      </c>
      <c r="B2175" s="5" t="n">
        <v>-0.001109084327110344</v>
      </c>
      <c r="C2175" s="5" t="n">
        <v>-0.003975468386179517</v>
      </c>
      <c r="D2175" s="5" t="n">
        <v>-0.001668185505816159</v>
      </c>
      <c r="E2175" s="5" t="n">
        <v>-0.003423758351821751</v>
      </c>
      <c r="F2175" s="5" t="n">
        <v>0.0038642510210276</v>
      </c>
      <c r="G2175" s="5" t="n">
        <v>0.005041644855333911</v>
      </c>
      <c r="H2175" s="5" t="n">
        <v>0.004131215995901661</v>
      </c>
      <c r="I2175" s="5" t="n">
        <v>-0.001506135134312536</v>
      </c>
      <c r="J2175" s="5" t="n">
        <v>0.004152087309977502</v>
      </c>
      <c r="K2175" s="5" t="n">
        <v>0.001787981184151428</v>
      </c>
      <c r="L2175" s="5" t="n">
        <v>0.002646658769665706</v>
      </c>
      <c r="M2175" s="5">
        <f>SUMPRODUCT(Exposures!$B$6:$K$6,B2175:K2175)</f>
        <v/>
      </c>
      <c r="N2175" s="5">
        <f>IF(AND($A2175&gt;=DATE(2020,2,1),$A2175&lt;=DATE(2020,5,31)),$M2175,"")</f>
        <v/>
      </c>
      <c r="O2175" s="5">
        <f>IF(AND($A2175&gt;=DATE(2022,1,1),$A2175&lt;=DATE(2022,10,31)),$M2175,"")</f>
        <v/>
      </c>
      <c r="P2175" s="5">
        <f>IF(AND($A2175&gt;=DATE(2018,10,1),$A2175&lt;=DATE(2018,12,31)),$M2175,"")</f>
        <v/>
      </c>
      <c r="Q2175" s="5">
        <f>SUMPRODUCT(Exposures!$B$8:$K$8,B2175:K2175)</f>
        <v/>
      </c>
      <c r="R2175" s="5">
        <f>SUMPRODUCT(Exposures!$B$9:$K$9,B2175:K2175)</f>
        <v/>
      </c>
      <c r="S2175" s="5">
        <f>SUMPRODUCT(Exposures!$B$10:$K$10,B2175:K2175)</f>
        <v/>
      </c>
    </row>
    <row r="2176">
      <c r="A2176" s="1" t="n">
        <v>45615</v>
      </c>
      <c r="B2176" s="5" t="n">
        <v>0.004646117509730985</v>
      </c>
      <c r="C2176" s="5" t="n">
        <v>-0.005181782479809098</v>
      </c>
      <c r="D2176" s="5" t="n">
        <v>-0.001965389848214352</v>
      </c>
      <c r="E2176" s="5" t="n">
        <v>-0.001525935348320548</v>
      </c>
      <c r="F2176" s="5" t="n">
        <v>0.0005283455359264238</v>
      </c>
      <c r="G2176" s="5" t="n">
        <v>0.001986533596176704</v>
      </c>
      <c r="H2176" s="5" t="n">
        <v>0.0005275989365375929</v>
      </c>
      <c r="I2176" s="5" t="n">
        <v>-0.0007774038925406642</v>
      </c>
      <c r="J2176" s="5" t="n">
        <v>-0.001677542667835572</v>
      </c>
      <c r="K2176" s="5" t="n">
        <v>5.959897169462288e-05</v>
      </c>
      <c r="L2176" s="5" t="n">
        <v>-0.001427165931770901</v>
      </c>
      <c r="M2176" s="5">
        <f>SUMPRODUCT(Exposures!$B$6:$K$6,B2176:K2176)</f>
        <v/>
      </c>
      <c r="N2176" s="5">
        <f>IF(AND($A2176&gt;=DATE(2020,2,1),$A2176&lt;=DATE(2020,5,31)),$M2176,"")</f>
        <v/>
      </c>
      <c r="O2176" s="5">
        <f>IF(AND($A2176&gt;=DATE(2022,1,1),$A2176&lt;=DATE(2022,10,31)),$M2176,"")</f>
        <v/>
      </c>
      <c r="P2176" s="5">
        <f>IF(AND($A2176&gt;=DATE(2018,10,1),$A2176&lt;=DATE(2018,12,31)),$M2176,"")</f>
        <v/>
      </c>
      <c r="Q2176" s="5">
        <f>SUMPRODUCT(Exposures!$B$8:$K$8,B2176:K2176)</f>
        <v/>
      </c>
      <c r="R2176" s="5">
        <f>SUMPRODUCT(Exposures!$B$9:$K$9,B2176:K2176)</f>
        <v/>
      </c>
      <c r="S2176" s="5">
        <f>SUMPRODUCT(Exposures!$B$10:$K$10,B2176:K2176)</f>
        <v/>
      </c>
    </row>
    <row r="2177">
      <c r="A2177" s="1" t="n">
        <v>45616</v>
      </c>
      <c r="B2177" s="5" t="n">
        <v>-0.003470089925270196</v>
      </c>
      <c r="C2177" s="5" t="n">
        <v>-0.001877445433285605</v>
      </c>
      <c r="D2177" s="5" t="n">
        <v>0.0003443032151384662</v>
      </c>
      <c r="E2177" s="5" t="n">
        <v>0.0006948776366025902</v>
      </c>
      <c r="F2177" s="5" t="n">
        <v>0.0006541609412881542</v>
      </c>
      <c r="G2177" s="5" t="n">
        <v>0.005118253521966165</v>
      </c>
      <c r="H2177" s="5" t="n">
        <v>-0.002832775710788544</v>
      </c>
      <c r="I2177" s="5" t="n">
        <v>0.0008245856600185884</v>
      </c>
      <c r="J2177" s="5" t="n">
        <v>0.00457282158815913</v>
      </c>
      <c r="K2177" s="5" t="n">
        <v>-0.003029096669994686</v>
      </c>
      <c r="L2177" s="5" t="n">
        <v>-0.001866471696566822</v>
      </c>
      <c r="M2177" s="5">
        <f>SUMPRODUCT(Exposures!$B$6:$K$6,B2177:K2177)</f>
        <v/>
      </c>
      <c r="N2177" s="5">
        <f>IF(AND($A2177&gt;=DATE(2020,2,1),$A2177&lt;=DATE(2020,5,31)),$M2177,"")</f>
        <v/>
      </c>
      <c r="O2177" s="5">
        <f>IF(AND($A2177&gt;=DATE(2022,1,1),$A2177&lt;=DATE(2022,10,31)),$M2177,"")</f>
        <v/>
      </c>
      <c r="P2177" s="5">
        <f>IF(AND($A2177&gt;=DATE(2018,10,1),$A2177&lt;=DATE(2018,12,31)),$M2177,"")</f>
        <v/>
      </c>
      <c r="Q2177" s="5">
        <f>SUMPRODUCT(Exposures!$B$8:$K$8,B2177:K2177)</f>
        <v/>
      </c>
      <c r="R2177" s="5">
        <f>SUMPRODUCT(Exposures!$B$9:$K$9,B2177:K2177)</f>
        <v/>
      </c>
      <c r="S2177" s="5">
        <f>SUMPRODUCT(Exposures!$B$10:$K$10,B2177:K2177)</f>
        <v/>
      </c>
    </row>
    <row r="2178">
      <c r="A2178" s="1" t="n">
        <v>45617</v>
      </c>
      <c r="B2178" s="5" t="n">
        <v>0.0009577395908055026</v>
      </c>
      <c r="C2178" s="5" t="n">
        <v>-0.0005436843466076491</v>
      </c>
      <c r="D2178" s="5" t="n">
        <v>0.003285234634904661</v>
      </c>
      <c r="E2178" s="5" t="n">
        <v>0.003194149904488065</v>
      </c>
      <c r="F2178" s="5" t="n">
        <v>-0.0024685071003743</v>
      </c>
      <c r="G2178" s="5" t="n">
        <v>0.0157667625428722</v>
      </c>
      <c r="H2178" s="5" t="n">
        <v>-0.000500629759629696</v>
      </c>
      <c r="I2178" s="5" t="n">
        <v>0.002220581176502227</v>
      </c>
      <c r="J2178" s="5" t="n">
        <v>-0.00170132971473896</v>
      </c>
      <c r="K2178" s="5" t="n">
        <v>-0.00850220193800575</v>
      </c>
      <c r="L2178" s="5" t="n">
        <v>-0.004511308925715837</v>
      </c>
      <c r="M2178" s="5">
        <f>SUMPRODUCT(Exposures!$B$6:$K$6,B2178:K2178)</f>
        <v/>
      </c>
      <c r="N2178" s="5">
        <f>IF(AND($A2178&gt;=DATE(2020,2,1),$A2178&lt;=DATE(2020,5,31)),$M2178,"")</f>
        <v/>
      </c>
      <c r="O2178" s="5">
        <f>IF(AND($A2178&gt;=DATE(2022,1,1),$A2178&lt;=DATE(2022,10,31)),$M2178,"")</f>
        <v/>
      </c>
      <c r="P2178" s="5">
        <f>IF(AND($A2178&gt;=DATE(2018,10,1),$A2178&lt;=DATE(2018,12,31)),$M2178,"")</f>
        <v/>
      </c>
      <c r="Q2178" s="5">
        <f>SUMPRODUCT(Exposures!$B$8:$K$8,B2178:K2178)</f>
        <v/>
      </c>
      <c r="R2178" s="5">
        <f>SUMPRODUCT(Exposures!$B$9:$K$9,B2178:K2178)</f>
        <v/>
      </c>
      <c r="S2178" s="5">
        <f>SUMPRODUCT(Exposures!$B$10:$K$10,B2178:K2178)</f>
        <v/>
      </c>
    </row>
    <row r="2179">
      <c r="A2179" s="1" t="n">
        <v>45618</v>
      </c>
      <c r="B2179" s="5" t="n">
        <v>0.002428840599040125</v>
      </c>
      <c r="C2179" s="5" t="n">
        <v>-0.001720932915365236</v>
      </c>
      <c r="D2179" s="5" t="n">
        <v>-0.0005735067619950776</v>
      </c>
      <c r="E2179" s="5" t="n">
        <v>0.002848735370651227</v>
      </c>
      <c r="F2179" s="5" t="n">
        <v>-0.0007937228428804934</v>
      </c>
      <c r="G2179" s="5" t="n">
        <v>0.01320059331366351</v>
      </c>
      <c r="H2179" s="5" t="n">
        <v>0.001124658198151916</v>
      </c>
      <c r="I2179" s="5" t="n">
        <v>0.001508355054015316</v>
      </c>
      <c r="J2179" s="5" t="n">
        <v>0.0008354888916909276</v>
      </c>
      <c r="K2179" s="5" t="n">
        <v>-0.005202156452987036</v>
      </c>
      <c r="L2179" s="5" t="n">
        <v>-0.002525961446651788</v>
      </c>
      <c r="M2179" s="5">
        <f>SUMPRODUCT(Exposures!$B$6:$K$6,B2179:K2179)</f>
        <v/>
      </c>
      <c r="N2179" s="5">
        <f>IF(AND($A2179&gt;=DATE(2020,2,1),$A2179&lt;=DATE(2020,5,31)),$M2179,"")</f>
        <v/>
      </c>
      <c r="O2179" s="5">
        <f>IF(AND($A2179&gt;=DATE(2022,1,1),$A2179&lt;=DATE(2022,10,31)),$M2179,"")</f>
        <v/>
      </c>
      <c r="P2179" s="5">
        <f>IF(AND($A2179&gt;=DATE(2018,10,1),$A2179&lt;=DATE(2018,12,31)),$M2179,"")</f>
        <v/>
      </c>
      <c r="Q2179" s="5">
        <f>SUMPRODUCT(Exposures!$B$8:$K$8,B2179:K2179)</f>
        <v/>
      </c>
      <c r="R2179" s="5">
        <f>SUMPRODUCT(Exposures!$B$9:$K$9,B2179:K2179)</f>
        <v/>
      </c>
      <c r="S2179" s="5">
        <f>SUMPRODUCT(Exposures!$B$10:$K$10,B2179:K2179)</f>
        <v/>
      </c>
    </row>
    <row r="2180">
      <c r="A2180" s="1" t="n">
        <v>45621</v>
      </c>
      <c r="B2180" s="5" t="n">
        <v>0.004549809410332963</v>
      </c>
      <c r="C2180" s="5" t="n">
        <v>-0.0001886703026546105</v>
      </c>
      <c r="D2180" s="5" t="n">
        <v>-0.0009988722539440763</v>
      </c>
      <c r="E2180" s="5" t="n">
        <v>-0.0009059639125503821</v>
      </c>
      <c r="F2180" s="5" t="n">
        <v>0.002354913376271446</v>
      </c>
      <c r="G2180" s="5" t="n">
        <v>0.01429674109138501</v>
      </c>
      <c r="H2180" s="5" t="n">
        <v>-0.001666555087339641</v>
      </c>
      <c r="I2180" s="5" t="n">
        <v>-0.002308720818898892</v>
      </c>
      <c r="J2180" s="5" t="n">
        <v>0.004147859284889433</v>
      </c>
      <c r="K2180" s="5" t="n">
        <v>-0.000265163123972568</v>
      </c>
      <c r="L2180" s="5" t="n">
        <v>0.004289634216164536</v>
      </c>
      <c r="M2180" s="5">
        <f>SUMPRODUCT(Exposures!$B$6:$K$6,B2180:K2180)</f>
        <v/>
      </c>
      <c r="N2180" s="5">
        <f>IF(AND($A2180&gt;=DATE(2020,2,1),$A2180&lt;=DATE(2020,5,31)),$M2180,"")</f>
        <v/>
      </c>
      <c r="O2180" s="5">
        <f>IF(AND($A2180&gt;=DATE(2022,1,1),$A2180&lt;=DATE(2022,10,31)),$M2180,"")</f>
        <v/>
      </c>
      <c r="P2180" s="5">
        <f>IF(AND($A2180&gt;=DATE(2018,10,1),$A2180&lt;=DATE(2018,12,31)),$M2180,"")</f>
        <v/>
      </c>
      <c r="Q2180" s="5">
        <f>SUMPRODUCT(Exposures!$B$8:$K$8,B2180:K2180)</f>
        <v/>
      </c>
      <c r="R2180" s="5">
        <f>SUMPRODUCT(Exposures!$B$9:$K$9,B2180:K2180)</f>
        <v/>
      </c>
      <c r="S2180" s="5">
        <f>SUMPRODUCT(Exposures!$B$10:$K$10,B2180:K2180)</f>
        <v/>
      </c>
    </row>
    <row r="2181">
      <c r="A2181" s="1" t="n">
        <v>45622</v>
      </c>
      <c r="B2181" s="5" t="n">
        <v>-0.007164537387041368</v>
      </c>
      <c r="C2181" s="5" t="n">
        <v>-0.0003276597431876146</v>
      </c>
      <c r="D2181" s="5" t="n">
        <v>0.004639775951736224</v>
      </c>
      <c r="E2181" s="5" t="n">
        <v>-0.0004348251356962742</v>
      </c>
      <c r="F2181" s="5" t="n">
        <v>0.003754029126350669</v>
      </c>
      <c r="G2181" s="5" t="n">
        <v>-0.006243356506002783</v>
      </c>
      <c r="H2181" s="5" t="n">
        <v>0.002306565198184985</v>
      </c>
      <c r="I2181" s="5" t="n">
        <v>0.001073160432710128</v>
      </c>
      <c r="J2181" s="5" t="n">
        <v>-0.002692052263306212</v>
      </c>
      <c r="K2181" s="5" t="n">
        <v>-0.001250406471087567</v>
      </c>
      <c r="L2181" s="5" t="n">
        <v>-0.001374403463333212</v>
      </c>
      <c r="M2181" s="5">
        <f>SUMPRODUCT(Exposures!$B$6:$K$6,B2181:K2181)</f>
        <v/>
      </c>
      <c r="N2181" s="5">
        <f>IF(AND($A2181&gt;=DATE(2020,2,1),$A2181&lt;=DATE(2020,5,31)),$M2181,"")</f>
        <v/>
      </c>
      <c r="O2181" s="5">
        <f>IF(AND($A2181&gt;=DATE(2022,1,1),$A2181&lt;=DATE(2022,10,31)),$M2181,"")</f>
        <v/>
      </c>
      <c r="P2181" s="5">
        <f>IF(AND($A2181&gt;=DATE(2018,10,1),$A2181&lt;=DATE(2018,12,31)),$M2181,"")</f>
        <v/>
      </c>
      <c r="Q2181" s="5">
        <f>SUMPRODUCT(Exposures!$B$8:$K$8,B2181:K2181)</f>
        <v/>
      </c>
      <c r="R2181" s="5">
        <f>SUMPRODUCT(Exposures!$B$9:$K$9,B2181:K2181)</f>
        <v/>
      </c>
      <c r="S2181" s="5">
        <f>SUMPRODUCT(Exposures!$B$10:$K$10,B2181:K2181)</f>
        <v/>
      </c>
    </row>
    <row r="2182">
      <c r="A2182" s="1" t="n">
        <v>45623</v>
      </c>
      <c r="B2182" s="5" t="n">
        <v>-0.005154128330301733</v>
      </c>
      <c r="C2182" s="5" t="n">
        <v>0.0007060262044357236</v>
      </c>
      <c r="D2182" s="5" t="n">
        <v>-0.0002268015981993437</v>
      </c>
      <c r="E2182" s="5" t="n">
        <v>-0.0005313924674598292</v>
      </c>
      <c r="F2182" s="5" t="n">
        <v>-0.001087294750083758</v>
      </c>
      <c r="G2182" s="5" t="n">
        <v>0.0002386976864584343</v>
      </c>
      <c r="H2182" s="5" t="n">
        <v>-0.001493991047597727</v>
      </c>
      <c r="I2182" s="5" t="n">
        <v>-0.001201968548563133</v>
      </c>
      <c r="J2182" s="5" t="n">
        <v>0.006422872714402719</v>
      </c>
      <c r="K2182" s="5" t="n">
        <v>0.002680836402930572</v>
      </c>
      <c r="L2182" s="5" t="n">
        <v>0.002363509295217889</v>
      </c>
      <c r="M2182" s="5">
        <f>SUMPRODUCT(Exposures!$B$6:$K$6,B2182:K2182)</f>
        <v/>
      </c>
      <c r="N2182" s="5">
        <f>IF(AND($A2182&gt;=DATE(2020,2,1),$A2182&lt;=DATE(2020,5,31)),$M2182,"")</f>
        <v/>
      </c>
      <c r="O2182" s="5">
        <f>IF(AND($A2182&gt;=DATE(2022,1,1),$A2182&lt;=DATE(2022,10,31)),$M2182,"")</f>
        <v/>
      </c>
      <c r="P2182" s="5">
        <f>IF(AND($A2182&gt;=DATE(2018,10,1),$A2182&lt;=DATE(2018,12,31)),$M2182,"")</f>
        <v/>
      </c>
      <c r="Q2182" s="5">
        <f>SUMPRODUCT(Exposures!$B$8:$K$8,B2182:K2182)</f>
        <v/>
      </c>
      <c r="R2182" s="5">
        <f>SUMPRODUCT(Exposures!$B$9:$K$9,B2182:K2182)</f>
        <v/>
      </c>
      <c r="S2182" s="5">
        <f>SUMPRODUCT(Exposures!$B$10:$K$10,B2182:K2182)</f>
        <v/>
      </c>
    </row>
    <row r="2183">
      <c r="A2183" s="1" t="n">
        <v>45625</v>
      </c>
      <c r="B2183" s="5" t="n">
        <v>0.002457293003287278</v>
      </c>
      <c r="C2183" s="5" t="n">
        <v>-0.00274127812472508</v>
      </c>
      <c r="D2183" s="5" t="n">
        <v>-0.0004820655234102048</v>
      </c>
      <c r="E2183" s="5" t="n">
        <v>0.001050982715856555</v>
      </c>
      <c r="F2183" s="5" t="n">
        <v>0.001730863557457762</v>
      </c>
      <c r="G2183" s="5" t="n">
        <v>0.004499786538745474</v>
      </c>
      <c r="H2183" s="5" t="n">
        <v>0.0001221250717622487</v>
      </c>
      <c r="I2183" s="5" t="n">
        <v>0.0005609702851761831</v>
      </c>
      <c r="J2183" s="5" t="n">
        <v>0.001612114667470617</v>
      </c>
      <c r="K2183" s="5" t="n">
        <v>-0.001165112512453044</v>
      </c>
      <c r="L2183" s="5" t="n">
        <v>-0.0006176252052678835</v>
      </c>
      <c r="M2183" s="5">
        <f>SUMPRODUCT(Exposures!$B$6:$K$6,B2183:K2183)</f>
        <v/>
      </c>
      <c r="N2183" s="5">
        <f>IF(AND($A2183&gt;=DATE(2020,2,1),$A2183&lt;=DATE(2020,5,31)),$M2183,"")</f>
        <v/>
      </c>
      <c r="O2183" s="5">
        <f>IF(AND($A2183&gt;=DATE(2022,1,1),$A2183&lt;=DATE(2022,10,31)),$M2183,"")</f>
        <v/>
      </c>
      <c r="P2183" s="5">
        <f>IF(AND($A2183&gt;=DATE(2018,10,1),$A2183&lt;=DATE(2018,12,31)),$M2183,"")</f>
        <v/>
      </c>
      <c r="Q2183" s="5">
        <f>SUMPRODUCT(Exposures!$B$8:$K$8,B2183:K2183)</f>
        <v/>
      </c>
      <c r="R2183" s="5">
        <f>SUMPRODUCT(Exposures!$B$9:$K$9,B2183:K2183)</f>
        <v/>
      </c>
      <c r="S2183" s="5">
        <f>SUMPRODUCT(Exposures!$B$10:$K$10,B2183:K2183)</f>
        <v/>
      </c>
    </row>
    <row r="2184">
      <c r="A2184" s="1" t="n">
        <v>45628</v>
      </c>
      <c r="B2184" s="5" t="n">
        <v>0.005618414051433347</v>
      </c>
      <c r="C2184" s="5" t="n">
        <v>0.001791393737791238</v>
      </c>
      <c r="D2184" s="5" t="n">
        <v>0.004904716551827007</v>
      </c>
      <c r="E2184" s="5" t="n">
        <v>-0.001868788589439004</v>
      </c>
      <c r="F2184" s="5" t="n">
        <v>-0.0006320510157180989</v>
      </c>
      <c r="G2184" s="5" t="n">
        <v>-0.001170757781578967</v>
      </c>
      <c r="H2184" s="5" t="n">
        <v>-0.004818867307131938</v>
      </c>
      <c r="I2184" s="5" t="n">
        <v>-0.0004181687234546726</v>
      </c>
      <c r="J2184" s="5" t="n">
        <v>-0.0009652286791310579</v>
      </c>
      <c r="K2184" s="5" t="n">
        <v>0.002945038036072197</v>
      </c>
      <c r="L2184" s="5" t="n">
        <v>-0.0009987758436786993</v>
      </c>
      <c r="M2184" s="5">
        <f>SUMPRODUCT(Exposures!$B$6:$K$6,B2184:K2184)</f>
        <v/>
      </c>
      <c r="N2184" s="5">
        <f>IF(AND($A2184&gt;=DATE(2020,2,1),$A2184&lt;=DATE(2020,5,31)),$M2184,"")</f>
        <v/>
      </c>
      <c r="O2184" s="5">
        <f>IF(AND($A2184&gt;=DATE(2022,1,1),$A2184&lt;=DATE(2022,10,31)),$M2184,"")</f>
        <v/>
      </c>
      <c r="P2184" s="5">
        <f>IF(AND($A2184&gt;=DATE(2018,10,1),$A2184&lt;=DATE(2018,12,31)),$M2184,"")</f>
        <v/>
      </c>
      <c r="Q2184" s="5">
        <f>SUMPRODUCT(Exposures!$B$8:$K$8,B2184:K2184)</f>
        <v/>
      </c>
      <c r="R2184" s="5">
        <f>SUMPRODUCT(Exposures!$B$9:$K$9,B2184:K2184)</f>
        <v/>
      </c>
      <c r="S2184" s="5">
        <f>SUMPRODUCT(Exposures!$B$10:$K$10,B2184:K2184)</f>
        <v/>
      </c>
    </row>
    <row r="2185">
      <c r="A2185" s="1" t="n">
        <v>45629</v>
      </c>
      <c r="B2185" s="5" t="n">
        <v>0.003904033162684411</v>
      </c>
      <c r="C2185" s="5" t="n">
        <v>0.0009824989611928415</v>
      </c>
      <c r="D2185" s="5" t="n">
        <v>0.002250745236885197</v>
      </c>
      <c r="E2185" s="5" t="n">
        <v>-0.0007742799298467</v>
      </c>
      <c r="F2185" s="5" t="n">
        <v>0.003692800202898929</v>
      </c>
      <c r="G2185" s="5" t="n">
        <v>-0.005974481434358981</v>
      </c>
      <c r="H2185" s="5" t="n">
        <v>-0.0002918709063139265</v>
      </c>
      <c r="I2185" s="5" t="n">
        <v>-0.0009919912715757899</v>
      </c>
      <c r="J2185" s="5" t="n">
        <v>-0.003632154130779916</v>
      </c>
      <c r="K2185" s="5" t="n">
        <v>-0.0008332318035214454</v>
      </c>
      <c r="L2185" s="5" t="n">
        <v>-0.0009121284990836792</v>
      </c>
      <c r="M2185" s="5">
        <f>SUMPRODUCT(Exposures!$B$6:$K$6,B2185:K2185)</f>
        <v/>
      </c>
      <c r="N2185" s="5">
        <f>IF(AND($A2185&gt;=DATE(2020,2,1),$A2185&lt;=DATE(2020,5,31)),$M2185,"")</f>
        <v/>
      </c>
      <c r="O2185" s="5">
        <f>IF(AND($A2185&gt;=DATE(2022,1,1),$A2185&lt;=DATE(2022,10,31)),$M2185,"")</f>
        <v/>
      </c>
      <c r="P2185" s="5">
        <f>IF(AND($A2185&gt;=DATE(2018,10,1),$A2185&lt;=DATE(2018,12,31)),$M2185,"")</f>
        <v/>
      </c>
      <c r="Q2185" s="5">
        <f>SUMPRODUCT(Exposures!$B$8:$K$8,B2185:K2185)</f>
        <v/>
      </c>
      <c r="R2185" s="5">
        <f>SUMPRODUCT(Exposures!$B$9:$K$9,B2185:K2185)</f>
        <v/>
      </c>
      <c r="S2185" s="5">
        <f>SUMPRODUCT(Exposures!$B$10:$K$10,B2185:K2185)</f>
        <v/>
      </c>
    </row>
    <row r="2186">
      <c r="A2186" s="1" t="n">
        <v>45630</v>
      </c>
      <c r="B2186" s="5" t="n">
        <v>0.006279499430064876</v>
      </c>
      <c r="C2186" s="5" t="n">
        <v>-0.004256555700473986</v>
      </c>
      <c r="D2186" s="5" t="n">
        <v>1.030565219683288e-05</v>
      </c>
      <c r="E2186" s="5" t="n">
        <v>-0.0004634585499445035</v>
      </c>
      <c r="F2186" s="5" t="n">
        <v>2.70977276157873e-05</v>
      </c>
      <c r="G2186" s="5" t="n">
        <v>0.004721377099654982</v>
      </c>
      <c r="H2186" s="5" t="n">
        <v>-0.0009532187626533781</v>
      </c>
      <c r="I2186" s="5" t="n">
        <v>-0.0008435779620209168</v>
      </c>
      <c r="J2186" s="5" t="n">
        <v>-0.002759727345956663</v>
      </c>
      <c r="K2186" s="5" t="n">
        <v>-0.002042320453492953</v>
      </c>
      <c r="L2186" s="5" t="n">
        <v>-0.002899319382787069</v>
      </c>
      <c r="M2186" s="5">
        <f>SUMPRODUCT(Exposures!$B$6:$K$6,B2186:K2186)</f>
        <v/>
      </c>
      <c r="N2186" s="5">
        <f>IF(AND($A2186&gt;=DATE(2020,2,1),$A2186&lt;=DATE(2020,5,31)),$M2186,"")</f>
        <v/>
      </c>
      <c r="O2186" s="5">
        <f>IF(AND($A2186&gt;=DATE(2022,1,1),$A2186&lt;=DATE(2022,10,31)),$M2186,"")</f>
        <v/>
      </c>
      <c r="P2186" s="5">
        <f>IF(AND($A2186&gt;=DATE(2018,10,1),$A2186&lt;=DATE(2018,12,31)),$M2186,"")</f>
        <v/>
      </c>
      <c r="Q2186" s="5">
        <f>SUMPRODUCT(Exposures!$B$8:$K$8,B2186:K2186)</f>
        <v/>
      </c>
      <c r="R2186" s="5">
        <f>SUMPRODUCT(Exposures!$B$9:$K$9,B2186:K2186)</f>
        <v/>
      </c>
      <c r="S2186" s="5">
        <f>SUMPRODUCT(Exposures!$B$10:$K$10,B2186:K2186)</f>
        <v/>
      </c>
    </row>
    <row r="2187">
      <c r="A2187" s="1" t="n">
        <v>45631</v>
      </c>
      <c r="B2187" s="5" t="n">
        <v>-0.003490293921314773</v>
      </c>
      <c r="C2187" s="5" t="n">
        <v>0.001860662106883305</v>
      </c>
      <c r="D2187" s="5" t="n">
        <v>-0.005588518357571536</v>
      </c>
      <c r="E2187" s="5" t="n">
        <v>-0.0005585338665771624</v>
      </c>
      <c r="F2187" s="5" t="n">
        <v>0.001273964742212858</v>
      </c>
      <c r="G2187" s="5" t="n">
        <v>-0.008010784533679571</v>
      </c>
      <c r="H2187" s="5" t="n">
        <v>0.00568773942794915</v>
      </c>
      <c r="I2187" s="5" t="n">
        <v>-0.0003287898627131693</v>
      </c>
      <c r="J2187" s="5" t="n">
        <v>-0.0016418439978556</v>
      </c>
      <c r="K2187" s="5" t="n">
        <v>-0.0002710003170997436</v>
      </c>
      <c r="L2187" s="5" t="n">
        <v>-0.001078776525380551</v>
      </c>
      <c r="M2187" s="5">
        <f>SUMPRODUCT(Exposures!$B$6:$K$6,B2187:K2187)</f>
        <v/>
      </c>
      <c r="N2187" s="5">
        <f>IF(AND($A2187&gt;=DATE(2020,2,1),$A2187&lt;=DATE(2020,5,31)),$M2187,"")</f>
        <v/>
      </c>
      <c r="O2187" s="5">
        <f>IF(AND($A2187&gt;=DATE(2022,1,1),$A2187&lt;=DATE(2022,10,31)),$M2187,"")</f>
        <v/>
      </c>
      <c r="P2187" s="5">
        <f>IF(AND($A2187&gt;=DATE(2018,10,1),$A2187&lt;=DATE(2018,12,31)),$M2187,"")</f>
        <v/>
      </c>
      <c r="Q2187" s="5">
        <f>SUMPRODUCT(Exposures!$B$8:$K$8,B2187:K2187)</f>
        <v/>
      </c>
      <c r="R2187" s="5">
        <f>SUMPRODUCT(Exposures!$B$9:$K$9,B2187:K2187)</f>
        <v/>
      </c>
      <c r="S2187" s="5">
        <f>SUMPRODUCT(Exposures!$B$10:$K$10,B2187:K2187)</f>
        <v/>
      </c>
    </row>
    <row r="2188">
      <c r="A2188" s="1" t="n">
        <v>45632</v>
      </c>
      <c r="B2188" s="5" t="n">
        <v>0.007644908422078904</v>
      </c>
      <c r="C2188" s="5" t="n">
        <v>-0.001556237668364975</v>
      </c>
      <c r="D2188" s="5" t="n">
        <v>-0.0008239572493519544</v>
      </c>
      <c r="E2188" s="5" t="n">
        <v>-0.002835781553390261</v>
      </c>
      <c r="F2188" s="5" t="n">
        <v>-0.0006883689317998187</v>
      </c>
      <c r="G2188" s="5" t="n">
        <v>0.004234191332751912</v>
      </c>
      <c r="H2188" s="5" t="n">
        <v>0.002655662419380557</v>
      </c>
      <c r="I2188" s="5" t="n">
        <v>-0.001498089860246329</v>
      </c>
      <c r="J2188" s="5" t="n">
        <v>0.003712128525675548</v>
      </c>
      <c r="K2188" s="5" t="n">
        <v>0.0029188414445444</v>
      </c>
      <c r="L2188" s="5" t="n">
        <v>0.0001587132846364808</v>
      </c>
      <c r="M2188" s="5">
        <f>SUMPRODUCT(Exposures!$B$6:$K$6,B2188:K2188)</f>
        <v/>
      </c>
      <c r="N2188" s="5">
        <f>IF(AND($A2188&gt;=DATE(2020,2,1),$A2188&lt;=DATE(2020,5,31)),$M2188,"")</f>
        <v/>
      </c>
      <c r="O2188" s="5">
        <f>IF(AND($A2188&gt;=DATE(2022,1,1),$A2188&lt;=DATE(2022,10,31)),$M2188,"")</f>
        <v/>
      </c>
      <c r="P2188" s="5">
        <f>IF(AND($A2188&gt;=DATE(2018,10,1),$A2188&lt;=DATE(2018,12,31)),$M2188,"")</f>
        <v/>
      </c>
      <c r="Q2188" s="5">
        <f>SUMPRODUCT(Exposures!$B$8:$K$8,B2188:K2188)</f>
        <v/>
      </c>
      <c r="R2188" s="5">
        <f>SUMPRODUCT(Exposures!$B$9:$K$9,B2188:K2188)</f>
        <v/>
      </c>
      <c r="S2188" s="5">
        <f>SUMPRODUCT(Exposures!$B$10:$K$10,B2188:K2188)</f>
        <v/>
      </c>
    </row>
    <row r="2189">
      <c r="A2189" s="1" t="n">
        <v>45635</v>
      </c>
      <c r="B2189" s="5" t="n">
        <v>-0.002014993657089535</v>
      </c>
      <c r="C2189" s="5" t="n">
        <v>0.000740593954481654</v>
      </c>
      <c r="D2189" s="5" t="n">
        <v>-0.006909182475597617</v>
      </c>
      <c r="E2189" s="5" t="n">
        <v>-0.003844580044149575</v>
      </c>
      <c r="F2189" s="5" t="n">
        <v>0.0001954899292310472</v>
      </c>
      <c r="G2189" s="5" t="n">
        <v>-0.007783770860787517</v>
      </c>
      <c r="H2189" s="5" t="n">
        <v>-0.010705302877832</v>
      </c>
      <c r="I2189" s="5" t="n">
        <v>-0.003935111072781069</v>
      </c>
      <c r="J2189" s="5" t="n">
        <v>0.001295290431280636</v>
      </c>
      <c r="K2189" s="5" t="n">
        <v>0.007278657481032143</v>
      </c>
      <c r="L2189" s="5" t="n">
        <v>0.007724288714630798</v>
      </c>
      <c r="M2189" s="5">
        <f>SUMPRODUCT(Exposures!$B$6:$K$6,B2189:K2189)</f>
        <v/>
      </c>
      <c r="N2189" s="5">
        <f>IF(AND($A2189&gt;=DATE(2020,2,1),$A2189&lt;=DATE(2020,5,31)),$M2189,"")</f>
        <v/>
      </c>
      <c r="O2189" s="5">
        <f>IF(AND($A2189&gt;=DATE(2022,1,1),$A2189&lt;=DATE(2022,10,31)),$M2189,"")</f>
        <v/>
      </c>
      <c r="P2189" s="5">
        <f>IF(AND($A2189&gt;=DATE(2018,10,1),$A2189&lt;=DATE(2018,12,31)),$M2189,"")</f>
        <v/>
      </c>
      <c r="Q2189" s="5">
        <f>SUMPRODUCT(Exposures!$B$8:$K$8,B2189:K2189)</f>
        <v/>
      </c>
      <c r="R2189" s="5">
        <f>SUMPRODUCT(Exposures!$B$9:$K$9,B2189:K2189)</f>
        <v/>
      </c>
      <c r="S2189" s="5">
        <f>SUMPRODUCT(Exposures!$B$10:$K$10,B2189:K2189)</f>
        <v/>
      </c>
    </row>
    <row r="2190">
      <c r="A2190" s="1" t="n">
        <v>45636</v>
      </c>
      <c r="B2190" s="5" t="n">
        <v>-0.0007348609497709949</v>
      </c>
      <c r="C2190" s="5" t="n">
        <v>0.001053497945514079</v>
      </c>
      <c r="D2190" s="5" t="n">
        <v>-0.004069183829499277</v>
      </c>
      <c r="E2190" s="5" t="n">
        <v>0.0006267705935405793</v>
      </c>
      <c r="F2190" s="5" t="n">
        <v>-0.001353650278722348</v>
      </c>
      <c r="G2190" s="5" t="n">
        <v>-0.004680954785885988</v>
      </c>
      <c r="H2190" s="5" t="n">
        <v>-0.0005681408656554586</v>
      </c>
      <c r="I2190" s="5" t="n">
        <v>-0.001514540983055246</v>
      </c>
      <c r="J2190" s="5" t="n">
        <v>-0.004497128622005134</v>
      </c>
      <c r="K2190" s="5" t="n">
        <v>0.001742220892573679</v>
      </c>
      <c r="L2190" s="5" t="n">
        <v>-0.003784667818057256</v>
      </c>
      <c r="M2190" s="5">
        <f>SUMPRODUCT(Exposures!$B$6:$K$6,B2190:K2190)</f>
        <v/>
      </c>
      <c r="N2190" s="5">
        <f>IF(AND($A2190&gt;=DATE(2020,2,1),$A2190&lt;=DATE(2020,5,31)),$M2190,"")</f>
        <v/>
      </c>
      <c r="O2190" s="5">
        <f>IF(AND($A2190&gt;=DATE(2022,1,1),$A2190&lt;=DATE(2022,10,31)),$M2190,"")</f>
        <v/>
      </c>
      <c r="P2190" s="5">
        <f>IF(AND($A2190&gt;=DATE(2018,10,1),$A2190&lt;=DATE(2018,12,31)),$M2190,"")</f>
        <v/>
      </c>
      <c r="Q2190" s="5">
        <f>SUMPRODUCT(Exposures!$B$8:$K$8,B2190:K2190)</f>
        <v/>
      </c>
      <c r="R2190" s="5">
        <f>SUMPRODUCT(Exposures!$B$9:$K$9,B2190:K2190)</f>
        <v/>
      </c>
      <c r="S2190" s="5">
        <f>SUMPRODUCT(Exposures!$B$10:$K$10,B2190:K2190)</f>
        <v/>
      </c>
    </row>
    <row r="2191">
      <c r="A2191" s="1" t="n">
        <v>45637</v>
      </c>
      <c r="B2191" s="5" t="n">
        <v>0.01284551155007687</v>
      </c>
      <c r="C2191" s="5" t="n">
        <v>0.0005543652384529592</v>
      </c>
      <c r="D2191" s="5" t="n">
        <v>-0.00648725612685926</v>
      </c>
      <c r="E2191" s="5" t="n">
        <v>-0.002513676872523068</v>
      </c>
      <c r="F2191" s="5" t="n">
        <v>0.001847795112280028</v>
      </c>
      <c r="G2191" s="5" t="n">
        <v>0.001542696278073231</v>
      </c>
      <c r="H2191" s="5" t="n">
        <v>0.004245699230506972</v>
      </c>
      <c r="I2191" s="5" t="n">
        <v>-0.003131308513165861</v>
      </c>
      <c r="J2191" s="5" t="n">
        <v>-0.00787166570690748</v>
      </c>
      <c r="K2191" s="5" t="n">
        <v>0.0007629459268636892</v>
      </c>
      <c r="L2191" s="5" t="n">
        <v>-0.001770968589122497</v>
      </c>
      <c r="M2191" s="5">
        <f>SUMPRODUCT(Exposures!$B$6:$K$6,B2191:K2191)</f>
        <v/>
      </c>
      <c r="N2191" s="5">
        <f>IF(AND($A2191&gt;=DATE(2020,2,1),$A2191&lt;=DATE(2020,5,31)),$M2191,"")</f>
        <v/>
      </c>
      <c r="O2191" s="5">
        <f>IF(AND($A2191&gt;=DATE(2022,1,1),$A2191&lt;=DATE(2022,10,31)),$M2191,"")</f>
        <v/>
      </c>
      <c r="P2191" s="5">
        <f>IF(AND($A2191&gt;=DATE(2018,10,1),$A2191&lt;=DATE(2018,12,31)),$M2191,"")</f>
        <v/>
      </c>
      <c r="Q2191" s="5">
        <f>SUMPRODUCT(Exposures!$B$8:$K$8,B2191:K2191)</f>
        <v/>
      </c>
      <c r="R2191" s="5">
        <f>SUMPRODUCT(Exposures!$B$9:$K$9,B2191:K2191)</f>
        <v/>
      </c>
      <c r="S2191" s="5">
        <f>SUMPRODUCT(Exposures!$B$10:$K$10,B2191:K2191)</f>
        <v/>
      </c>
    </row>
    <row r="2192">
      <c r="A2192" s="1" t="n">
        <v>45638</v>
      </c>
      <c r="B2192" s="5" t="n">
        <v>0.0002107782859036497</v>
      </c>
      <c r="C2192" s="5" t="n">
        <v>0.002554523783828393</v>
      </c>
      <c r="D2192" s="5" t="n">
        <v>-0.001888724984029143</v>
      </c>
      <c r="E2192" s="5" t="n">
        <v>0.001647444798283778</v>
      </c>
      <c r="F2192" s="5" t="n">
        <v>-0.00093468484043744</v>
      </c>
      <c r="G2192" s="5" t="n">
        <v>-0.00565545097681836</v>
      </c>
      <c r="H2192" s="5" t="n">
        <v>0.0004440316132625268</v>
      </c>
      <c r="I2192" s="5" t="n">
        <v>-0.002721305121250272</v>
      </c>
      <c r="J2192" s="5" t="n">
        <v>-0.003048085202258166</v>
      </c>
      <c r="K2192" s="5" t="n">
        <v>0.0001378074264147473</v>
      </c>
      <c r="L2192" s="5" t="n">
        <v>-0.002136042214997987</v>
      </c>
      <c r="M2192" s="5">
        <f>SUMPRODUCT(Exposures!$B$6:$K$6,B2192:K2192)</f>
        <v/>
      </c>
      <c r="N2192" s="5">
        <f>IF(AND($A2192&gt;=DATE(2020,2,1),$A2192&lt;=DATE(2020,5,31)),$M2192,"")</f>
        <v/>
      </c>
      <c r="O2192" s="5">
        <f>IF(AND($A2192&gt;=DATE(2022,1,1),$A2192&lt;=DATE(2022,10,31)),$M2192,"")</f>
        <v/>
      </c>
      <c r="P2192" s="5">
        <f>IF(AND($A2192&gt;=DATE(2018,10,1),$A2192&lt;=DATE(2018,12,31)),$M2192,"")</f>
        <v/>
      </c>
      <c r="Q2192" s="5">
        <f>SUMPRODUCT(Exposures!$B$8:$K$8,B2192:K2192)</f>
        <v/>
      </c>
      <c r="R2192" s="5">
        <f>SUMPRODUCT(Exposures!$B$9:$K$9,B2192:K2192)</f>
        <v/>
      </c>
      <c r="S2192" s="5">
        <f>SUMPRODUCT(Exposures!$B$10:$K$10,B2192:K2192)</f>
        <v/>
      </c>
    </row>
    <row r="2193">
      <c r="A2193" s="1" t="n">
        <v>45639</v>
      </c>
      <c r="B2193" s="5" t="n">
        <v>0.002209661794824227</v>
      </c>
      <c r="C2193" s="5" t="n">
        <v>-0.002555912207794645</v>
      </c>
      <c r="D2193" s="5" t="n">
        <v>-0.0008347658969819292</v>
      </c>
      <c r="E2193" s="5" t="n">
        <v>-0.002138990190169206</v>
      </c>
      <c r="F2193" s="5" t="n">
        <v>0.006305657752181844</v>
      </c>
      <c r="G2193" s="5" t="n">
        <v>-0.002233466385577878</v>
      </c>
      <c r="H2193" s="5" t="n">
        <v>0.005486528018457784</v>
      </c>
      <c r="I2193" s="5" t="n">
        <v>0.001428938041374262</v>
      </c>
      <c r="J2193" s="5" t="n">
        <v>-0.001653347516992835</v>
      </c>
      <c r="K2193" s="5" t="n">
        <v>-0.005193955140437243</v>
      </c>
      <c r="L2193" s="5" t="n">
        <v>0.001559690694463954</v>
      </c>
      <c r="M2193" s="5">
        <f>SUMPRODUCT(Exposures!$B$6:$K$6,B2193:K2193)</f>
        <v/>
      </c>
      <c r="N2193" s="5">
        <f>IF(AND($A2193&gt;=DATE(2020,2,1),$A2193&lt;=DATE(2020,5,31)),$M2193,"")</f>
        <v/>
      </c>
      <c r="O2193" s="5">
        <f>IF(AND($A2193&gt;=DATE(2022,1,1),$A2193&lt;=DATE(2022,10,31)),$M2193,"")</f>
        <v/>
      </c>
      <c r="P2193" s="5">
        <f>IF(AND($A2193&gt;=DATE(2018,10,1),$A2193&lt;=DATE(2018,12,31)),$M2193,"")</f>
        <v/>
      </c>
      <c r="Q2193" s="5">
        <f>SUMPRODUCT(Exposures!$B$8:$K$8,B2193:K2193)</f>
        <v/>
      </c>
      <c r="R2193" s="5">
        <f>SUMPRODUCT(Exposures!$B$9:$K$9,B2193:K2193)</f>
        <v/>
      </c>
      <c r="S2193" s="5">
        <f>SUMPRODUCT(Exposures!$B$10:$K$10,B2193:K2193)</f>
        <v/>
      </c>
    </row>
    <row r="2194">
      <c r="A2194" s="1" t="n">
        <v>45642</v>
      </c>
      <c r="B2194" s="5" t="n">
        <v>0.009924449584274526</v>
      </c>
      <c r="C2194" s="5" t="n">
        <v>-0.006850801877487082</v>
      </c>
      <c r="D2194" s="5" t="n">
        <v>-0.004362499183714906</v>
      </c>
      <c r="E2194" s="5" t="n">
        <v>-0.0002256872736608657</v>
      </c>
      <c r="F2194" s="5" t="n">
        <v>0.003843688272942034</v>
      </c>
      <c r="G2194" s="5" t="n">
        <v>0.001234992203305762</v>
      </c>
      <c r="H2194" s="5" t="n">
        <v>0.005849846331934777</v>
      </c>
      <c r="I2194" s="5" t="n">
        <v>-0.003415806263294656</v>
      </c>
      <c r="J2194" s="5" t="n">
        <v>-0.00521996680475054</v>
      </c>
      <c r="K2194" s="5" t="n">
        <v>-0.003072619137376562</v>
      </c>
      <c r="L2194" s="5" t="n">
        <v>4.35900485880427e-05</v>
      </c>
      <c r="M2194" s="5">
        <f>SUMPRODUCT(Exposures!$B$6:$K$6,B2194:K2194)</f>
        <v/>
      </c>
      <c r="N2194" s="5">
        <f>IF(AND($A2194&gt;=DATE(2020,2,1),$A2194&lt;=DATE(2020,5,31)),$M2194,"")</f>
        <v/>
      </c>
      <c r="O2194" s="5">
        <f>IF(AND($A2194&gt;=DATE(2022,1,1),$A2194&lt;=DATE(2022,10,31)),$M2194,"")</f>
        <v/>
      </c>
      <c r="P2194" s="5">
        <f>IF(AND($A2194&gt;=DATE(2018,10,1),$A2194&lt;=DATE(2018,12,31)),$M2194,"")</f>
        <v/>
      </c>
      <c r="Q2194" s="5">
        <f>SUMPRODUCT(Exposures!$B$8:$K$8,B2194:K2194)</f>
        <v/>
      </c>
      <c r="R2194" s="5">
        <f>SUMPRODUCT(Exposures!$B$9:$K$9,B2194:K2194)</f>
        <v/>
      </c>
      <c r="S2194" s="5">
        <f>SUMPRODUCT(Exposures!$B$10:$K$10,B2194:K2194)</f>
        <v/>
      </c>
    </row>
    <row r="2195">
      <c r="A2195" s="1" t="n">
        <v>45643</v>
      </c>
      <c r="B2195" s="5" t="n">
        <v>-0.005413976249594889</v>
      </c>
      <c r="C2195" s="5" t="n">
        <v>-0.0004730761019201024</v>
      </c>
      <c r="D2195" s="5" t="n">
        <v>-0.0002544808904652142</v>
      </c>
      <c r="E2195" s="5" t="n">
        <v>-0.001459032131464546</v>
      </c>
      <c r="F2195" s="5" t="n">
        <v>0.002289140888783841</v>
      </c>
      <c r="G2195" s="5" t="n">
        <v>-0.008644935582828433</v>
      </c>
      <c r="H2195" s="5" t="n">
        <v>-0.0009165961369356617</v>
      </c>
      <c r="I2195" s="5" t="n">
        <v>-0.00165131203966778</v>
      </c>
      <c r="J2195" s="5" t="n">
        <v>0.002322638665262398</v>
      </c>
      <c r="K2195" s="5" t="n">
        <v>0.0008700623555303777</v>
      </c>
      <c r="L2195" s="5" t="n">
        <v>-0.001508903490375475</v>
      </c>
      <c r="M2195" s="5">
        <f>SUMPRODUCT(Exposures!$B$6:$K$6,B2195:K2195)</f>
        <v/>
      </c>
      <c r="N2195" s="5">
        <f>IF(AND($A2195&gt;=DATE(2020,2,1),$A2195&lt;=DATE(2020,5,31)),$M2195,"")</f>
        <v/>
      </c>
      <c r="O2195" s="5">
        <f>IF(AND($A2195&gt;=DATE(2022,1,1),$A2195&lt;=DATE(2022,10,31)),$M2195,"")</f>
        <v/>
      </c>
      <c r="P2195" s="5">
        <f>IF(AND($A2195&gt;=DATE(2018,10,1),$A2195&lt;=DATE(2018,12,31)),$M2195,"")</f>
        <v/>
      </c>
      <c r="Q2195" s="5">
        <f>SUMPRODUCT(Exposures!$B$8:$K$8,B2195:K2195)</f>
        <v/>
      </c>
      <c r="R2195" s="5">
        <f>SUMPRODUCT(Exposures!$B$9:$K$9,B2195:K2195)</f>
        <v/>
      </c>
      <c r="S2195" s="5">
        <f>SUMPRODUCT(Exposures!$B$10:$K$10,B2195:K2195)</f>
        <v/>
      </c>
    </row>
    <row r="2196">
      <c r="A2196" s="1" t="n">
        <v>45644</v>
      </c>
      <c r="B2196" s="5" t="n">
        <v>-0.01261977243940704</v>
      </c>
      <c r="C2196" s="5" t="n">
        <v>-0.0001879000920420636</v>
      </c>
      <c r="D2196" s="5" t="n">
        <v>-0.0003888135542177996</v>
      </c>
      <c r="E2196" s="5" t="n">
        <v>-0.002345167400848666</v>
      </c>
      <c r="F2196" s="5" t="n">
        <v>0.007729499950760355</v>
      </c>
      <c r="G2196" s="5" t="n">
        <v>-0.03437710733509011</v>
      </c>
      <c r="H2196" s="5" t="n">
        <v>-0.004551843818175212</v>
      </c>
      <c r="I2196" s="5" t="n">
        <v>0.00278681213729479</v>
      </c>
      <c r="J2196" s="5" t="n">
        <v>0.001230616092920364</v>
      </c>
      <c r="K2196" s="5" t="n">
        <v>-0.004191343342700573</v>
      </c>
      <c r="L2196" s="5" t="n">
        <v>3.610309539227373e-05</v>
      </c>
      <c r="M2196" s="5">
        <f>SUMPRODUCT(Exposures!$B$6:$K$6,B2196:K2196)</f>
        <v/>
      </c>
      <c r="N2196" s="5">
        <f>IF(AND($A2196&gt;=DATE(2020,2,1),$A2196&lt;=DATE(2020,5,31)),$M2196,"")</f>
        <v/>
      </c>
      <c r="O2196" s="5">
        <f>IF(AND($A2196&gt;=DATE(2022,1,1),$A2196&lt;=DATE(2022,10,31)),$M2196,"")</f>
        <v/>
      </c>
      <c r="P2196" s="5">
        <f>IF(AND($A2196&gt;=DATE(2018,10,1),$A2196&lt;=DATE(2018,12,31)),$M2196,"")</f>
        <v/>
      </c>
      <c r="Q2196" s="5">
        <f>SUMPRODUCT(Exposures!$B$8:$K$8,B2196:K2196)</f>
        <v/>
      </c>
      <c r="R2196" s="5">
        <f>SUMPRODUCT(Exposures!$B$9:$K$9,B2196:K2196)</f>
        <v/>
      </c>
      <c r="S2196" s="5">
        <f>SUMPRODUCT(Exposures!$B$10:$K$10,B2196:K2196)</f>
        <v/>
      </c>
    </row>
    <row r="2197">
      <c r="A2197" s="1" t="n">
        <v>45645</v>
      </c>
      <c r="B2197" s="5" t="n">
        <v>-0.0003282840788935679</v>
      </c>
      <c r="C2197" s="5" t="n">
        <v>-0.001619839396361352</v>
      </c>
      <c r="D2197" s="5" t="n">
        <v>-0.001463999759221773</v>
      </c>
      <c r="E2197" s="5" t="n">
        <v>0.001332794470823919</v>
      </c>
      <c r="F2197" s="5" t="n">
        <v>0.001570627116119802</v>
      </c>
      <c r="G2197" s="5" t="n">
        <v>-0.001478077287408213</v>
      </c>
      <c r="H2197" s="5" t="n">
        <v>0.0009907983845480555</v>
      </c>
      <c r="I2197" s="5" t="n">
        <v>-0.002668223023072053</v>
      </c>
      <c r="J2197" s="5" t="n">
        <v>-0.003757156324329915</v>
      </c>
      <c r="K2197" s="5" t="n">
        <v>-0.003500807575459108</v>
      </c>
      <c r="L2197" s="5" t="n">
        <v>-0.002471666672185623</v>
      </c>
      <c r="M2197" s="5">
        <f>SUMPRODUCT(Exposures!$B$6:$K$6,B2197:K2197)</f>
        <v/>
      </c>
      <c r="N2197" s="5">
        <f>IF(AND($A2197&gt;=DATE(2020,2,1),$A2197&lt;=DATE(2020,5,31)),$M2197,"")</f>
        <v/>
      </c>
      <c r="O2197" s="5">
        <f>IF(AND($A2197&gt;=DATE(2022,1,1),$A2197&lt;=DATE(2022,10,31)),$M2197,"")</f>
        <v/>
      </c>
      <c r="P2197" s="5">
        <f>IF(AND($A2197&gt;=DATE(2018,10,1),$A2197&lt;=DATE(2018,12,31)),$M2197,"")</f>
        <v/>
      </c>
      <c r="Q2197" s="5">
        <f>SUMPRODUCT(Exposures!$B$8:$K$8,B2197:K2197)</f>
        <v/>
      </c>
      <c r="R2197" s="5">
        <f>SUMPRODUCT(Exposures!$B$9:$K$9,B2197:K2197)</f>
        <v/>
      </c>
      <c r="S2197" s="5">
        <f>SUMPRODUCT(Exposures!$B$10:$K$10,B2197:K2197)</f>
        <v/>
      </c>
    </row>
    <row r="2198">
      <c r="A2198" s="1" t="n">
        <v>45646</v>
      </c>
      <c r="B2198" s="5" t="n">
        <v>0.001538330149366595</v>
      </c>
      <c r="C2198" s="5" t="n">
        <v>-0.0002863272204779497</v>
      </c>
      <c r="D2198" s="5" t="n">
        <v>0.001924415901697717</v>
      </c>
      <c r="E2198" s="5" t="n">
        <v>0.001668465211563963</v>
      </c>
      <c r="F2198" s="5" t="n">
        <v>0.0006618863350750218</v>
      </c>
      <c r="G2198" s="5" t="n">
        <v>0.01297704530587963</v>
      </c>
      <c r="H2198" s="5" t="n">
        <v>-0.0007401563012178314</v>
      </c>
      <c r="I2198" s="5" t="n">
        <v>0.0007337787072329975</v>
      </c>
      <c r="J2198" s="5" t="n">
        <v>0.0006128978192809808</v>
      </c>
      <c r="K2198" s="5" t="n">
        <v>-0.001765635818916669</v>
      </c>
      <c r="L2198" s="5" t="n">
        <v>-0.0007156934421366169</v>
      </c>
      <c r="M2198" s="5">
        <f>SUMPRODUCT(Exposures!$B$6:$K$6,B2198:K2198)</f>
        <v/>
      </c>
      <c r="N2198" s="5">
        <f>IF(AND($A2198&gt;=DATE(2020,2,1),$A2198&lt;=DATE(2020,5,31)),$M2198,"")</f>
        <v/>
      </c>
      <c r="O2198" s="5">
        <f>IF(AND($A2198&gt;=DATE(2022,1,1),$A2198&lt;=DATE(2022,10,31)),$M2198,"")</f>
        <v/>
      </c>
      <c r="P2198" s="5">
        <f>IF(AND($A2198&gt;=DATE(2018,10,1),$A2198&lt;=DATE(2018,12,31)),$M2198,"")</f>
        <v/>
      </c>
      <c r="Q2198" s="5">
        <f>SUMPRODUCT(Exposures!$B$8:$K$8,B2198:K2198)</f>
        <v/>
      </c>
      <c r="R2198" s="5">
        <f>SUMPRODUCT(Exposures!$B$9:$K$9,B2198:K2198)</f>
        <v/>
      </c>
      <c r="S2198" s="5">
        <f>SUMPRODUCT(Exposures!$B$10:$K$10,B2198:K2198)</f>
        <v/>
      </c>
    </row>
    <row r="2199">
      <c r="A2199" s="1" t="n">
        <v>45649</v>
      </c>
      <c r="B2199" s="5" t="n">
        <v>0.001667878812760925</v>
      </c>
      <c r="C2199" s="5" t="n">
        <v>-0.0001235598264685503</v>
      </c>
      <c r="D2199" s="5" t="n">
        <v>-0.002418094723000247</v>
      </c>
      <c r="E2199" s="5" t="n">
        <v>-0.0007773961335283761</v>
      </c>
      <c r="F2199" s="5" t="n">
        <v>0.003772821167960119</v>
      </c>
      <c r="G2199" s="5" t="n">
        <v>0.0009904054742956784</v>
      </c>
      <c r="H2199" s="5" t="n">
        <v>-0.0007994709340684025</v>
      </c>
      <c r="I2199" s="5" t="n">
        <v>-0.0005884455421887534</v>
      </c>
      <c r="J2199" s="5" t="n">
        <v>-0.0005350902745624376</v>
      </c>
      <c r="K2199" s="5" t="n">
        <v>0.001191545205362389</v>
      </c>
      <c r="L2199" s="5" t="n">
        <v>0.002217809457877972</v>
      </c>
      <c r="M2199" s="5">
        <f>SUMPRODUCT(Exposures!$B$6:$K$6,B2199:K2199)</f>
        <v/>
      </c>
      <c r="N2199" s="5">
        <f>IF(AND($A2199&gt;=DATE(2020,2,1),$A2199&lt;=DATE(2020,5,31)),$M2199,"")</f>
        <v/>
      </c>
      <c r="O2199" s="5">
        <f>IF(AND($A2199&gt;=DATE(2022,1,1),$A2199&lt;=DATE(2022,10,31)),$M2199,"")</f>
        <v/>
      </c>
      <c r="P2199" s="5">
        <f>IF(AND($A2199&gt;=DATE(2018,10,1),$A2199&lt;=DATE(2018,12,31)),$M2199,"")</f>
        <v/>
      </c>
      <c r="Q2199" s="5">
        <f>SUMPRODUCT(Exposures!$B$8:$K$8,B2199:K2199)</f>
        <v/>
      </c>
      <c r="R2199" s="5">
        <f>SUMPRODUCT(Exposures!$B$9:$K$9,B2199:K2199)</f>
        <v/>
      </c>
      <c r="S2199" s="5">
        <f>SUMPRODUCT(Exposures!$B$10:$K$10,B2199:K2199)</f>
        <v/>
      </c>
    </row>
    <row r="2200">
      <c r="A2200" s="1" t="n">
        <v>45650</v>
      </c>
      <c r="B2200" s="5" t="n">
        <v>0.005446719501449628</v>
      </c>
      <c r="C2200" s="5" t="n">
        <v>-0.0003982885273980046</v>
      </c>
      <c r="D2200" s="5" t="n">
        <v>-0.001812159879200706</v>
      </c>
      <c r="E2200" s="5" t="n">
        <v>-0.0003473390193441005</v>
      </c>
      <c r="F2200" s="5" t="n">
        <v>0.0004783611620089974</v>
      </c>
      <c r="G2200" s="5" t="n">
        <v>0.008485758111220045</v>
      </c>
      <c r="H2200" s="5" t="n">
        <v>0.002549903019917223</v>
      </c>
      <c r="I2200" s="5" t="n">
        <v>0.0005913375542180414</v>
      </c>
      <c r="J2200" s="5" t="n">
        <v>-0.001383363567215908</v>
      </c>
      <c r="K2200" s="5" t="n">
        <v>0.0003137237415292669</v>
      </c>
      <c r="L2200" s="5" t="n">
        <v>0.0001620164285035341</v>
      </c>
      <c r="M2200" s="5">
        <f>SUMPRODUCT(Exposures!$B$6:$K$6,B2200:K2200)</f>
        <v/>
      </c>
      <c r="N2200" s="5">
        <f>IF(AND($A2200&gt;=DATE(2020,2,1),$A2200&lt;=DATE(2020,5,31)),$M2200,"")</f>
        <v/>
      </c>
      <c r="O2200" s="5">
        <f>IF(AND($A2200&gt;=DATE(2022,1,1),$A2200&lt;=DATE(2022,10,31)),$M2200,"")</f>
        <v/>
      </c>
      <c r="P2200" s="5">
        <f>IF(AND($A2200&gt;=DATE(2018,10,1),$A2200&lt;=DATE(2018,12,31)),$M2200,"")</f>
        <v/>
      </c>
      <c r="Q2200" s="5">
        <f>SUMPRODUCT(Exposures!$B$8:$K$8,B2200:K2200)</f>
        <v/>
      </c>
      <c r="R2200" s="5">
        <f>SUMPRODUCT(Exposures!$B$9:$K$9,B2200:K2200)</f>
        <v/>
      </c>
      <c r="S2200" s="5">
        <f>SUMPRODUCT(Exposures!$B$10:$K$10,B2200:K2200)</f>
        <v/>
      </c>
    </row>
    <row r="2201">
      <c r="A2201" s="1" t="n">
        <v>45652</v>
      </c>
      <c r="B2201" s="5" t="n">
        <v>-5.048674197885789e-05</v>
      </c>
      <c r="C2201" s="5" t="n">
        <v>-0.0007942538705792124</v>
      </c>
      <c r="D2201" s="5" t="n">
        <v>-0.000736793452512607</v>
      </c>
      <c r="E2201" s="5" t="n">
        <v>-0.0002695292966496651</v>
      </c>
      <c r="F2201" s="5" t="n">
        <v>-0.00129438864057902</v>
      </c>
      <c r="G2201" s="5" t="n">
        <v>0.004616451187179235</v>
      </c>
      <c r="H2201" s="5" t="n">
        <v>0.0001426834972183248</v>
      </c>
      <c r="I2201" s="5" t="n">
        <v>-0.0002296683944221437</v>
      </c>
      <c r="J2201" s="5" t="n">
        <v>0.002086468943628094</v>
      </c>
      <c r="K2201" s="5" t="n">
        <v>-0.0006249066953844443</v>
      </c>
      <c r="L2201" s="5" t="n">
        <v>0.0008172433503187264</v>
      </c>
      <c r="M2201" s="5">
        <f>SUMPRODUCT(Exposures!$B$6:$K$6,B2201:K2201)</f>
        <v/>
      </c>
      <c r="N2201" s="5">
        <f>IF(AND($A2201&gt;=DATE(2020,2,1),$A2201&lt;=DATE(2020,5,31)),$M2201,"")</f>
        <v/>
      </c>
      <c r="O2201" s="5">
        <f>IF(AND($A2201&gt;=DATE(2022,1,1),$A2201&lt;=DATE(2022,10,31)),$M2201,"")</f>
        <v/>
      </c>
      <c r="P2201" s="5">
        <f>IF(AND($A2201&gt;=DATE(2018,10,1),$A2201&lt;=DATE(2018,12,31)),$M2201,"")</f>
        <v/>
      </c>
      <c r="Q2201" s="5">
        <f>SUMPRODUCT(Exposures!$B$8:$K$8,B2201:K2201)</f>
        <v/>
      </c>
      <c r="R2201" s="5">
        <f>SUMPRODUCT(Exposures!$B$9:$K$9,B2201:K2201)</f>
        <v/>
      </c>
      <c r="S2201" s="5">
        <f>SUMPRODUCT(Exposures!$B$10:$K$10,B2201:K2201)</f>
        <v/>
      </c>
    </row>
    <row r="2202">
      <c r="A2202" s="1" t="n">
        <v>45653</v>
      </c>
      <c r="B2202" s="5" t="n">
        <v>-0.002977824496680524</v>
      </c>
      <c r="C2202" s="5" t="n">
        <v>0.001400316330423989</v>
      </c>
      <c r="D2202" s="5" t="n">
        <v>0.0008122280010753369</v>
      </c>
      <c r="E2202" s="5" t="n">
        <v>-0.0003015866152521237</v>
      </c>
      <c r="F2202" s="5" t="n">
        <v>3.305157772818569e-06</v>
      </c>
      <c r="G2202" s="5" t="n">
        <v>-0.01099045909864073</v>
      </c>
      <c r="H2202" s="5" t="n">
        <v>-0.002909481097166978</v>
      </c>
      <c r="I2202" s="5" t="n">
        <v>0.001347897532792666</v>
      </c>
      <c r="J2202" s="5" t="n">
        <v>-0.003007510142738912</v>
      </c>
      <c r="K2202" s="5" t="n">
        <v>6.206029368020219e-05</v>
      </c>
      <c r="L2202" s="5" t="n">
        <v>-0.0001133724648215023</v>
      </c>
      <c r="M2202" s="5">
        <f>SUMPRODUCT(Exposures!$B$6:$K$6,B2202:K2202)</f>
        <v/>
      </c>
      <c r="N2202" s="5">
        <f>IF(AND($A2202&gt;=DATE(2020,2,1),$A2202&lt;=DATE(2020,5,31)),$M2202,"")</f>
        <v/>
      </c>
      <c r="O2202" s="5">
        <f>IF(AND($A2202&gt;=DATE(2022,1,1),$A2202&lt;=DATE(2022,10,31)),$M2202,"")</f>
        <v/>
      </c>
      <c r="P2202" s="5">
        <f>IF(AND($A2202&gt;=DATE(2018,10,1),$A2202&lt;=DATE(2018,12,31)),$M2202,"")</f>
        <v/>
      </c>
      <c r="Q2202" s="5">
        <f>SUMPRODUCT(Exposures!$B$8:$K$8,B2202:K2202)</f>
        <v/>
      </c>
      <c r="R2202" s="5">
        <f>SUMPRODUCT(Exposures!$B$9:$K$9,B2202:K2202)</f>
        <v/>
      </c>
      <c r="S2202" s="5">
        <f>SUMPRODUCT(Exposures!$B$10:$K$10,B2202:K2202)</f>
        <v/>
      </c>
    </row>
    <row r="2203">
      <c r="A2203" s="1" t="n">
        <v>45656</v>
      </c>
      <c r="B2203" s="5" t="n">
        <v>-0.002483104197943051</v>
      </c>
      <c r="C2203" s="5" t="n">
        <v>0.0002972609216277893</v>
      </c>
      <c r="D2203" s="5" t="n">
        <v>-0.001263523935053306</v>
      </c>
      <c r="E2203" s="5" t="n">
        <v>0.001061248394986944</v>
      </c>
      <c r="F2203" s="5" t="n">
        <v>-0.002300410101162733</v>
      </c>
      <c r="G2203" s="5" t="n">
        <v>-0.009882842650555864</v>
      </c>
      <c r="H2203" s="5" t="n">
        <v>-0.0005550256972653093</v>
      </c>
      <c r="I2203" s="5" t="n">
        <v>-0.0004133375809194013</v>
      </c>
      <c r="J2203" s="5" t="n">
        <v>-0.0005271171391538244</v>
      </c>
      <c r="K2203" s="5" t="n">
        <v>0.0007804872264282264</v>
      </c>
      <c r="L2203" s="5" t="n">
        <v>0.0006236882276410996</v>
      </c>
      <c r="M2203" s="5">
        <f>SUMPRODUCT(Exposures!$B$6:$K$6,B2203:K2203)</f>
        <v/>
      </c>
      <c r="N2203" s="5">
        <f>IF(AND($A2203&gt;=DATE(2020,2,1),$A2203&lt;=DATE(2020,5,31)),$M2203,"")</f>
        <v/>
      </c>
      <c r="O2203" s="5">
        <f>IF(AND($A2203&gt;=DATE(2022,1,1),$A2203&lt;=DATE(2022,10,31)),$M2203,"")</f>
        <v/>
      </c>
      <c r="P2203" s="5">
        <f>IF(AND($A2203&gt;=DATE(2018,10,1),$A2203&lt;=DATE(2018,12,31)),$M2203,"")</f>
        <v/>
      </c>
      <c r="Q2203" s="5">
        <f>SUMPRODUCT(Exposures!$B$8:$K$8,B2203:K2203)</f>
        <v/>
      </c>
      <c r="R2203" s="5">
        <f>SUMPRODUCT(Exposures!$B$9:$K$9,B2203:K2203)</f>
        <v/>
      </c>
      <c r="S2203" s="5">
        <f>SUMPRODUCT(Exposures!$B$10:$K$10,B2203:K2203)</f>
        <v/>
      </c>
    </row>
    <row r="2204">
      <c r="A2204" s="1" t="n">
        <v>45657</v>
      </c>
      <c r="B2204" s="5" t="n">
        <v>-0.003143924915745691</v>
      </c>
      <c r="C2204" s="5" t="n">
        <v>0.0009739932712293984</v>
      </c>
      <c r="D2204" s="5" t="n">
        <v>-0.001445989179332306</v>
      </c>
      <c r="E2204" s="5" t="n">
        <v>0.0002129025564278466</v>
      </c>
      <c r="F2204" s="5" t="n">
        <v>-0.005618693981543086</v>
      </c>
      <c r="G2204" s="5" t="n">
        <v>0.00296117012045377</v>
      </c>
      <c r="H2204" s="5" t="n">
        <v>-0.004615005956240107</v>
      </c>
      <c r="I2204" s="5" t="n">
        <v>0.001098087080865529</v>
      </c>
      <c r="J2204" s="5" t="n">
        <v>0.001551543665798678</v>
      </c>
      <c r="K2204" s="5" t="n">
        <v>0.002475614070220202</v>
      </c>
      <c r="L2204" s="5" t="n">
        <v>0.001728291251683333</v>
      </c>
      <c r="M2204" s="5">
        <f>SUMPRODUCT(Exposures!$B$6:$K$6,B2204:K2204)</f>
        <v/>
      </c>
      <c r="N2204" s="5">
        <f>IF(AND($A2204&gt;=DATE(2020,2,1),$A2204&lt;=DATE(2020,5,31)),$M2204,"")</f>
        <v/>
      </c>
      <c r="O2204" s="5">
        <f>IF(AND($A2204&gt;=DATE(2022,1,1),$A2204&lt;=DATE(2022,10,31)),$M2204,"")</f>
        <v/>
      </c>
      <c r="P2204" s="5">
        <f>IF(AND($A2204&gt;=DATE(2018,10,1),$A2204&lt;=DATE(2018,12,31)),$M2204,"")</f>
        <v/>
      </c>
      <c r="Q2204" s="5">
        <f>SUMPRODUCT(Exposures!$B$8:$K$8,B2204:K2204)</f>
        <v/>
      </c>
      <c r="R2204" s="5">
        <f>SUMPRODUCT(Exposures!$B$9:$K$9,B2204:K2204)</f>
        <v/>
      </c>
      <c r="S2204" s="5">
        <f>SUMPRODUCT(Exposures!$B$10:$K$10,B2204:K2204)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B1" s="2" t="inlineStr">
        <is>
          <t>Beta</t>
        </is>
      </c>
      <c r="C1" s="2" t="inlineStr">
        <is>
          <t>EarnYield</t>
        </is>
      </c>
      <c r="D1" s="2" t="inlineStr">
        <is>
          <t>Growth</t>
        </is>
      </c>
      <c r="E1" s="2" t="inlineStr">
        <is>
          <t>Leverage</t>
        </is>
      </c>
      <c r="F1" s="2" t="inlineStr">
        <is>
          <t>Liquidity</t>
        </is>
      </c>
      <c r="G1" s="2" t="inlineStr">
        <is>
          <t>Market</t>
        </is>
      </c>
      <c r="H1" s="2" t="inlineStr">
        <is>
          <t>Momentum</t>
        </is>
      </c>
      <c r="I1" s="2" t="inlineStr">
        <is>
          <t>NonLinSize</t>
        </is>
      </c>
      <c r="J1" s="2" t="inlineStr">
        <is>
          <t>ResidVol</t>
        </is>
      </c>
      <c r="K1" s="2" t="inlineStr">
        <is>
          <t>Size</t>
        </is>
      </c>
      <c r="L1" s="2" t="inlineStr">
        <is>
          <t>Value</t>
        </is>
      </c>
    </row>
    <row r="2">
      <c r="A2" s="2" t="inlineStr">
        <is>
          <t>Factor vol σ (STDEV)</t>
        </is>
      </c>
      <c r="B2" s="5">
        <f>STDEV(FactorReturns!B2:B2204)</f>
        <v/>
      </c>
      <c r="C2" s="5">
        <f>STDEV(FactorReturns!C2:C2204)</f>
        <v/>
      </c>
      <c r="D2" s="5">
        <f>STDEV(FactorReturns!D2:D2204)</f>
        <v/>
      </c>
      <c r="E2" s="5">
        <f>STDEV(FactorReturns!E2:E2204)</f>
        <v/>
      </c>
      <c r="F2" s="5">
        <f>STDEV(FactorReturns!F2:F2204)</f>
        <v/>
      </c>
      <c r="G2" s="5">
        <f>STDEV(FactorReturns!G2:G2204)</f>
        <v/>
      </c>
      <c r="H2" s="5">
        <f>STDEV(FactorReturns!H2:H2204)</f>
        <v/>
      </c>
      <c r="I2" s="5">
        <f>STDEV(FactorReturns!I2:I2204)</f>
        <v/>
      </c>
      <c r="J2" s="5">
        <f>STDEV(FactorReturns!J2:J2204)</f>
        <v/>
      </c>
      <c r="K2" s="5">
        <f>STDEV(FactorReturns!K2:K2204)</f>
        <v/>
      </c>
      <c r="L2" s="5">
        <f>STDEV(FactorReturns!L2:L2204)</f>
        <v/>
      </c>
    </row>
    <row r="4">
      <c r="A4" s="2" t="inlineStr">
        <is>
          <t>Hypo sigma shocks</t>
        </is>
      </c>
      <c r="M4" s="2" t="inlineStr">
        <is>
          <t>Shock PnL</t>
        </is>
      </c>
    </row>
    <row r="5">
      <c r="A5" t="inlineStr">
        <is>
          <t>Hypo:ValueRotation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-2</v>
      </c>
      <c r="I5" t="n">
        <v>0</v>
      </c>
      <c r="J5" t="n">
        <v>0</v>
      </c>
      <c r="K5" t="n">
        <v>0</v>
      </c>
      <c r="L5" t="n">
        <v>2</v>
      </c>
      <c r="M5" s="5">
        <f>SUMPRODUCT(Exposures!$B$6:$K$6,B5:K5,$B$2:$K$2)</f>
        <v/>
      </c>
    </row>
    <row r="6">
      <c r="A6" t="inlineStr">
        <is>
          <t>Hypo:RiskOff</t>
        </is>
      </c>
      <c r="B6" t="n">
        <v>-2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s="5">
        <f>SUMPRODUCT(Exposures!$B$6:$K$6,B6:K6,$B$2:$K$2)</f>
        <v/>
      </c>
    </row>
    <row r="7">
      <c r="A7" t="inlineStr">
        <is>
          <t>Hypo:MomentumCrash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-3</v>
      </c>
      <c r="I7" t="n">
        <v>0</v>
      </c>
      <c r="J7" t="n">
        <v>0</v>
      </c>
      <c r="K7" t="n">
        <v>0</v>
      </c>
      <c r="L7" t="n">
        <v>0</v>
      </c>
      <c r="M7" s="5">
        <f>SUMPRODUCT(Exposures!$B$6:$K$6,B7:K7,$B$2:$K$2)</f>
        <v/>
      </c>
    </row>
    <row r="10">
      <c r="A10" s="2" t="inlineStr">
        <is>
          <t>ScenarioSet</t>
        </is>
      </c>
      <c r="B10" s="2" t="inlineStr">
        <is>
          <t>VaR 99</t>
        </is>
      </c>
      <c r="C10" s="2" t="inlineStr">
        <is>
          <t>Worst loss</t>
        </is>
      </c>
      <c r="D10" s="2" t="inlineStr">
        <is>
          <t>Mean PnL</t>
        </is>
      </c>
      <c r="E10" s="2" t="inlineStr">
        <is>
          <t>Total VaR 99</t>
        </is>
      </c>
      <c r="F10" s="2" t="inlineStr">
        <is>
          <t>VaR 99 (ref)</t>
        </is>
      </c>
      <c r="G10" s="2" t="inlineStr">
        <is>
          <t>Worst (ref)</t>
        </is>
      </c>
      <c r="H10" s="2" t="inlineStr">
        <is>
          <t>Mean (ref)</t>
        </is>
      </c>
    </row>
    <row r="11">
      <c r="A11" t="inlineStr">
        <is>
          <t>HistFull</t>
        </is>
      </c>
      <c r="B11" s="5">
        <f>-PERCENTILE(FactorReturns!$M$2:$M$2204,0.01)</f>
        <v/>
      </c>
      <c r="C11" s="5">
        <f>-MIN(FactorReturns!$M$2:$M$2204)</f>
        <v/>
      </c>
      <c r="D11" s="5">
        <f>AVERAGE(FactorReturns!$M$2:$M$2204)</f>
        <v/>
      </c>
      <c r="E11" s="5">
        <f>SQRT(B11^2+(2.326*$B$21)^2)</f>
        <v/>
      </c>
      <c r="F11" s="5" t="n">
        <v>0.02150770847800569</v>
      </c>
      <c r="G11" s="5" t="n">
        <v>0.05042566404938676</v>
      </c>
      <c r="H11" s="5" t="n">
        <v>7.810936616199552e-05</v>
      </c>
    </row>
    <row r="12">
      <c r="A12" t="inlineStr">
        <is>
          <t>Evt:COVID2020</t>
        </is>
      </c>
      <c r="B12" s="5">
        <f>-PERCENTILE(FactorReturns!$N$2:$N$2204,0.01)</f>
        <v/>
      </c>
      <c r="C12" s="5">
        <f>-MIN(FactorReturns!$N$2:$N$2204)</f>
        <v/>
      </c>
      <c r="D12" s="5">
        <f>AVERAGE(FactorReturns!$N$2:$N$2204)</f>
        <v/>
      </c>
      <c r="E12" s="5">
        <f>SQRT(B12^2+(2.326*$B$21)^2)</f>
        <v/>
      </c>
      <c r="F12" s="5" t="n">
        <v>0.0406107558799559</v>
      </c>
      <c r="G12" s="5" t="n">
        <v>0.05042566404938676</v>
      </c>
      <c r="H12" s="5" t="n">
        <v>0.0008288710813644976</v>
      </c>
    </row>
    <row r="13">
      <c r="A13" t="inlineStr">
        <is>
          <t>Evt:Rates2022</t>
        </is>
      </c>
      <c r="B13" s="5">
        <f>-PERCENTILE(FactorReturns!$O$2:$O$2204,0.01)</f>
        <v/>
      </c>
      <c r="C13" s="5">
        <f>-MIN(FactorReturns!$O$2:$O$2204)</f>
        <v/>
      </c>
      <c r="D13" s="5">
        <f>AVERAGE(FactorReturns!$O$2:$O$2204)</f>
        <v/>
      </c>
      <c r="E13" s="5">
        <f>SQRT(B13^2+(2.326*$B$21)^2)</f>
        <v/>
      </c>
      <c r="F13" s="5" t="n">
        <v>0.02494648966185503</v>
      </c>
      <c r="G13" s="5" t="n">
        <v>0.03018525852405256</v>
      </c>
      <c r="H13" s="5" t="n">
        <v>-0.0007710407577738968</v>
      </c>
    </row>
    <row r="14">
      <c r="A14" t="inlineStr">
        <is>
          <t>Evt:Selloff2018</t>
        </is>
      </c>
      <c r="B14" s="5">
        <f>-PERCENTILE(FactorReturns!$P$2:$P$2204,0.01)</f>
        <v/>
      </c>
      <c r="C14" s="5">
        <f>-MIN(FactorReturns!$P$2:$P$2204)</f>
        <v/>
      </c>
      <c r="D14" s="5">
        <f>AVERAGE(FactorReturns!$P$2:$P$2204)</f>
        <v/>
      </c>
      <c r="E14" s="5">
        <f>SQRT(B14^2+(2.326*$B$21)^2)</f>
        <v/>
      </c>
      <c r="F14" s="5" t="n">
        <v>0.01732171443115272</v>
      </c>
      <c r="G14" s="5" t="n">
        <v>0.02202690539881217</v>
      </c>
      <c r="H14" s="5" t="n">
        <v>-0.0008059481732041034</v>
      </c>
    </row>
    <row r="15">
      <c r="A15" t="inlineStr">
        <is>
          <t>Hypo:ValueRotation</t>
        </is>
      </c>
      <c r="B15" s="5">
        <f>-M5</f>
        <v/>
      </c>
      <c r="C15" s="5">
        <f>-M5</f>
        <v/>
      </c>
      <c r="D15" s="5">
        <f>M5</f>
        <v/>
      </c>
      <c r="E15" s="5">
        <f>SQRT(B15^2+(2.326*$B$21)^2)</f>
        <v/>
      </c>
      <c r="F15" s="5" t="n">
        <v>0.0004387322238932032</v>
      </c>
      <c r="G15" s="5" t="n">
        <v>0.0004387322238932032</v>
      </c>
      <c r="H15" s="5" t="n">
        <v>-0.0004387322238932032</v>
      </c>
    </row>
    <row r="16">
      <c r="A16" t="inlineStr">
        <is>
          <t>Hypo:RiskOff</t>
        </is>
      </c>
      <c r="B16" s="5">
        <f>-M6</f>
        <v/>
      </c>
      <c r="C16" s="5">
        <f>-M6</f>
        <v/>
      </c>
      <c r="D16" s="5">
        <f>M6</f>
        <v/>
      </c>
      <c r="E16" s="5">
        <f>SQRT(B16^2+(2.326*$B$21)^2)</f>
        <v/>
      </c>
      <c r="F16" s="5" t="n">
        <v>0.0008881561811383265</v>
      </c>
      <c r="G16" s="5" t="n">
        <v>0.0008881561811383265</v>
      </c>
      <c r="H16" s="5" t="n">
        <v>-0.0008881561811383265</v>
      </c>
    </row>
    <row r="17">
      <c r="A17" t="inlineStr">
        <is>
          <t>Hypo:MomentumCrash</t>
        </is>
      </c>
      <c r="B17" s="5">
        <f>-M7</f>
        <v/>
      </c>
      <c r="C17" s="5">
        <f>-M7</f>
        <v/>
      </c>
      <c r="D17" s="5">
        <f>M7</f>
        <v/>
      </c>
      <c r="E17" s="5">
        <f>SQRT(B17^2+(2.326*$B$21)^2)</f>
        <v/>
      </c>
      <c r="F17" s="5" t="n">
        <v>0.0003547131905395542</v>
      </c>
      <c r="G17" s="5" t="n">
        <v>0.0003547131905395542</v>
      </c>
      <c r="H17" s="5" t="n">
        <v>-0.0003547131905395542</v>
      </c>
    </row>
    <row r="20">
      <c r="A20" s="2" t="inlineStr">
        <is>
          <t>Specific variance Σw²σ²</t>
        </is>
      </c>
      <c r="B20" s="4">
        <f>SUMPRODUCT(Inputs!$D$4:$D$6*Inputs!$D$4:$D$6,Inputs!$E$4:$E$6)</f>
        <v/>
      </c>
      <c r="C20" s="4" t="n">
        <v>2.498510953013414e-05</v>
      </c>
      <c r="D20" t="inlineStr">
        <is>
          <t>(col C = pandas reference)</t>
        </is>
      </c>
    </row>
    <row r="21">
      <c r="A21" s="2" t="inlineStr">
        <is>
          <t>Specific vol</t>
        </is>
      </c>
      <c r="B21" s="5">
        <f>SQRT(B20)</f>
        <v/>
      </c>
      <c r="C21" s="5" t="n">
        <v>0.004998510731221264</v>
      </c>
    </row>
    <row r="22">
      <c r="A22" s="2" t="inlineStr">
        <is>
          <t>Per-issuer standalone risk — HistFull (name at its book weight)</t>
        </is>
      </c>
    </row>
    <row r="23">
      <c r="A23" s="2" t="inlineStr">
        <is>
          <t>Issuer</t>
        </is>
      </c>
      <c r="B23" s="2" t="inlineStr">
        <is>
          <t>VaR 99</t>
        </is>
      </c>
      <c r="C23" s="2" t="inlineStr">
        <is>
          <t>Worst loss</t>
        </is>
      </c>
      <c r="D23" s="2" t="inlineStr">
        <is>
          <t>Mean PnL</t>
        </is>
      </c>
      <c r="E23" s="2" t="inlineStr">
        <is>
          <t>Specific vol</t>
        </is>
      </c>
      <c r="F23" s="2" t="inlineStr">
        <is>
          <t>Total VaR 99</t>
        </is>
      </c>
      <c r="G23" s="2" t="inlineStr">
        <is>
          <t>VaR 99 (ref)</t>
        </is>
      </c>
      <c r="H23" s="2" t="inlineStr">
        <is>
          <t>Worst (ref)</t>
        </is>
      </c>
      <c r="I23" s="2" t="inlineStr">
        <is>
          <t>Mean (ref)</t>
        </is>
      </c>
      <c r="J23" s="2" t="inlineStr">
        <is>
          <t>Spec vol (ref)</t>
        </is>
      </c>
      <c r="K23" s="2" t="inlineStr">
        <is>
          <t>Total VaR (ref)</t>
        </is>
      </c>
    </row>
    <row r="24">
      <c r="A24" t="inlineStr">
        <is>
          <t>Alibaba Group Holding Ltd</t>
        </is>
      </c>
      <c r="B24" s="5">
        <f>-PERCENTILE(FactorReturns!$Q$2:$Q$2204,0.01)</f>
        <v/>
      </c>
      <c r="C24" s="5">
        <f>-MIN(FactorReturns!$Q$2:$Q$2204)</f>
        <v/>
      </c>
      <c r="D24" s="5">
        <f>AVERAGE(FactorReturns!$Q$2:$Q$2204)</f>
        <v/>
      </c>
      <c r="E24" s="5">
        <f>SQRT(Inputs!$D$4^2*Inputs!$E$4)</f>
        <v/>
      </c>
      <c r="F24" s="5">
        <f>SQRT(B24^2+(2.326*E24)^2)</f>
        <v/>
      </c>
      <c r="G24" s="5" t="n">
        <v>0.01085320100267479</v>
      </c>
      <c r="H24" s="5" t="n">
        <v>0.02532125403083689</v>
      </c>
      <c r="I24" s="5" t="n">
        <v>-1.605470619416884e-05</v>
      </c>
      <c r="J24" s="5" t="n">
        <v>0.004523278336269465</v>
      </c>
      <c r="K24" s="5" t="n">
        <v>0.01511576900942358</v>
      </c>
    </row>
    <row r="25">
      <c r="A25" t="inlineStr">
        <is>
          <t>Alphabet Inc.</t>
        </is>
      </c>
      <c r="B25" s="5">
        <f>-PERCENTILE(FactorReturns!$R$2:$R$2204,0.01)</f>
        <v/>
      </c>
      <c r="C25" s="5">
        <f>-MIN(FactorReturns!$R$2:$R$2204)</f>
        <v/>
      </c>
      <c r="D25" s="5">
        <f>AVERAGE(FactorReturns!$R$2:$R$2204)</f>
        <v/>
      </c>
      <c r="E25" s="5">
        <f>SQRT(Inputs!$D$5^2*Inputs!$E$5)</f>
        <v/>
      </c>
      <c r="F25" s="5">
        <f>SQRT(B25^2+(2.326*E25)^2)</f>
        <v/>
      </c>
      <c r="G25" s="5" t="n">
        <v>0.006836633831594488</v>
      </c>
      <c r="H25" s="5" t="n">
        <v>0.01500728653220699</v>
      </c>
      <c r="I25" s="5" t="n">
        <v>4.639268913529442e-05</v>
      </c>
      <c r="J25" s="5" t="n">
        <v>0.001744433030409888</v>
      </c>
      <c r="K25" s="5" t="n">
        <v>0.007950049315639383</v>
      </c>
    </row>
    <row r="26">
      <c r="A26" t="inlineStr">
        <is>
          <t>AMAZON COM INC</t>
        </is>
      </c>
      <c r="B26" s="5">
        <f>-PERCENTILE(FactorReturns!$S$2:$S$2204,0.01)</f>
        <v/>
      </c>
      <c r="C26" s="5">
        <f>-MIN(FactorReturns!$S$2:$S$2204)</f>
        <v/>
      </c>
      <c r="D26" s="5">
        <f>AVERAGE(FactorReturns!$S$2:$S$2204)</f>
        <v/>
      </c>
      <c r="E26" s="5">
        <f>SQRT(Inputs!$D$6^2*Inputs!$E$6)</f>
        <v/>
      </c>
      <c r="F26" s="5">
        <f>SQRT(B26^2+(2.326*E26)^2)</f>
        <v/>
      </c>
      <c r="G26" s="5" t="n">
        <v>0.004524151817550261</v>
      </c>
      <c r="H26" s="5" t="n">
        <v>0.01009712348634288</v>
      </c>
      <c r="I26" s="5" t="n">
        <v>4.77713832208699e-05</v>
      </c>
      <c r="J26" s="5" t="n">
        <v>0.001217380805329397</v>
      </c>
      <c r="K26" s="5" t="n">
        <v>0.005337233871671183</v>
      </c>
    </row>
    <row r="28">
      <c r="A28" s="2" t="inlineStr">
        <is>
          <t>Risk contributions to Scenario VaR 99 — HistFull (additive; Σ = book VaR)</t>
        </is>
      </c>
      <c r="D28" t="inlineStr">
        <is>
          <t>(cols F–H = pandas reference; t* = 1% VaR scenario)</t>
        </is>
      </c>
    </row>
    <row r="29">
      <c r="A29" t="inlineStr">
        <is>
          <t>VaR scenario rank (k-th worst)</t>
        </is>
      </c>
      <c r="B29" t="n">
        <v>23</v>
      </c>
    </row>
    <row r="30">
      <c r="A30" t="inlineStr">
        <is>
          <t>Book P&amp;L at scenario t*</t>
        </is>
      </c>
      <c r="B30" s="5">
        <f>SMALL(FactorReturns!$L$2:$L$2204,B29)</f>
        <v/>
      </c>
    </row>
    <row r="31">
      <c r="A31" t="inlineStr">
        <is>
          <t>Scenario position (MATCH)</t>
        </is>
      </c>
      <c r="B31">
        <f>MATCH(B30,FactorReturns!$L$2:$L$2204,0)</f>
        <v/>
      </c>
    </row>
    <row r="32">
      <c r="A32" t="inlineStr">
        <is>
          <t>Scenario date</t>
        </is>
      </c>
      <c r="B32" s="1">
        <f>INDEX(FactorReturns!$A$2:$A$2204,B31)</f>
        <v/>
      </c>
    </row>
    <row r="34">
      <c r="A34" s="2" t="inlineStr">
        <is>
          <t>Factor contributions</t>
        </is>
      </c>
    </row>
    <row r="35">
      <c r="A35" s="2" t="inlineStr">
        <is>
          <t>Factor</t>
        </is>
      </c>
      <c r="B35" s="2" t="inlineStr">
        <is>
          <t>Net exp</t>
        </is>
      </c>
      <c r="C35" s="2" t="inlineStr">
        <is>
          <t>Component VaR</t>
        </is>
      </c>
      <c r="D35" s="2" t="inlineStr">
        <is>
          <t>Marginal VaR</t>
        </is>
      </c>
      <c r="E35" s="2" t="inlineStr">
        <is>
          <t>% of VaR</t>
        </is>
      </c>
      <c r="F35" s="2" t="inlineStr">
        <is>
          <t>Comp (ref)</t>
        </is>
      </c>
      <c r="G35" s="2" t="inlineStr">
        <is>
          <t>Marg (ref)</t>
        </is>
      </c>
      <c r="H35" s="2" t="inlineStr">
        <is>
          <t>% (ref)</t>
        </is>
      </c>
    </row>
    <row r="36">
      <c r="A36" t="inlineStr">
        <is>
          <t>Beta</t>
        </is>
      </c>
      <c r="B36" s="3">
        <f>Exposures!B$6</f>
        <v/>
      </c>
      <c r="C36" s="5">
        <f>-(Exposures!B$6)*(INDEX(FactorReturns!$B$2:$B$2204,$B$31))</f>
        <v/>
      </c>
      <c r="D36" s="6">
        <f>C36/B36</f>
        <v/>
      </c>
      <c r="E36" s="7">
        <f>C36/$B$11</f>
        <v/>
      </c>
      <c r="F36" s="5" t="n">
        <v>-0.0001012617205650722</v>
      </c>
      <c r="G36" s="6" t="n">
        <v>0.01963518057043915</v>
      </c>
      <c r="H36" s="7" t="n">
        <v>-0.004708159433564248</v>
      </c>
    </row>
    <row r="37">
      <c r="A37" t="inlineStr">
        <is>
          <t>EarnYield</t>
        </is>
      </c>
      <c r="B37" s="3">
        <f>Exposures!C$6</f>
        <v/>
      </c>
      <c r="C37" s="5">
        <f>-(Exposures!C$6)*(INDEX(FactorReturns!$C$2:$C$2204,$B$31))</f>
        <v/>
      </c>
      <c r="D37" s="6">
        <f>C37/B37</f>
        <v/>
      </c>
      <c r="E37" s="7">
        <f>C37/$B$11</f>
        <v/>
      </c>
      <c r="F37" s="5" t="n">
        <v>0.001525792776589053</v>
      </c>
      <c r="G37" s="6" t="n">
        <v>0.005507855019631455</v>
      </c>
      <c r="H37" s="7" t="n">
        <v>0.0709416708967097</v>
      </c>
    </row>
    <row r="38">
      <c r="A38" t="inlineStr">
        <is>
          <t>Growth</t>
        </is>
      </c>
      <c r="B38" s="3">
        <f>Exposures!D$6</f>
        <v/>
      </c>
      <c r="C38" s="5">
        <f>-(Exposures!D$6)*(INDEX(FactorReturns!$D$2:$D$2204,$B$31))</f>
        <v/>
      </c>
      <c r="D38" s="6">
        <f>C38/B38</f>
        <v/>
      </c>
      <c r="E38" s="7">
        <f>C38/$B$11</f>
        <v/>
      </c>
      <c r="F38" s="5" t="n">
        <v>0</v>
      </c>
      <c r="G38" s="6" t="n">
        <v/>
      </c>
      <c r="H38" s="7" t="n">
        <v>0</v>
      </c>
    </row>
    <row r="39">
      <c r="A39" t="inlineStr">
        <is>
          <t>Leverage</t>
        </is>
      </c>
      <c r="B39" s="3">
        <f>Exposures!E$6</f>
        <v/>
      </c>
      <c r="C39" s="5">
        <f>-(Exposures!E$6)*(INDEX(FactorReturns!$E$2:$E$2204,$B$31))</f>
        <v/>
      </c>
      <c r="D39" s="6">
        <f>C39/B39</f>
        <v/>
      </c>
      <c r="E39" s="7">
        <f>C39/$B$11</f>
        <v/>
      </c>
      <c r="F39" s="5" t="n">
        <v>0.0005663555385906336</v>
      </c>
      <c r="G39" s="6" t="n">
        <v>-0.001931294421356516</v>
      </c>
      <c r="H39" s="7" t="n">
        <v>0.02633267691766432</v>
      </c>
    </row>
    <row r="40">
      <c r="A40" t="inlineStr">
        <is>
          <t>Liquidity</t>
        </is>
      </c>
      <c r="B40" s="3">
        <f>Exposures!F$6</f>
        <v/>
      </c>
      <c r="C40" s="5">
        <f>-(Exposures!F$6)*(INDEX(FactorReturns!$F$2:$F$2204,$B$31))</f>
        <v/>
      </c>
      <c r="D40" s="6">
        <f>C40/B40</f>
        <v/>
      </c>
      <c r="E40" s="7">
        <f>C40/$B$11</f>
        <v/>
      </c>
      <c r="F40" s="5" t="n">
        <v>-0.01157923028261209</v>
      </c>
      <c r="G40" s="6" t="n">
        <v>-0.01097449489263344</v>
      </c>
      <c r="H40" s="7" t="n">
        <v>-0.538375824391208</v>
      </c>
    </row>
    <row r="41">
      <c r="A41" t="inlineStr">
        <is>
          <t>Market</t>
        </is>
      </c>
      <c r="B41" s="3">
        <f>Exposures!G$6</f>
        <v/>
      </c>
      <c r="C41" s="5">
        <f>-(Exposures!G$6)*(INDEX(FactorReturns!$G$2:$G$2204,$B$31))</f>
        <v/>
      </c>
      <c r="D41" s="6">
        <f>C41/B41</f>
        <v/>
      </c>
      <c r="E41" s="7">
        <f>C41/$B$11</f>
        <v/>
      </c>
      <c r="F41" s="5" t="n">
        <v>0.02086116467759052</v>
      </c>
      <c r="G41" s="6" t="n">
        <v>0.04062829744773115</v>
      </c>
      <c r="H41" s="7" t="n">
        <v>0.969938973225514</v>
      </c>
    </row>
    <row r="42">
      <c r="A42" t="inlineStr">
        <is>
          <t>Momentum</t>
        </is>
      </c>
      <c r="B42" s="3">
        <f>Exposures!H$6</f>
        <v/>
      </c>
      <c r="C42" s="5">
        <f>-(Exposures!H$6)*(INDEX(FactorReturns!$H$2:$H$2204,$B$31))</f>
        <v/>
      </c>
      <c r="D42" s="6">
        <f>C42/B42</f>
        <v/>
      </c>
      <c r="E42" s="7">
        <f>C42/$B$11</f>
        <v/>
      </c>
      <c r="F42" s="5" t="n">
        <v>-0.0001377111231876227</v>
      </c>
      <c r="G42" s="6" t="n">
        <v>-0.004868471503195885</v>
      </c>
      <c r="H42" s="7" t="n">
        <v>-0.006402872873623401</v>
      </c>
    </row>
    <row r="43">
      <c r="A43" t="inlineStr">
        <is>
          <t>NonLinSize</t>
        </is>
      </c>
      <c r="B43" s="3">
        <f>Exposures!I$6</f>
        <v/>
      </c>
      <c r="C43" s="5">
        <f>-(Exposures!I$6)*(INDEX(FactorReturns!$I$2:$I$2204,$B$31))</f>
        <v/>
      </c>
      <c r="D43" s="6">
        <f>C43/B43</f>
        <v/>
      </c>
      <c r="E43" s="7">
        <f>C43/$B$11</f>
        <v/>
      </c>
      <c r="F43" s="5" t="n">
        <v>-0.00133821087445429</v>
      </c>
      <c r="G43" s="6" t="n">
        <v>0.002035326121823986</v>
      </c>
      <c r="H43" s="7" t="n">
        <v>-0.06222005825598655</v>
      </c>
    </row>
    <row r="44">
      <c r="A44" t="inlineStr">
        <is>
          <t>ResidVol</t>
        </is>
      </c>
      <c r="B44" s="3">
        <f>Exposures!J$6</f>
        <v/>
      </c>
      <c r="C44" s="5">
        <f>-(Exposures!J$6)*(INDEX(FactorReturns!$J$2:$J$2204,$B$31))</f>
        <v/>
      </c>
      <c r="D44" s="6">
        <f>C44/B44</f>
        <v/>
      </c>
      <c r="E44" s="7">
        <f>C44/$B$11</f>
        <v/>
      </c>
      <c r="F44" s="5" t="n">
        <v>-0.0008582099834652828</v>
      </c>
      <c r="G44" s="6" t="n">
        <v>0.007316546315780629</v>
      </c>
      <c r="H44" s="7" t="n">
        <v>-0.03990243704218464</v>
      </c>
    </row>
    <row r="45">
      <c r="A45" t="inlineStr">
        <is>
          <t>Size</t>
        </is>
      </c>
      <c r="B45" s="3">
        <f>Exposures!K$6</f>
        <v/>
      </c>
      <c r="C45" s="5">
        <f>-(Exposures!K$6)*(INDEX(FactorReturns!$K$2:$K$2204,$B$31))</f>
        <v/>
      </c>
      <c r="D45" s="6">
        <f>C45/B45</f>
        <v/>
      </c>
      <c r="E45" s="7">
        <f>C45/$B$11</f>
        <v/>
      </c>
      <c r="F45" s="5" t="n">
        <v>0.01244657596308478</v>
      </c>
      <c r="G45" s="6" t="n">
        <v>0.009173676579136118</v>
      </c>
      <c r="H45" s="7" t="n">
        <v>0.5787030252810498</v>
      </c>
    </row>
    <row r="46">
      <c r="A46" t="inlineStr">
        <is>
          <t>Value</t>
        </is>
      </c>
      <c r="B46" s="3">
        <f>Exposures!L$6</f>
        <v/>
      </c>
      <c r="C46" s="5">
        <f>-(Exposures!L$6)*(INDEX(FactorReturns!$L$2:$L$2204,$B$31))</f>
        <v/>
      </c>
      <c r="D46" s="6">
        <f>C46/B46</f>
        <v/>
      </c>
      <c r="E46" s="7">
        <f>C46/$B$11</f>
        <v/>
      </c>
      <c r="F46" s="5" t="n">
        <v>0.0001329873940720827</v>
      </c>
      <c r="G46" s="6" t="n">
        <v>-0.003352671732064731</v>
      </c>
      <c r="H46" s="7" t="n">
        <v>0.006183243287311563</v>
      </c>
    </row>
    <row r="47">
      <c r="A47" s="2" t="inlineStr">
        <is>
          <t>Σ  (= Scenario VaR 99)</t>
        </is>
      </c>
      <c r="C47" s="5">
        <f>SUM(C36:C46)</f>
        <v/>
      </c>
      <c r="E47" s="7">
        <f>SUM(E36:E46)</f>
        <v/>
      </c>
    </row>
    <row r="49">
      <c r="A49" s="2" t="inlineStr">
        <is>
          <t>Issuer contributions</t>
        </is>
      </c>
    </row>
    <row r="50">
      <c r="A50" s="2" t="inlineStr">
        <is>
          <t>Issuer</t>
        </is>
      </c>
      <c r="B50" s="2" t="inlineStr">
        <is>
          <t>Net exp</t>
        </is>
      </c>
      <c r="C50" s="2" t="inlineStr">
        <is>
          <t>Component VaR</t>
        </is>
      </c>
      <c r="D50" s="2" t="inlineStr">
        <is>
          <t>Marginal VaR</t>
        </is>
      </c>
      <c r="E50" s="2" t="inlineStr">
        <is>
          <t>% of VaR</t>
        </is>
      </c>
      <c r="F50" s="2" t="inlineStr">
        <is>
          <t>Comp (ref)</t>
        </is>
      </c>
      <c r="G50" s="2" t="inlineStr">
        <is>
          <t>Marg (ref)</t>
        </is>
      </c>
      <c r="H50" s="2" t="inlineStr">
        <is>
          <t>% (ref)</t>
        </is>
      </c>
    </row>
    <row r="51">
      <c r="A51" t="inlineStr">
        <is>
          <t>Alibaba Group Holding Ltd</t>
        </is>
      </c>
      <c r="B51" s="3">
        <f>SUM(Exposures!$B$8:$L$8)</f>
        <v/>
      </c>
      <c r="C51" s="5">
        <f>-INDEX(FactorReturns!$Q$2:$Q$2204,$B$31)</f>
        <v/>
      </c>
      <c r="D51" s="6">
        <f>C51/B51</f>
        <v/>
      </c>
      <c r="E51" s="7">
        <f>C51/$B$11</f>
        <v/>
      </c>
      <c r="F51" s="5" t="n">
        <v>0.01007907069294201</v>
      </c>
      <c r="G51" s="6" t="n">
        <v>0.008225571466360788</v>
      </c>
      <c r="H51" s="7" t="n">
        <v>0.4686259674408882</v>
      </c>
    </row>
    <row r="52">
      <c r="A52" t="inlineStr">
        <is>
          <t>Alphabet Inc.</t>
        </is>
      </c>
      <c r="B52" s="3">
        <f>SUM(Exposures!$B$9:$L$9)</f>
        <v/>
      </c>
      <c r="C52" s="5">
        <f>-INDEX(FactorReturns!$R$2:$R$2204,$B$31)</f>
        <v/>
      </c>
      <c r="D52" s="6">
        <f>C52/B52</f>
        <v/>
      </c>
      <c r="E52" s="7">
        <f>C52/$B$11</f>
        <v/>
      </c>
      <c r="F52" s="5" t="n">
        <v>0.007126813092157301</v>
      </c>
      <c r="G52" s="6" t="n">
        <v>0.01388423152877747</v>
      </c>
      <c r="H52" s="7" t="n">
        <v>0.3313608746113215</v>
      </c>
    </row>
    <row r="53">
      <c r="A53" t="inlineStr">
        <is>
          <t>AMAZON COM INC</t>
        </is>
      </c>
      <c r="B53" s="3">
        <f>SUM(Exposures!$B$10:$L$10)</f>
        <v/>
      </c>
      <c r="C53" s="5">
        <f>-INDEX(FactorReturns!$S$2:$S$2204,$B$31)</f>
        <v/>
      </c>
      <c r="D53" s="6">
        <f>C53/B53</f>
        <v/>
      </c>
      <c r="E53" s="7">
        <f>C53/$B$11</f>
        <v/>
      </c>
      <c r="F53" s="5" t="n">
        <v>0.004312368580543402</v>
      </c>
      <c r="G53" s="6" t="n">
        <v>0.0113739250747374</v>
      </c>
      <c r="H53" s="7" t="n">
        <v>0.2005033955594728</v>
      </c>
    </row>
    <row r="54">
      <c r="A54" s="2" t="inlineStr">
        <is>
          <t>Σ  (= Scenario VaR 99)</t>
        </is>
      </c>
      <c r="C54" s="5">
        <f>SUM(C51:C53)</f>
        <v/>
      </c>
      <c r="E54" s="7">
        <f>SUM(E51:E53)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2026-06-13T19:42:31Z</dcterms:created>
  <dcterms:modified xsi:type="dcterms:W3CDTF">2026-06-13T19:42:31Z</dcterms:modified>
</cp:coreProperties>
</file>